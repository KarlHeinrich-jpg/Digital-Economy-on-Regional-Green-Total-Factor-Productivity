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<sst xmlns="http://schemas.openxmlformats.org/spreadsheetml/2006/main" count="414" uniqueCount="46">
  <si>
    <t>地区</t>
  </si>
  <si>
    <t>id</t>
  </si>
  <si>
    <t>year</t>
  </si>
  <si>
    <t>年末就业人数（万人）</t>
  </si>
  <si>
    <t>固定资本存量</t>
  </si>
  <si>
    <t>能源消耗总量(万吨标准煤)</t>
  </si>
  <si>
    <t>地区GDP（亿元）</t>
  </si>
  <si>
    <t>工业废水（万吨）</t>
  </si>
  <si>
    <t>工业二氧化硫（万吨）</t>
  </si>
  <si>
    <t>一般工业固体废弃物（万吨）</t>
  </si>
  <si>
    <t>ML指数</t>
  </si>
  <si>
    <t>规模报酬可变+全局</t>
  </si>
  <si>
    <t>规模报酬可变+非全局</t>
  </si>
  <si>
    <t>规模报酬不变+全局</t>
  </si>
  <si>
    <t>规模报酬不变+非全局</t>
  </si>
  <si>
    <t>绿色全要素生产率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</si>
  <si>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</si>
  <si>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</si>
  <si>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</si>
  <si>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</si>
  <si>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</si>
  <si>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</si>
  <si>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</si>
  <si>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</si>
  <si>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</si>
  <si>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</si>
  <si>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</si>
  <si>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</si>
  <si>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</si>
  <si>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</si>
  <si>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</si>
  <si>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</si>
  <si>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</si>
  <si>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</si>
  <si>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</si>
  <si>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</si>
  <si>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</si>
  <si>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</si>
  <si>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</si>
  <si>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</si>
  <si>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</si>
  <si>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陕西省</t>
  </si>
  <si>
    <t>甘肃省</t>
  </si>
  <si>
    <t>青海省</t>
  </si>
  <si>
    <t>宁夏回族自治区</t>
  </si>
  <si>
    <t>新疆维吾尔自治区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</si>
</sst>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0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Border="1">
      <alignment vertical="center"/>
    </xf>
    <xf numFmtId="176" fontId="2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177" fontId="2" fillId="2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91"/>
  <sheetViews>
    <sheetView tabSelected="1" workbookViewId="0">
      <selection activeCell="S9" sqref="S9"/>
    </sheetView>
  </sheetViews>
  <sheetFormatPr defaultColWidth="9.81818181818182" defaultRowHeight="15"/>
  <cols>
    <col min="1" max="1" width="18.5454545454545" style="2" customWidth="1"/>
    <col min="2" max="2" width="3.54545454545455" style="2" customWidth="1"/>
    <col min="3" max="3" width="5.54545454545455" style="2" customWidth="1"/>
    <col min="4" max="4" width="24.1818181818182" style="3" customWidth="1"/>
    <col min="5" max="5" width="16.2727272727273" style="3" customWidth="1"/>
    <col min="6" max="6" width="28.6363636363636" style="3" customWidth="1"/>
    <col min="7" max="7" width="18.5454545454545" style="3" customWidth="1"/>
    <col min="8" max="8" width="14" style="3" customWidth="1"/>
    <col min="9" max="9" width="23" style="3" customWidth="1"/>
    <col min="10" max="10" width="29.8181818181818" style="3" customWidth="1"/>
    <col min="11" max="13" width="9.81818181818182" style="1"/>
    <col min="14" max="14" width="21.3636363636364" style="1" customWidth="1"/>
    <col min="15" max="15" width="23.8181818181818" style="1" customWidth="1"/>
    <col min="16" max="16" width="21.3636363636364" style="1" customWidth="1"/>
    <col min="17" max="17" width="23.8181818181818" style="1" customWidth="1"/>
    <col min="18" max="18" width="9.81818181818182" style="1"/>
    <col min="19" max="19" width="18.9090909090909" style="1" customWidth="1"/>
    <col min="20" max="21" width="9.81818181818182" style="1"/>
    <col min="22" max="22" width="21.3636363636364" style="1" customWidth="1"/>
    <col min="23" max="23" width="23.8181818181818" style="1" customWidth="1"/>
    <col min="24" max="24" width="21.3636363636364" style="1" customWidth="1"/>
    <col min="25" max="25" width="23.8181818181818" style="1" customWidth="1"/>
    <col min="26" max="16345" width="9.81818181818182" style="1"/>
    <col min="16346" max="16384" width="9.81818181818182" style="4"/>
  </cols>
  <sheetData>
    <row r="1" s="1" customFormat="1" ht="28" spans="1: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6" t="s">
        <v>7</v>
      </c>
      <c r="I1" s="3" t="s">
        <v>8</v>
      </c>
      <c r="J1" s="3" t="s">
        <v>9</v>
      </c>
      <c r="K1" s="8" t="s">
        <v>10</v>
      </c>
      <c r="L1" s="8" t="s">
        <v>1</v>
      </c>
      <c r="M1" s="8" t="s">
        <v>2</v>
      </c>
      <c r="N1" s="8" t="s">
        <v>11</v>
      </c>
      <c r="O1" s="8" t="s">
        <v>12</v>
      </c>
      <c r="P1" s="8" t="s">
        <v>13</v>
      </c>
      <c r="Q1" s="8" t="s">
        <v>14</v>
      </c>
      <c r="S1" s="8" t="s">
        <v>15</v>
      </c>
      <c r="T1" s="8" t="s">
        <v>1</v>
      </c>
      <c r="U1" s="8" t="s">
        <v>2</v>
      </c>
      <c r="V1" s="8" t="s">
        <v>11</v>
      </c>
      <c r="W1" s="8" t="s">
        <v>12</v>
      </c>
      <c r="X1" s="8" t="s">
        <v>13</v>
      </c>
      <c r="Y1" s="8" t="s">
        <v>14</v>
      </c>
    </row>
    <row r="2" s="1" customFormat="1" spans="1:25">
      <c r="A2" s="2" t="s">
        <v>16</v>
      </c>
      <c r="B2" s="2">
        <v>1</v>
      </c>
      <c r="C2" s="2">
        <v>2011</v>
      </c>
      <c r="D2" s="7">
        <v>1069.7</v>
      </c>
      <c r="E2" s="7">
        <v>24467.8477949572</v>
      </c>
      <c r="F2" s="7">
        <v>6995</v>
      </c>
      <c r="G2" s="7">
        <v>16251.93</v>
      </c>
      <c r="H2" s="7">
        <v>8633</v>
      </c>
      <c r="I2" s="7">
        <v>6.1299</v>
      </c>
      <c r="J2" s="7">
        <v>1126</v>
      </c>
      <c r="L2" s="1">
        <v>1</v>
      </c>
      <c r="M2" s="1">
        <v>2011</v>
      </c>
      <c r="N2" s="1">
        <v>1</v>
      </c>
      <c r="O2" s="1">
        <v>1</v>
      </c>
      <c r="P2" s="1">
        <v>1</v>
      </c>
      <c r="Q2" s="1">
        <v>1</v>
      </c>
      <c r="T2" s="1">
        <v>1</v>
      </c>
      <c r="U2" s="1">
        <v>2011</v>
      </c>
      <c r="V2" s="1">
        <v>1</v>
      </c>
      <c r="W2" s="1">
        <v>1</v>
      </c>
      <c r="X2" s="1">
        <v>1</v>
      </c>
      <c r="Y2" s="1">
        <v>1</v>
      </c>
    </row>
    <row r="3" s="1" customFormat="1" spans="1:25">
      <c r="A3" s="2" t="s">
        <v>17</v>
      </c>
      <c r="B3" s="2">
        <v>2</v>
      </c>
      <c r="C3" s="2">
        <v>2011</v>
      </c>
      <c r="D3" s="7">
        <v>763.16</v>
      </c>
      <c r="E3" s="7">
        <v>21753.6007137972</v>
      </c>
      <c r="F3" s="7">
        <v>7598</v>
      </c>
      <c r="G3" s="7">
        <v>11307.28</v>
      </c>
      <c r="H3" s="7">
        <v>19795</v>
      </c>
      <c r="I3" s="7">
        <v>22.1897</v>
      </c>
      <c r="J3" s="7">
        <v>1752</v>
      </c>
      <c r="L3" s="1">
        <v>2</v>
      </c>
      <c r="M3" s="1">
        <v>2011</v>
      </c>
      <c r="N3" s="1">
        <v>1</v>
      </c>
      <c r="O3" s="1">
        <v>1</v>
      </c>
      <c r="P3" s="1">
        <v>1</v>
      </c>
      <c r="Q3" s="1">
        <v>1</v>
      </c>
      <c r="T3" s="1">
        <v>2</v>
      </c>
      <c r="U3" s="1">
        <v>2011</v>
      </c>
      <c r="V3" s="1">
        <v>1</v>
      </c>
      <c r="W3" s="1">
        <v>1</v>
      </c>
      <c r="X3" s="1">
        <v>1</v>
      </c>
      <c r="Y3" s="1">
        <v>1</v>
      </c>
    </row>
    <row r="4" s="1" customFormat="1" spans="1:25">
      <c r="A4" s="2" t="s">
        <v>18</v>
      </c>
      <c r="B4" s="2">
        <v>3</v>
      </c>
      <c r="C4" s="2">
        <v>2011</v>
      </c>
      <c r="D4" s="7">
        <v>4087</v>
      </c>
      <c r="E4" s="7">
        <v>41583.2725408158</v>
      </c>
      <c r="F4" s="7">
        <v>29498</v>
      </c>
      <c r="G4" s="7">
        <v>24515.76</v>
      </c>
      <c r="H4" s="7">
        <v>118505</v>
      </c>
      <c r="I4" s="7">
        <v>131.7099</v>
      </c>
      <c r="J4" s="7">
        <v>45129</v>
      </c>
      <c r="L4" s="1">
        <v>3</v>
      </c>
      <c r="M4" s="1">
        <v>2011</v>
      </c>
      <c r="N4" s="1">
        <v>1</v>
      </c>
      <c r="O4" s="1">
        <v>1</v>
      </c>
      <c r="P4" s="1">
        <v>1</v>
      </c>
      <c r="Q4" s="1">
        <v>1</v>
      </c>
      <c r="T4" s="1">
        <v>3</v>
      </c>
      <c r="U4" s="1">
        <v>2011</v>
      </c>
      <c r="V4" s="1">
        <v>1</v>
      </c>
      <c r="W4" s="1">
        <v>1</v>
      </c>
      <c r="X4" s="1">
        <v>1</v>
      </c>
      <c r="Y4" s="1">
        <v>1</v>
      </c>
    </row>
    <row r="5" s="1" customFormat="1" spans="1:25">
      <c r="A5" s="2" t="s">
        <v>19</v>
      </c>
      <c r="B5" s="2">
        <v>4</v>
      </c>
      <c r="C5" s="2">
        <v>2011</v>
      </c>
      <c r="D5" s="7">
        <v>1817</v>
      </c>
      <c r="E5" s="7">
        <v>19115.8437599927</v>
      </c>
      <c r="F5" s="7">
        <v>18315</v>
      </c>
      <c r="G5" s="7">
        <v>11237.55</v>
      </c>
      <c r="H5" s="7">
        <v>39665</v>
      </c>
      <c r="I5" s="7">
        <v>129.4321</v>
      </c>
      <c r="J5" s="7">
        <v>27556</v>
      </c>
      <c r="L5" s="1">
        <v>4</v>
      </c>
      <c r="M5" s="1">
        <v>2011</v>
      </c>
      <c r="N5" s="1">
        <v>1</v>
      </c>
      <c r="O5" s="1">
        <v>1</v>
      </c>
      <c r="P5" s="1">
        <v>1</v>
      </c>
      <c r="Q5" s="1">
        <v>1</v>
      </c>
      <c r="T5" s="1">
        <v>4</v>
      </c>
      <c r="U5" s="1">
        <v>2011</v>
      </c>
      <c r="V5" s="1">
        <v>1</v>
      </c>
      <c r="W5" s="1">
        <v>1</v>
      </c>
      <c r="X5" s="1">
        <v>1</v>
      </c>
      <c r="Y5" s="1">
        <v>1</v>
      </c>
    </row>
    <row r="6" s="1" customFormat="1" spans="1:25">
      <c r="A6" s="2" t="s">
        <v>20</v>
      </c>
      <c r="B6" s="2">
        <v>5</v>
      </c>
      <c r="C6" s="2">
        <v>2011</v>
      </c>
      <c r="D6" s="7">
        <v>1388</v>
      </c>
      <c r="E6" s="7">
        <v>27656.7119616698</v>
      </c>
      <c r="F6" s="7">
        <v>18737</v>
      </c>
      <c r="G6" s="7">
        <v>14359.88</v>
      </c>
      <c r="H6" s="7">
        <v>39409</v>
      </c>
      <c r="I6" s="7">
        <v>125.018</v>
      </c>
      <c r="J6" s="7">
        <v>23584</v>
      </c>
      <c r="L6" s="1">
        <v>5</v>
      </c>
      <c r="M6" s="1">
        <v>2011</v>
      </c>
      <c r="N6" s="1">
        <v>1</v>
      </c>
      <c r="O6" s="1">
        <v>1</v>
      </c>
      <c r="P6" s="1">
        <v>1</v>
      </c>
      <c r="Q6" s="1">
        <v>1</v>
      </c>
      <c r="T6" s="1">
        <v>5</v>
      </c>
      <c r="U6" s="1">
        <v>2011</v>
      </c>
      <c r="V6" s="1">
        <v>1</v>
      </c>
      <c r="W6" s="1">
        <v>1</v>
      </c>
      <c r="X6" s="1">
        <v>1</v>
      </c>
      <c r="Y6" s="1">
        <v>1</v>
      </c>
    </row>
    <row r="7" s="1" customFormat="1" spans="1:25">
      <c r="A7" s="2" t="s">
        <v>21</v>
      </c>
      <c r="B7" s="2">
        <v>6</v>
      </c>
      <c r="C7" s="2">
        <v>2011</v>
      </c>
      <c r="D7" s="7">
        <v>2364.9</v>
      </c>
      <c r="E7" s="7">
        <v>39297.1672560364</v>
      </c>
      <c r="F7" s="7">
        <v>22712</v>
      </c>
      <c r="G7" s="7">
        <v>22226.7</v>
      </c>
      <c r="H7" s="7">
        <v>90457</v>
      </c>
      <c r="I7" s="7">
        <v>104.8914</v>
      </c>
      <c r="J7" s="7">
        <v>28270</v>
      </c>
      <c r="L7" s="1">
        <v>6</v>
      </c>
      <c r="M7" s="1">
        <v>2011</v>
      </c>
      <c r="N7" s="1">
        <v>1</v>
      </c>
      <c r="O7" s="1">
        <v>1</v>
      </c>
      <c r="P7" s="1">
        <v>1</v>
      </c>
      <c r="Q7" s="1">
        <v>1</v>
      </c>
      <c r="T7" s="1">
        <v>6</v>
      </c>
      <c r="U7" s="1">
        <v>2011</v>
      </c>
      <c r="V7" s="1">
        <v>1</v>
      </c>
      <c r="W7" s="1">
        <v>1</v>
      </c>
      <c r="X7" s="1">
        <v>1</v>
      </c>
      <c r="Y7" s="1">
        <v>1</v>
      </c>
    </row>
    <row r="8" s="1" customFormat="1" spans="1:25">
      <c r="A8" s="2" t="s">
        <v>22</v>
      </c>
      <c r="B8" s="2">
        <v>7</v>
      </c>
      <c r="C8" s="2">
        <v>2011</v>
      </c>
      <c r="D8" s="7">
        <v>1524.99</v>
      </c>
      <c r="E8" s="7">
        <v>25085.3078899471</v>
      </c>
      <c r="F8" s="7">
        <v>9103</v>
      </c>
      <c r="G8" s="7">
        <v>10568.83</v>
      </c>
      <c r="H8" s="7">
        <v>41884</v>
      </c>
      <c r="I8" s="7">
        <v>36.3443</v>
      </c>
      <c r="J8" s="7">
        <v>5379</v>
      </c>
      <c r="L8" s="1">
        <v>7</v>
      </c>
      <c r="M8" s="1">
        <v>2011</v>
      </c>
      <c r="N8" s="1">
        <v>1</v>
      </c>
      <c r="O8" s="1">
        <v>1</v>
      </c>
      <c r="P8" s="1">
        <v>1</v>
      </c>
      <c r="Q8" s="1">
        <v>1</v>
      </c>
      <c r="T8" s="1">
        <v>7</v>
      </c>
      <c r="U8" s="1">
        <v>2011</v>
      </c>
      <c r="V8" s="1">
        <v>1</v>
      </c>
      <c r="W8" s="1">
        <v>1</v>
      </c>
      <c r="X8" s="1">
        <v>1</v>
      </c>
      <c r="Y8" s="1">
        <v>1</v>
      </c>
    </row>
    <row r="9" s="1" customFormat="1" spans="1:25">
      <c r="A9" s="2" t="s">
        <v>23</v>
      </c>
      <c r="B9" s="2">
        <v>8</v>
      </c>
      <c r="C9" s="2">
        <v>2011</v>
      </c>
      <c r="D9" s="7">
        <v>1977.39</v>
      </c>
      <c r="E9" s="7">
        <v>19763.785386481</v>
      </c>
      <c r="F9" s="7">
        <v>12119</v>
      </c>
      <c r="G9" s="7">
        <v>12582</v>
      </c>
      <c r="H9" s="7">
        <v>44072</v>
      </c>
      <c r="I9" s="7">
        <v>41.5209</v>
      </c>
      <c r="J9" s="7">
        <v>6017</v>
      </c>
      <c r="L9" s="1">
        <v>8</v>
      </c>
      <c r="M9" s="1">
        <v>2011</v>
      </c>
      <c r="N9" s="1">
        <v>1</v>
      </c>
      <c r="O9" s="1">
        <v>1</v>
      </c>
      <c r="P9" s="1">
        <v>1</v>
      </c>
      <c r="Q9" s="1">
        <v>1</v>
      </c>
      <c r="T9" s="1">
        <v>8</v>
      </c>
      <c r="U9" s="1">
        <v>2011</v>
      </c>
      <c r="V9" s="1">
        <v>1</v>
      </c>
      <c r="W9" s="1">
        <v>1</v>
      </c>
      <c r="X9" s="1">
        <v>1</v>
      </c>
      <c r="Y9" s="1">
        <v>1</v>
      </c>
    </row>
    <row r="10" s="1" customFormat="1" spans="1:25">
      <c r="A10" s="2" t="s">
        <v>24</v>
      </c>
      <c r="B10" s="2">
        <v>9</v>
      </c>
      <c r="C10" s="2">
        <v>2011</v>
      </c>
      <c r="D10" s="7">
        <v>1104.33</v>
      </c>
      <c r="E10" s="7">
        <v>30116.6395628508</v>
      </c>
      <c r="F10" s="7">
        <v>11270</v>
      </c>
      <c r="G10" s="7">
        <v>19195.69</v>
      </c>
      <c r="H10" s="7">
        <v>44626</v>
      </c>
      <c r="I10" s="7">
        <v>21.0092</v>
      </c>
      <c r="J10" s="7">
        <v>2442</v>
      </c>
      <c r="L10" s="1">
        <v>9</v>
      </c>
      <c r="M10" s="1">
        <v>2011</v>
      </c>
      <c r="N10" s="1">
        <v>1</v>
      </c>
      <c r="O10" s="1">
        <v>1</v>
      </c>
      <c r="P10" s="1">
        <v>1</v>
      </c>
      <c r="Q10" s="1">
        <v>1</v>
      </c>
      <c r="T10" s="1">
        <v>9</v>
      </c>
      <c r="U10" s="1">
        <v>2011</v>
      </c>
      <c r="V10" s="1">
        <v>1</v>
      </c>
      <c r="W10" s="1">
        <v>1</v>
      </c>
      <c r="X10" s="1">
        <v>1</v>
      </c>
      <c r="Y10" s="1">
        <v>1</v>
      </c>
    </row>
    <row r="11" s="1" customFormat="1" spans="1:25">
      <c r="A11" s="2" t="s">
        <v>25</v>
      </c>
      <c r="B11" s="2">
        <v>10</v>
      </c>
      <c r="C11" s="2">
        <v>2011</v>
      </c>
      <c r="D11" s="7">
        <v>4749.23</v>
      </c>
      <c r="E11" s="7">
        <v>71324.7846251775</v>
      </c>
      <c r="F11" s="7">
        <v>27589</v>
      </c>
      <c r="G11" s="7">
        <v>49110.27</v>
      </c>
      <c r="H11" s="7">
        <v>246298</v>
      </c>
      <c r="I11" s="7">
        <v>102.5013</v>
      </c>
      <c r="J11" s="7">
        <v>10475</v>
      </c>
      <c r="L11" s="1">
        <v>10</v>
      </c>
      <c r="M11" s="1">
        <v>2011</v>
      </c>
      <c r="N11" s="1">
        <v>1</v>
      </c>
      <c r="O11" s="1">
        <v>1</v>
      </c>
      <c r="P11" s="1">
        <v>1</v>
      </c>
      <c r="Q11" s="1">
        <v>1</v>
      </c>
      <c r="T11" s="1">
        <v>10</v>
      </c>
      <c r="U11" s="1">
        <v>2011</v>
      </c>
      <c r="V11" s="1">
        <v>1</v>
      </c>
      <c r="W11" s="1">
        <v>1</v>
      </c>
      <c r="X11" s="1">
        <v>1</v>
      </c>
      <c r="Y11" s="1">
        <v>1</v>
      </c>
    </row>
    <row r="12" s="1" customFormat="1" spans="1:25">
      <c r="A12" s="2" t="s">
        <v>26</v>
      </c>
      <c r="B12" s="2">
        <v>11</v>
      </c>
      <c r="C12" s="2">
        <v>2011</v>
      </c>
      <c r="D12" s="7">
        <v>3385</v>
      </c>
      <c r="E12" s="7">
        <v>48369.3992166463</v>
      </c>
      <c r="F12" s="7">
        <v>17827</v>
      </c>
      <c r="G12" s="7">
        <v>32318.85</v>
      </c>
      <c r="H12" s="7">
        <v>182240</v>
      </c>
      <c r="I12" s="7">
        <v>64.7048</v>
      </c>
      <c r="J12" s="7">
        <v>4446</v>
      </c>
      <c r="L12" s="1">
        <v>11</v>
      </c>
      <c r="M12" s="1">
        <v>2011</v>
      </c>
      <c r="N12" s="1">
        <v>1</v>
      </c>
      <c r="O12" s="1">
        <v>1</v>
      </c>
      <c r="P12" s="1">
        <v>1</v>
      </c>
      <c r="Q12" s="1">
        <v>1</v>
      </c>
      <c r="T12" s="1">
        <v>11</v>
      </c>
      <c r="U12" s="1">
        <v>2011</v>
      </c>
      <c r="V12" s="1">
        <v>1</v>
      </c>
      <c r="W12" s="1">
        <v>1</v>
      </c>
      <c r="X12" s="1">
        <v>1</v>
      </c>
      <c r="Y12" s="1">
        <v>1</v>
      </c>
    </row>
    <row r="13" s="1" customFormat="1" spans="1:25">
      <c r="A13" s="2" t="s">
        <v>27</v>
      </c>
      <c r="B13" s="2">
        <v>12</v>
      </c>
      <c r="C13" s="2">
        <v>2011</v>
      </c>
      <c r="D13" s="7">
        <v>4120.9</v>
      </c>
      <c r="E13" s="7">
        <v>21746.7703345444</v>
      </c>
      <c r="F13" s="7">
        <v>10570</v>
      </c>
      <c r="G13" s="7">
        <v>15300.65</v>
      </c>
      <c r="H13" s="7">
        <v>70720</v>
      </c>
      <c r="I13" s="7">
        <v>48.7228</v>
      </c>
      <c r="J13" s="7">
        <v>11473</v>
      </c>
      <c r="L13" s="1">
        <v>12</v>
      </c>
      <c r="M13" s="1">
        <v>2011</v>
      </c>
      <c r="N13" s="1">
        <v>1</v>
      </c>
      <c r="O13" s="1">
        <v>1</v>
      </c>
      <c r="P13" s="1">
        <v>1</v>
      </c>
      <c r="Q13" s="1">
        <v>1</v>
      </c>
      <c r="T13" s="1">
        <v>12</v>
      </c>
      <c r="U13" s="1">
        <v>2011</v>
      </c>
      <c r="V13" s="1">
        <v>1</v>
      </c>
      <c r="W13" s="1">
        <v>1</v>
      </c>
      <c r="X13" s="1">
        <v>1</v>
      </c>
      <c r="Y13" s="1">
        <v>1</v>
      </c>
    </row>
    <row r="14" s="1" customFormat="1" spans="1:25">
      <c r="A14" s="2" t="s">
        <v>28</v>
      </c>
      <c r="B14" s="2">
        <v>13</v>
      </c>
      <c r="C14" s="2">
        <v>2011</v>
      </c>
      <c r="D14" s="7">
        <v>2181</v>
      </c>
      <c r="E14" s="7">
        <v>29242.4729701964</v>
      </c>
      <c r="F14" s="7">
        <v>10653</v>
      </c>
      <c r="G14" s="7">
        <v>17560.18</v>
      </c>
      <c r="H14" s="7">
        <v>177186</v>
      </c>
      <c r="I14" s="7">
        <v>37.0269</v>
      </c>
      <c r="J14" s="7">
        <v>4415</v>
      </c>
      <c r="L14" s="1">
        <v>13</v>
      </c>
      <c r="M14" s="1">
        <v>2011</v>
      </c>
      <c r="N14" s="1">
        <v>1</v>
      </c>
      <c r="O14" s="1">
        <v>1</v>
      </c>
      <c r="P14" s="1">
        <v>1</v>
      </c>
      <c r="Q14" s="1">
        <v>1</v>
      </c>
      <c r="T14" s="1">
        <v>13</v>
      </c>
      <c r="U14" s="1">
        <v>2011</v>
      </c>
      <c r="V14" s="1">
        <v>1</v>
      </c>
      <c r="W14" s="1">
        <v>1</v>
      </c>
      <c r="X14" s="1">
        <v>1</v>
      </c>
      <c r="Y14" s="1">
        <v>1</v>
      </c>
    </row>
    <row r="15" s="1" customFormat="1" spans="1:25">
      <c r="A15" s="2" t="s">
        <v>29</v>
      </c>
      <c r="B15" s="2">
        <v>14</v>
      </c>
      <c r="C15" s="2">
        <v>2011</v>
      </c>
      <c r="D15" s="7">
        <v>2378</v>
      </c>
      <c r="E15" s="7">
        <v>17287.688722479</v>
      </c>
      <c r="F15" s="7">
        <v>6928</v>
      </c>
      <c r="G15" s="7">
        <v>11702.82</v>
      </c>
      <c r="H15" s="7">
        <v>71196</v>
      </c>
      <c r="I15" s="7">
        <v>56.8058</v>
      </c>
      <c r="J15" s="7">
        <v>11372</v>
      </c>
      <c r="L15" s="1">
        <v>14</v>
      </c>
      <c r="M15" s="1">
        <v>2011</v>
      </c>
      <c r="N15" s="1">
        <v>1</v>
      </c>
      <c r="O15" s="1">
        <v>1</v>
      </c>
      <c r="P15" s="1">
        <v>1</v>
      </c>
      <c r="Q15" s="1">
        <v>1</v>
      </c>
      <c r="T15" s="1">
        <v>14</v>
      </c>
      <c r="U15" s="1">
        <v>2011</v>
      </c>
      <c r="V15" s="1">
        <v>1</v>
      </c>
      <c r="W15" s="1">
        <v>1</v>
      </c>
      <c r="X15" s="1">
        <v>1</v>
      </c>
      <c r="Y15" s="1">
        <v>1</v>
      </c>
    </row>
    <row r="16" s="1" customFormat="1" spans="1:25">
      <c r="A16" s="2" t="s">
        <v>30</v>
      </c>
      <c r="B16" s="2">
        <v>15</v>
      </c>
      <c r="C16" s="2">
        <v>2011</v>
      </c>
      <c r="D16" s="7">
        <v>5915</v>
      </c>
      <c r="E16" s="7">
        <v>75456.4386543989</v>
      </c>
      <c r="F16" s="7">
        <v>37132</v>
      </c>
      <c r="G16" s="7">
        <v>45361.85</v>
      </c>
      <c r="H16" s="7">
        <v>187245</v>
      </c>
      <c r="I16" s="7">
        <v>162.8647</v>
      </c>
      <c r="J16" s="7">
        <v>19533</v>
      </c>
      <c r="L16" s="1">
        <v>15</v>
      </c>
      <c r="M16" s="1">
        <v>2011</v>
      </c>
      <c r="N16" s="1">
        <v>1</v>
      </c>
      <c r="O16" s="1">
        <v>1</v>
      </c>
      <c r="P16" s="1">
        <v>1</v>
      </c>
      <c r="Q16" s="1">
        <v>1</v>
      </c>
      <c r="T16" s="1">
        <v>15</v>
      </c>
      <c r="U16" s="1">
        <v>2011</v>
      </c>
      <c r="V16" s="1">
        <v>1</v>
      </c>
      <c r="W16" s="1">
        <v>1</v>
      </c>
      <c r="X16" s="1">
        <v>1</v>
      </c>
      <c r="Y16" s="1">
        <v>1</v>
      </c>
    </row>
    <row r="17" s="1" customFormat="1" spans="1:25">
      <c r="A17" s="2" t="s">
        <v>31</v>
      </c>
      <c r="B17" s="2">
        <v>16</v>
      </c>
      <c r="C17" s="2">
        <v>2011</v>
      </c>
      <c r="D17" s="7">
        <v>5129</v>
      </c>
      <c r="E17" s="7">
        <v>51322.4373305633</v>
      </c>
      <c r="F17" s="7">
        <v>23062</v>
      </c>
      <c r="G17" s="7">
        <v>26931.03</v>
      </c>
      <c r="H17" s="7">
        <v>138654</v>
      </c>
      <c r="I17" s="7">
        <v>122.92</v>
      </c>
      <c r="J17" s="7">
        <v>14574</v>
      </c>
      <c r="L17" s="1">
        <v>16</v>
      </c>
      <c r="M17" s="1">
        <v>2011</v>
      </c>
      <c r="N17" s="1">
        <v>1</v>
      </c>
      <c r="O17" s="1">
        <v>1</v>
      </c>
      <c r="P17" s="1">
        <v>1</v>
      </c>
      <c r="Q17" s="1">
        <v>1</v>
      </c>
      <c r="T17" s="1">
        <v>16</v>
      </c>
      <c r="U17" s="1">
        <v>2011</v>
      </c>
      <c r="V17" s="1">
        <v>1</v>
      </c>
      <c r="W17" s="1">
        <v>1</v>
      </c>
      <c r="X17" s="1">
        <v>1</v>
      </c>
      <c r="Y17" s="1">
        <v>1</v>
      </c>
    </row>
    <row r="18" s="1" customFormat="1" spans="1:25">
      <c r="A18" s="2" t="s">
        <v>32</v>
      </c>
      <c r="B18" s="2">
        <v>17</v>
      </c>
      <c r="C18" s="2">
        <v>2011</v>
      </c>
      <c r="D18" s="7">
        <v>3387</v>
      </c>
      <c r="E18" s="7">
        <v>29896.0870871496</v>
      </c>
      <c r="F18" s="7">
        <v>16579</v>
      </c>
      <c r="G18" s="7">
        <v>19632.26</v>
      </c>
      <c r="H18" s="7">
        <v>104434</v>
      </c>
      <c r="I18" s="7">
        <v>59.498</v>
      </c>
      <c r="J18" s="7">
        <v>7596</v>
      </c>
      <c r="L18" s="1">
        <v>17</v>
      </c>
      <c r="M18" s="1">
        <v>2011</v>
      </c>
      <c r="N18" s="1">
        <v>1</v>
      </c>
      <c r="O18" s="1">
        <v>1</v>
      </c>
      <c r="P18" s="1">
        <v>1</v>
      </c>
      <c r="Q18" s="1">
        <v>1</v>
      </c>
      <c r="T18" s="1">
        <v>17</v>
      </c>
      <c r="U18" s="1">
        <v>2011</v>
      </c>
      <c r="V18" s="1">
        <v>1</v>
      </c>
      <c r="W18" s="1">
        <v>1</v>
      </c>
      <c r="X18" s="1">
        <v>1</v>
      </c>
      <c r="Y18" s="1">
        <v>1</v>
      </c>
    </row>
    <row r="19" s="1" customFormat="1" spans="1:25">
      <c r="A19" s="2" t="s">
        <v>33</v>
      </c>
      <c r="B19" s="2">
        <v>18</v>
      </c>
      <c r="C19" s="2">
        <v>2011</v>
      </c>
      <c r="D19" s="7">
        <v>4005.03</v>
      </c>
      <c r="E19" s="7">
        <v>27292.408370407</v>
      </c>
      <c r="F19" s="7">
        <v>16161</v>
      </c>
      <c r="G19" s="7">
        <v>19669.56</v>
      </c>
      <c r="H19" s="7">
        <v>97197</v>
      </c>
      <c r="I19" s="7">
        <v>63.6181</v>
      </c>
      <c r="J19" s="7">
        <v>8487</v>
      </c>
      <c r="L19" s="1">
        <v>18</v>
      </c>
      <c r="M19" s="1">
        <v>2011</v>
      </c>
      <c r="N19" s="1">
        <v>1</v>
      </c>
      <c r="O19" s="1">
        <v>1</v>
      </c>
      <c r="P19" s="1">
        <v>1</v>
      </c>
      <c r="Q19" s="1">
        <v>1</v>
      </c>
      <c r="T19" s="1">
        <v>18</v>
      </c>
      <c r="U19" s="1">
        <v>2011</v>
      </c>
      <c r="V19" s="1">
        <v>1</v>
      </c>
      <c r="W19" s="1">
        <v>1</v>
      </c>
      <c r="X19" s="1">
        <v>1</v>
      </c>
      <c r="Y19" s="1">
        <v>1</v>
      </c>
    </row>
    <row r="20" s="1" customFormat="1" spans="1:25">
      <c r="A20" s="2" t="s">
        <v>34</v>
      </c>
      <c r="B20" s="2">
        <v>19</v>
      </c>
      <c r="C20" s="2">
        <v>2011</v>
      </c>
      <c r="D20" s="7">
        <v>6087</v>
      </c>
      <c r="E20" s="7">
        <v>66195.4214367533</v>
      </c>
      <c r="F20" s="7">
        <v>28480</v>
      </c>
      <c r="G20" s="7">
        <v>53210.28</v>
      </c>
      <c r="H20" s="7">
        <v>178626</v>
      </c>
      <c r="I20" s="7">
        <v>82.5952</v>
      </c>
      <c r="J20" s="7">
        <v>5849</v>
      </c>
      <c r="L20" s="1">
        <v>19</v>
      </c>
      <c r="M20" s="1">
        <v>2011</v>
      </c>
      <c r="N20" s="1">
        <v>1</v>
      </c>
      <c r="O20" s="1">
        <v>1</v>
      </c>
      <c r="P20" s="1">
        <v>1</v>
      </c>
      <c r="Q20" s="1">
        <v>1</v>
      </c>
      <c r="T20" s="1">
        <v>19</v>
      </c>
      <c r="U20" s="1">
        <v>2011</v>
      </c>
      <c r="V20" s="1">
        <v>1</v>
      </c>
      <c r="W20" s="1">
        <v>1</v>
      </c>
      <c r="X20" s="1">
        <v>1</v>
      </c>
      <c r="Y20" s="1">
        <v>1</v>
      </c>
    </row>
    <row r="21" s="1" customFormat="1" spans="1:25">
      <c r="A21" s="2" t="s">
        <v>35</v>
      </c>
      <c r="B21" s="2">
        <v>20</v>
      </c>
      <c r="C21" s="2">
        <v>2011</v>
      </c>
      <c r="D21" s="7">
        <v>2936</v>
      </c>
      <c r="E21" s="7">
        <v>24215.4199700209</v>
      </c>
      <c r="F21" s="7">
        <v>8591</v>
      </c>
      <c r="G21" s="7">
        <v>11720.87</v>
      </c>
      <c r="H21" s="7">
        <v>101234</v>
      </c>
      <c r="I21" s="7">
        <v>48.8744</v>
      </c>
      <c r="J21" s="7">
        <v>7438</v>
      </c>
      <c r="L21" s="1">
        <v>20</v>
      </c>
      <c r="M21" s="1">
        <v>2011</v>
      </c>
      <c r="N21" s="1">
        <v>1</v>
      </c>
      <c r="O21" s="1">
        <v>1</v>
      </c>
      <c r="P21" s="1">
        <v>1</v>
      </c>
      <c r="Q21" s="1">
        <v>1</v>
      </c>
      <c r="T21" s="1">
        <v>20</v>
      </c>
      <c r="U21" s="1">
        <v>2011</v>
      </c>
      <c r="V21" s="1">
        <v>1</v>
      </c>
      <c r="W21" s="1">
        <v>1</v>
      </c>
      <c r="X21" s="1">
        <v>1</v>
      </c>
      <c r="Y21" s="1">
        <v>1</v>
      </c>
    </row>
    <row r="22" s="1" customFormat="1" spans="1:25">
      <c r="A22" s="2" t="s">
        <v>36</v>
      </c>
      <c r="B22" s="2">
        <v>21</v>
      </c>
      <c r="C22" s="2">
        <v>2011</v>
      </c>
      <c r="D22" s="7">
        <v>465.21</v>
      </c>
      <c r="E22" s="7">
        <v>4066.09479290616</v>
      </c>
      <c r="F22" s="7">
        <v>1601</v>
      </c>
      <c r="G22" s="7">
        <v>2522.66</v>
      </c>
      <c r="H22" s="7">
        <v>6820</v>
      </c>
      <c r="I22" s="7">
        <v>3.1058</v>
      </c>
      <c r="J22" s="7">
        <v>421</v>
      </c>
      <c r="L22" s="1">
        <v>21</v>
      </c>
      <c r="M22" s="1">
        <v>2011</v>
      </c>
      <c r="N22" s="1">
        <v>1</v>
      </c>
      <c r="O22" s="1">
        <v>1</v>
      </c>
      <c r="P22" s="1">
        <v>1</v>
      </c>
      <c r="Q22" s="1">
        <v>1</v>
      </c>
      <c r="T22" s="1">
        <v>21</v>
      </c>
      <c r="U22" s="1">
        <v>2011</v>
      </c>
      <c r="V22" s="1">
        <v>1</v>
      </c>
      <c r="W22" s="1">
        <v>1</v>
      </c>
      <c r="X22" s="1">
        <v>1</v>
      </c>
      <c r="Y22" s="1">
        <v>1</v>
      </c>
    </row>
    <row r="23" s="1" customFormat="1" spans="1:25">
      <c r="A23" s="2" t="s">
        <v>37</v>
      </c>
      <c r="B23" s="2">
        <v>22</v>
      </c>
      <c r="C23" s="2">
        <v>2011</v>
      </c>
      <c r="D23" s="7">
        <v>1587.04</v>
      </c>
      <c r="E23" s="7">
        <v>16186.490885809</v>
      </c>
      <c r="F23" s="7">
        <v>8792</v>
      </c>
      <c r="G23" s="7">
        <v>10011.37</v>
      </c>
      <c r="H23" s="7">
        <v>33954</v>
      </c>
      <c r="I23" s="7">
        <v>53.134</v>
      </c>
      <c r="J23" s="7">
        <v>3299</v>
      </c>
      <c r="L23" s="1">
        <v>22</v>
      </c>
      <c r="M23" s="1">
        <v>2011</v>
      </c>
      <c r="N23" s="1">
        <v>1</v>
      </c>
      <c r="O23" s="1">
        <v>1</v>
      </c>
      <c r="P23" s="1">
        <v>1</v>
      </c>
      <c r="Q23" s="1">
        <v>1</v>
      </c>
      <c r="T23" s="1">
        <v>22</v>
      </c>
      <c r="U23" s="1">
        <v>2011</v>
      </c>
      <c r="V23" s="1">
        <v>1</v>
      </c>
      <c r="W23" s="1">
        <v>1</v>
      </c>
      <c r="X23" s="1">
        <v>1</v>
      </c>
      <c r="Y23" s="1">
        <v>1</v>
      </c>
    </row>
    <row r="24" s="1" customFormat="1" spans="1:25">
      <c r="A24" s="2" t="s">
        <v>38</v>
      </c>
      <c r="B24" s="2">
        <v>23</v>
      </c>
      <c r="C24" s="2">
        <v>2011</v>
      </c>
      <c r="D24" s="7">
        <v>4650</v>
      </c>
      <c r="E24" s="7">
        <v>30770.6844906112</v>
      </c>
      <c r="F24" s="7">
        <v>19696</v>
      </c>
      <c r="G24" s="7">
        <v>21026.68</v>
      </c>
      <c r="H24" s="7">
        <v>80420</v>
      </c>
      <c r="I24" s="7">
        <v>82.8929</v>
      </c>
      <c r="J24" s="7">
        <v>12684</v>
      </c>
      <c r="L24" s="1">
        <v>23</v>
      </c>
      <c r="M24" s="1">
        <v>2011</v>
      </c>
      <c r="N24" s="1">
        <v>1</v>
      </c>
      <c r="O24" s="1">
        <v>1</v>
      </c>
      <c r="P24" s="1">
        <v>1</v>
      </c>
      <c r="Q24" s="1">
        <v>1</v>
      </c>
      <c r="T24" s="1">
        <v>23</v>
      </c>
      <c r="U24" s="1">
        <v>2011</v>
      </c>
      <c r="V24" s="1">
        <v>1</v>
      </c>
      <c r="W24" s="1">
        <v>1</v>
      </c>
      <c r="X24" s="1">
        <v>1</v>
      </c>
      <c r="Y24" s="1">
        <v>1</v>
      </c>
    </row>
    <row r="25" s="1" customFormat="1" spans="1:25">
      <c r="A25" s="2" t="s">
        <v>39</v>
      </c>
      <c r="B25" s="2">
        <v>24</v>
      </c>
      <c r="C25" s="2">
        <v>2011</v>
      </c>
      <c r="D25" s="7">
        <v>1792.8</v>
      </c>
      <c r="E25" s="7">
        <v>9774.95394590783</v>
      </c>
      <c r="F25" s="7">
        <v>9068</v>
      </c>
      <c r="G25" s="7">
        <v>5701.84</v>
      </c>
      <c r="H25" s="7">
        <v>20626</v>
      </c>
      <c r="I25" s="7">
        <v>90.3132</v>
      </c>
      <c r="J25" s="7">
        <v>7598</v>
      </c>
      <c r="L25" s="1">
        <v>24</v>
      </c>
      <c r="M25" s="1">
        <v>2011</v>
      </c>
      <c r="N25" s="1">
        <v>1</v>
      </c>
      <c r="O25" s="1">
        <v>1</v>
      </c>
      <c r="P25" s="1">
        <v>1</v>
      </c>
      <c r="Q25" s="1">
        <v>1</v>
      </c>
      <c r="T25" s="1">
        <v>24</v>
      </c>
      <c r="U25" s="1">
        <v>2011</v>
      </c>
      <c r="V25" s="1">
        <v>1</v>
      </c>
      <c r="W25" s="1">
        <v>1</v>
      </c>
      <c r="X25" s="1">
        <v>1</v>
      </c>
      <c r="Y25" s="1">
        <v>1</v>
      </c>
    </row>
    <row r="26" s="1" customFormat="1" spans="1:25">
      <c r="A26" s="2" t="s">
        <v>40</v>
      </c>
      <c r="B26" s="2">
        <v>25</v>
      </c>
      <c r="C26" s="2">
        <v>2011</v>
      </c>
      <c r="D26" s="7">
        <v>2844</v>
      </c>
      <c r="E26" s="7">
        <v>16518.2654983303</v>
      </c>
      <c r="F26" s="7">
        <v>9540</v>
      </c>
      <c r="G26" s="7">
        <v>8893.12</v>
      </c>
      <c r="H26" s="7">
        <v>47228</v>
      </c>
      <c r="I26" s="7">
        <v>64.2523</v>
      </c>
      <c r="J26" s="7">
        <v>17335</v>
      </c>
      <c r="L26" s="1">
        <v>25</v>
      </c>
      <c r="M26" s="1">
        <v>2011</v>
      </c>
      <c r="N26" s="1">
        <v>1</v>
      </c>
      <c r="O26" s="1">
        <v>1</v>
      </c>
      <c r="P26" s="1">
        <v>1</v>
      </c>
      <c r="Q26" s="1">
        <v>1</v>
      </c>
      <c r="T26" s="1">
        <v>25</v>
      </c>
      <c r="U26" s="1">
        <v>2011</v>
      </c>
      <c r="V26" s="1">
        <v>1</v>
      </c>
      <c r="W26" s="1">
        <v>1</v>
      </c>
      <c r="X26" s="1">
        <v>1</v>
      </c>
      <c r="Y26" s="1">
        <v>1</v>
      </c>
    </row>
    <row r="27" s="1" customFormat="1" spans="1:25">
      <c r="A27" s="2" t="s">
        <v>41</v>
      </c>
      <c r="B27" s="2">
        <v>26</v>
      </c>
      <c r="C27" s="2">
        <v>2011</v>
      </c>
      <c r="D27" s="7">
        <v>2087</v>
      </c>
      <c r="E27" s="7">
        <v>21413.783785112</v>
      </c>
      <c r="F27" s="7">
        <v>9761</v>
      </c>
      <c r="G27" s="7">
        <v>12512.3</v>
      </c>
      <c r="H27" s="7">
        <v>40806</v>
      </c>
      <c r="I27" s="7">
        <v>83.1222</v>
      </c>
      <c r="J27" s="7">
        <v>7118</v>
      </c>
      <c r="L27" s="1">
        <v>26</v>
      </c>
      <c r="M27" s="1">
        <v>2011</v>
      </c>
      <c r="N27" s="1">
        <v>1</v>
      </c>
      <c r="O27" s="1">
        <v>1</v>
      </c>
      <c r="P27" s="1">
        <v>1</v>
      </c>
      <c r="Q27" s="1">
        <v>1</v>
      </c>
      <c r="T27" s="1">
        <v>26</v>
      </c>
      <c r="U27" s="1">
        <v>2011</v>
      </c>
      <c r="V27" s="1">
        <v>1</v>
      </c>
      <c r="W27" s="1">
        <v>1</v>
      </c>
      <c r="X27" s="1">
        <v>1</v>
      </c>
      <c r="Y27" s="1">
        <v>1</v>
      </c>
    </row>
    <row r="28" s="1" customFormat="1" spans="1:25">
      <c r="A28" s="2" t="s">
        <v>42</v>
      </c>
      <c r="B28" s="2">
        <v>27</v>
      </c>
      <c r="C28" s="2">
        <v>2011</v>
      </c>
      <c r="D28" s="7">
        <v>1379</v>
      </c>
      <c r="E28" s="7">
        <v>8126.95989103462</v>
      </c>
      <c r="F28" s="7">
        <v>6496</v>
      </c>
      <c r="G28" s="7">
        <v>5020.37</v>
      </c>
      <c r="H28" s="7">
        <v>19720</v>
      </c>
      <c r="I28" s="7">
        <v>52.7689</v>
      </c>
      <c r="J28" s="7">
        <v>6524</v>
      </c>
      <c r="L28" s="1">
        <v>27</v>
      </c>
      <c r="M28" s="1">
        <v>2011</v>
      </c>
      <c r="N28" s="1">
        <v>1</v>
      </c>
      <c r="O28" s="1">
        <v>1</v>
      </c>
      <c r="P28" s="1">
        <v>1</v>
      </c>
      <c r="Q28" s="1">
        <v>1</v>
      </c>
      <c r="T28" s="1">
        <v>27</v>
      </c>
      <c r="U28" s="1">
        <v>2011</v>
      </c>
      <c r="V28" s="1">
        <v>1</v>
      </c>
      <c r="W28" s="1">
        <v>1</v>
      </c>
      <c r="X28" s="1">
        <v>1</v>
      </c>
      <c r="Y28" s="1">
        <v>1</v>
      </c>
    </row>
    <row r="29" s="1" customFormat="1" spans="1:25">
      <c r="A29" s="2" t="s">
        <v>43</v>
      </c>
      <c r="B29" s="2">
        <v>28</v>
      </c>
      <c r="C29" s="2">
        <v>2011</v>
      </c>
      <c r="D29" s="7">
        <v>309.18</v>
      </c>
      <c r="E29" s="7">
        <v>3629.82329341728</v>
      </c>
      <c r="F29" s="7">
        <v>3189</v>
      </c>
      <c r="G29" s="7">
        <v>1670.44</v>
      </c>
      <c r="H29" s="7">
        <v>8677</v>
      </c>
      <c r="I29" s="7">
        <v>13.4315</v>
      </c>
      <c r="J29" s="7">
        <v>12017</v>
      </c>
      <c r="L29" s="1">
        <v>28</v>
      </c>
      <c r="M29" s="1">
        <v>2011</v>
      </c>
      <c r="N29" s="1">
        <v>1</v>
      </c>
      <c r="O29" s="1">
        <v>1</v>
      </c>
      <c r="P29" s="1">
        <v>1</v>
      </c>
      <c r="Q29" s="1">
        <v>1</v>
      </c>
      <c r="T29" s="1">
        <v>28</v>
      </c>
      <c r="U29" s="1">
        <v>2011</v>
      </c>
      <c r="V29" s="1">
        <v>1</v>
      </c>
      <c r="W29" s="1">
        <v>1</v>
      </c>
      <c r="X29" s="1">
        <v>1</v>
      </c>
      <c r="Y29" s="1">
        <v>1</v>
      </c>
    </row>
    <row r="30" s="1" customFormat="1" spans="1:25">
      <c r="A30" s="2" t="s">
        <v>44</v>
      </c>
      <c r="B30" s="2">
        <v>29</v>
      </c>
      <c r="C30" s="2">
        <v>2011</v>
      </c>
      <c r="D30" s="7">
        <v>347</v>
      </c>
      <c r="E30" s="7">
        <v>4804.7045592257</v>
      </c>
      <c r="F30" s="7">
        <v>4316</v>
      </c>
      <c r="G30" s="7">
        <v>2102.21</v>
      </c>
      <c r="H30" s="7">
        <v>19285</v>
      </c>
      <c r="I30" s="7">
        <v>38.7865</v>
      </c>
      <c r="J30" s="7">
        <v>3344</v>
      </c>
      <c r="L30" s="1">
        <v>29</v>
      </c>
      <c r="M30" s="1">
        <v>2011</v>
      </c>
      <c r="N30" s="1">
        <v>1</v>
      </c>
      <c r="O30" s="1">
        <v>1</v>
      </c>
      <c r="P30" s="1">
        <v>1</v>
      </c>
      <c r="Q30" s="1">
        <v>1</v>
      </c>
      <c r="T30" s="1">
        <v>29</v>
      </c>
      <c r="U30" s="1">
        <v>2011</v>
      </c>
      <c r="V30" s="1">
        <v>1</v>
      </c>
      <c r="W30" s="1">
        <v>1</v>
      </c>
      <c r="X30" s="1">
        <v>1</v>
      </c>
      <c r="Y30" s="1">
        <v>1</v>
      </c>
    </row>
    <row r="31" s="1" customFormat="1" spans="1:25">
      <c r="A31" s="2" t="s">
        <v>45</v>
      </c>
      <c r="B31" s="2">
        <v>30</v>
      </c>
      <c r="C31" s="2">
        <v>2011</v>
      </c>
      <c r="D31" s="7">
        <v>1235</v>
      </c>
      <c r="E31" s="7">
        <v>11958.1737052997</v>
      </c>
      <c r="F31" s="7">
        <v>9927</v>
      </c>
      <c r="G31" s="7">
        <v>6610.05</v>
      </c>
      <c r="H31" s="7">
        <v>28769</v>
      </c>
      <c r="I31" s="7">
        <v>66.905</v>
      </c>
      <c r="J31" s="7">
        <v>5219</v>
      </c>
      <c r="L31" s="1">
        <v>30</v>
      </c>
      <c r="M31" s="1">
        <v>2011</v>
      </c>
      <c r="N31" s="1">
        <v>1</v>
      </c>
      <c r="O31" s="1">
        <v>1</v>
      </c>
      <c r="P31" s="1">
        <v>1</v>
      </c>
      <c r="Q31" s="1">
        <v>1</v>
      </c>
      <c r="T31" s="1">
        <v>30</v>
      </c>
      <c r="U31" s="1">
        <v>2011</v>
      </c>
      <c r="V31" s="1">
        <v>1</v>
      </c>
      <c r="W31" s="1">
        <v>1</v>
      </c>
      <c r="X31" s="1">
        <v>1</v>
      </c>
      <c r="Y31" s="1">
        <v>1</v>
      </c>
    </row>
    <row r="32" s="1" customFormat="1" spans="1:25">
      <c r="A32" s="2" t="s">
        <v>16</v>
      </c>
      <c r="B32" s="2">
        <v>1</v>
      </c>
      <c r="C32" s="2">
        <v>2012</v>
      </c>
      <c r="D32" s="7">
        <v>1107.3</v>
      </c>
      <c r="E32" s="7">
        <v>27257.0717505261</v>
      </c>
      <c r="F32" s="7">
        <v>7178</v>
      </c>
      <c r="G32" s="7">
        <v>17879.4</v>
      </c>
      <c r="H32" s="7">
        <v>9190</v>
      </c>
      <c r="I32" s="7">
        <v>5.933</v>
      </c>
      <c r="J32" s="7">
        <v>1104</v>
      </c>
      <c r="L32" s="1">
        <v>1</v>
      </c>
      <c r="M32" s="1">
        <v>2012</v>
      </c>
      <c r="N32" s="9">
        <v>0.989736404413905</v>
      </c>
      <c r="O32" s="9">
        <v>1.00828605605696</v>
      </c>
      <c r="P32" s="9">
        <v>1.02919614482496</v>
      </c>
      <c r="Q32" s="9">
        <v>1.01280978966141</v>
      </c>
      <c r="T32" s="1">
        <v>1</v>
      </c>
      <c r="U32" s="1">
        <v>2012</v>
      </c>
      <c r="V32" s="1">
        <f>V2*N32</f>
        <v>0.989736404413905</v>
      </c>
      <c r="W32" s="1">
        <f>W2*O32</f>
        <v>1.00828605605696</v>
      </c>
      <c r="X32" s="1">
        <f>X2*P32</f>
        <v>1.02919614482496</v>
      </c>
      <c r="Y32" s="1">
        <f>Y2*Q32</f>
        <v>1.01280978966141</v>
      </c>
    </row>
    <row r="33" s="1" customFormat="1" spans="1:25">
      <c r="A33" s="2" t="s">
        <v>17</v>
      </c>
      <c r="B33" s="2">
        <v>2</v>
      </c>
      <c r="C33" s="2">
        <v>2012</v>
      </c>
      <c r="D33" s="7">
        <v>803.14</v>
      </c>
      <c r="E33" s="7">
        <v>26426.9599131107</v>
      </c>
      <c r="F33" s="7">
        <v>8208</v>
      </c>
      <c r="G33" s="7">
        <v>12893.88</v>
      </c>
      <c r="H33" s="7">
        <v>19117</v>
      </c>
      <c r="I33" s="7">
        <v>21.5481</v>
      </c>
      <c r="J33" s="7">
        <v>1820</v>
      </c>
      <c r="L33" s="1">
        <v>2</v>
      </c>
      <c r="M33" s="1">
        <v>2012</v>
      </c>
      <c r="N33" s="9">
        <v>0.969358135361501</v>
      </c>
      <c r="O33" s="9">
        <v>1.08815138753548</v>
      </c>
      <c r="P33" s="9">
        <v>1.00780170095413</v>
      </c>
      <c r="Q33" s="9">
        <v>1.1506065478837</v>
      </c>
      <c r="T33" s="1">
        <v>2</v>
      </c>
      <c r="U33" s="1">
        <v>2012</v>
      </c>
      <c r="V33" s="1">
        <f t="shared" ref="V33:V96" si="0">V3*N33</f>
        <v>0.969358135361501</v>
      </c>
      <c r="W33" s="1">
        <f t="shared" ref="W33:W96" si="1">W3*O33</f>
        <v>1.08815138753548</v>
      </c>
      <c r="X33" s="1">
        <f t="shared" ref="X33:X96" si="2">X3*P33</f>
        <v>1.00780170095413</v>
      </c>
      <c r="Y33" s="1">
        <f t="shared" ref="Y33:Y96" si="3">Y3*Q33</f>
        <v>1.1506065478837</v>
      </c>
    </row>
    <row r="34" s="1" customFormat="1" spans="1:25">
      <c r="A34" s="2" t="s">
        <v>18</v>
      </c>
      <c r="B34" s="2">
        <v>3</v>
      </c>
      <c r="C34" s="2">
        <v>2012</v>
      </c>
      <c r="D34" s="7">
        <v>4063</v>
      </c>
      <c r="E34" s="7">
        <v>48133.3040700772</v>
      </c>
      <c r="F34" s="7">
        <v>30250</v>
      </c>
      <c r="G34" s="7">
        <v>26575.01</v>
      </c>
      <c r="H34" s="7">
        <v>122645</v>
      </c>
      <c r="I34" s="7">
        <v>123.8737</v>
      </c>
      <c r="J34" s="7">
        <v>45576</v>
      </c>
      <c r="L34" s="1">
        <v>3</v>
      </c>
      <c r="M34" s="1">
        <v>2012</v>
      </c>
      <c r="N34" s="9">
        <v>0.968739163365642</v>
      </c>
      <c r="O34" s="9">
        <v>1.03930331272643</v>
      </c>
      <c r="P34" s="9">
        <v>0.976363709448254</v>
      </c>
      <c r="Q34" s="9">
        <v>1.00114737925944</v>
      </c>
      <c r="T34" s="1">
        <v>3</v>
      </c>
      <c r="U34" s="1">
        <v>2012</v>
      </c>
      <c r="V34" s="1">
        <f t="shared" si="0"/>
        <v>0.968739163365642</v>
      </c>
      <c r="W34" s="1">
        <f t="shared" si="1"/>
        <v>1.03930331272643</v>
      </c>
      <c r="X34" s="1">
        <f t="shared" si="2"/>
        <v>0.976363709448254</v>
      </c>
      <c r="Y34" s="1">
        <f t="shared" si="3"/>
        <v>1.00114737925944</v>
      </c>
    </row>
    <row r="35" s="1" customFormat="1" spans="1:25">
      <c r="A35" s="2" t="s">
        <v>19</v>
      </c>
      <c r="B35" s="2">
        <v>4</v>
      </c>
      <c r="C35" s="2">
        <v>2012</v>
      </c>
      <c r="D35" s="7">
        <v>1834</v>
      </c>
      <c r="E35" s="7">
        <v>22192.5048257376</v>
      </c>
      <c r="F35" s="7">
        <v>19336</v>
      </c>
      <c r="G35" s="7">
        <v>12112.83</v>
      </c>
      <c r="H35" s="7">
        <v>48108</v>
      </c>
      <c r="I35" s="7">
        <v>119.4634</v>
      </c>
      <c r="J35" s="7">
        <v>29031</v>
      </c>
      <c r="L35" s="1">
        <v>4</v>
      </c>
      <c r="M35" s="1">
        <v>2012</v>
      </c>
      <c r="N35" s="9">
        <v>0.951186446523067</v>
      </c>
      <c r="O35" s="9">
        <v>0.966987213548554</v>
      </c>
      <c r="P35" s="9">
        <v>0.959676760342221</v>
      </c>
      <c r="Q35" s="9">
        <v>0.97797797193176</v>
      </c>
      <c r="T35" s="1">
        <v>4</v>
      </c>
      <c r="U35" s="1">
        <v>2012</v>
      </c>
      <c r="V35" s="1">
        <f t="shared" si="0"/>
        <v>0.951186446523067</v>
      </c>
      <c r="W35" s="1">
        <f t="shared" si="1"/>
        <v>0.966987213548554</v>
      </c>
      <c r="X35" s="1">
        <f t="shared" si="2"/>
        <v>0.959676760342221</v>
      </c>
      <c r="Y35" s="1">
        <f t="shared" si="3"/>
        <v>0.97797797193176</v>
      </c>
    </row>
    <row r="36" s="1" customFormat="1" spans="1:25">
      <c r="A36" s="2" t="s">
        <v>20</v>
      </c>
      <c r="B36" s="2">
        <v>5</v>
      </c>
      <c r="C36" s="2">
        <v>2012</v>
      </c>
      <c r="D36" s="7">
        <v>1379</v>
      </c>
      <c r="E36" s="7">
        <v>33389.295836039</v>
      </c>
      <c r="F36" s="7">
        <v>19786</v>
      </c>
      <c r="G36" s="7">
        <v>15880.58</v>
      </c>
      <c r="H36" s="7">
        <v>33618</v>
      </c>
      <c r="I36" s="7">
        <v>124.1475</v>
      </c>
      <c r="J36" s="7">
        <v>24226</v>
      </c>
      <c r="L36" s="1">
        <v>5</v>
      </c>
      <c r="M36" s="1">
        <v>2012</v>
      </c>
      <c r="N36" s="9">
        <v>0.976080229590134</v>
      </c>
      <c r="O36" s="9">
        <v>1.00498831338093</v>
      </c>
      <c r="P36" s="9">
        <v>0.985396703590846</v>
      </c>
      <c r="Q36" s="9">
        <v>1.02318103711201</v>
      </c>
      <c r="T36" s="1">
        <v>5</v>
      </c>
      <c r="U36" s="1">
        <v>2012</v>
      </c>
      <c r="V36" s="1">
        <f t="shared" si="0"/>
        <v>0.976080229590134</v>
      </c>
      <c r="W36" s="1">
        <f t="shared" si="1"/>
        <v>1.00498831338093</v>
      </c>
      <c r="X36" s="1">
        <f t="shared" si="2"/>
        <v>0.985396703590846</v>
      </c>
      <c r="Y36" s="1">
        <f t="shared" si="3"/>
        <v>1.02318103711201</v>
      </c>
    </row>
    <row r="37" s="1" customFormat="1" spans="1:25">
      <c r="A37" s="2" t="s">
        <v>21</v>
      </c>
      <c r="B37" s="2">
        <v>6</v>
      </c>
      <c r="C37" s="2">
        <v>2012</v>
      </c>
      <c r="D37" s="7">
        <v>2423.8</v>
      </c>
      <c r="E37" s="7">
        <v>45744.8921604113</v>
      </c>
      <c r="F37" s="7">
        <v>23526</v>
      </c>
      <c r="G37" s="7">
        <v>24846.43</v>
      </c>
      <c r="H37" s="7">
        <v>87168</v>
      </c>
      <c r="I37" s="7">
        <v>97.9025</v>
      </c>
      <c r="J37" s="7">
        <v>27280</v>
      </c>
      <c r="L37" s="1">
        <v>6</v>
      </c>
      <c r="M37" s="1">
        <v>2012</v>
      </c>
      <c r="N37" s="9">
        <v>0.989901418465513</v>
      </c>
      <c r="O37" s="9">
        <v>1.10217970187587</v>
      </c>
      <c r="P37" s="9">
        <v>1.00748879897199</v>
      </c>
      <c r="Q37" s="9">
        <v>1.0349158186209</v>
      </c>
      <c r="T37" s="1">
        <v>6</v>
      </c>
      <c r="U37" s="1">
        <v>2012</v>
      </c>
      <c r="V37" s="1">
        <f t="shared" si="0"/>
        <v>0.989901418465513</v>
      </c>
      <c r="W37" s="1">
        <f t="shared" si="1"/>
        <v>1.10217970187587</v>
      </c>
      <c r="X37" s="1">
        <f t="shared" si="2"/>
        <v>1.00748879897199</v>
      </c>
      <c r="Y37" s="1">
        <f t="shared" si="3"/>
        <v>1.0349158186209</v>
      </c>
    </row>
    <row r="38" s="1" customFormat="1" spans="1:25">
      <c r="A38" s="2" t="s">
        <v>22</v>
      </c>
      <c r="B38" s="2">
        <v>7</v>
      </c>
      <c r="C38" s="2">
        <v>2012</v>
      </c>
      <c r="D38" s="7">
        <v>1489.99</v>
      </c>
      <c r="E38" s="7">
        <v>29174.3202986581</v>
      </c>
      <c r="F38" s="7">
        <v>9443</v>
      </c>
      <c r="G38" s="7">
        <v>11939.24</v>
      </c>
      <c r="H38" s="7">
        <v>44842</v>
      </c>
      <c r="I38" s="7">
        <v>35.2337</v>
      </c>
      <c r="J38" s="7">
        <v>4731</v>
      </c>
      <c r="L38" s="1">
        <v>7</v>
      </c>
      <c r="M38" s="1">
        <v>2012</v>
      </c>
      <c r="N38" s="9">
        <v>1.00966837065079</v>
      </c>
      <c r="O38" s="9">
        <v>1.04627128050028</v>
      </c>
      <c r="P38" s="9">
        <v>1.03438262193551</v>
      </c>
      <c r="Q38" s="9">
        <v>1.06979263919044</v>
      </c>
      <c r="T38" s="1">
        <v>7</v>
      </c>
      <c r="U38" s="1">
        <v>2012</v>
      </c>
      <c r="V38" s="1">
        <f t="shared" si="0"/>
        <v>1.00966837065079</v>
      </c>
      <c r="W38" s="1">
        <f t="shared" si="1"/>
        <v>1.04627128050028</v>
      </c>
      <c r="X38" s="1">
        <f t="shared" si="2"/>
        <v>1.03438262193551</v>
      </c>
      <c r="Y38" s="1">
        <f t="shared" si="3"/>
        <v>1.06979263919044</v>
      </c>
    </row>
    <row r="39" s="1" customFormat="1" spans="1:25">
      <c r="A39" s="2" t="s">
        <v>23</v>
      </c>
      <c r="B39" s="2">
        <v>8</v>
      </c>
      <c r="C39" s="2">
        <v>2012</v>
      </c>
      <c r="D39" s="7">
        <v>2027.8</v>
      </c>
      <c r="E39" s="7">
        <v>23089.4544376368</v>
      </c>
      <c r="F39" s="7">
        <v>12758</v>
      </c>
      <c r="G39" s="7">
        <v>13691.58</v>
      </c>
      <c r="H39" s="7">
        <v>58355</v>
      </c>
      <c r="I39" s="7">
        <v>39.7284</v>
      </c>
      <c r="J39" s="7">
        <v>6313</v>
      </c>
      <c r="L39" s="1">
        <v>8</v>
      </c>
      <c r="M39" s="1">
        <v>2012</v>
      </c>
      <c r="N39" s="9">
        <v>0.950864993819764</v>
      </c>
      <c r="O39" s="9">
        <v>0.970968147125899</v>
      </c>
      <c r="P39" s="9">
        <v>0.964933624229649</v>
      </c>
      <c r="Q39" s="9">
        <v>0.984160698367879</v>
      </c>
      <c r="T39" s="1">
        <v>8</v>
      </c>
      <c r="U39" s="1">
        <v>2012</v>
      </c>
      <c r="V39" s="1">
        <f t="shared" si="0"/>
        <v>0.950864993819764</v>
      </c>
      <c r="W39" s="1">
        <f t="shared" si="1"/>
        <v>0.970968147125899</v>
      </c>
      <c r="X39" s="1">
        <f t="shared" si="2"/>
        <v>0.964933624229649</v>
      </c>
      <c r="Y39" s="1">
        <f t="shared" si="3"/>
        <v>0.984160698367879</v>
      </c>
    </row>
    <row r="40" s="1" customFormat="1" spans="1:25">
      <c r="A40" s="2" t="s">
        <v>24</v>
      </c>
      <c r="B40" s="2">
        <v>9</v>
      </c>
      <c r="C40" s="2">
        <v>2012</v>
      </c>
      <c r="D40" s="7">
        <v>1115.5</v>
      </c>
      <c r="E40" s="7">
        <v>32106.6208260222</v>
      </c>
      <c r="F40" s="7">
        <v>11362</v>
      </c>
      <c r="G40" s="7">
        <v>20181.72</v>
      </c>
      <c r="H40" s="7">
        <v>46359</v>
      </c>
      <c r="I40" s="7">
        <v>19.3405</v>
      </c>
      <c r="J40" s="7">
        <v>2199</v>
      </c>
      <c r="L40" s="1">
        <v>9</v>
      </c>
      <c r="M40" s="1">
        <v>2012</v>
      </c>
      <c r="N40" s="9">
        <v>1.00361621785995</v>
      </c>
      <c r="O40" s="9">
        <v>1.00539704773737</v>
      </c>
      <c r="P40" s="9">
        <v>1.01368583644942</v>
      </c>
      <c r="Q40" s="9">
        <v>1.13432796559186</v>
      </c>
      <c r="T40" s="1">
        <v>9</v>
      </c>
      <c r="U40" s="1">
        <v>2012</v>
      </c>
      <c r="V40" s="1">
        <f t="shared" si="0"/>
        <v>1.00361621785995</v>
      </c>
      <c r="W40" s="1">
        <f t="shared" si="1"/>
        <v>1.00539704773737</v>
      </c>
      <c r="X40" s="1">
        <f t="shared" si="2"/>
        <v>1.01368583644942</v>
      </c>
      <c r="Y40" s="1">
        <f t="shared" si="3"/>
        <v>1.13432796559186</v>
      </c>
    </row>
    <row r="41" s="1" customFormat="1" spans="1:25">
      <c r="A41" s="2" t="s">
        <v>25</v>
      </c>
      <c r="B41" s="2">
        <v>10</v>
      </c>
      <c r="C41" s="2">
        <v>2012</v>
      </c>
      <c r="D41" s="7">
        <v>4770.54</v>
      </c>
      <c r="E41" s="7">
        <v>81232.7251479906</v>
      </c>
      <c r="F41" s="7">
        <v>28850</v>
      </c>
      <c r="G41" s="7">
        <v>54058.22</v>
      </c>
      <c r="H41" s="7">
        <v>236094</v>
      </c>
      <c r="I41" s="7">
        <v>95.921</v>
      </c>
      <c r="J41" s="7">
        <v>10224</v>
      </c>
      <c r="L41" s="1">
        <v>10</v>
      </c>
      <c r="M41" s="1">
        <v>2012</v>
      </c>
      <c r="N41" s="9">
        <v>1.06356954832699</v>
      </c>
      <c r="O41" s="9">
        <v>1.15247135968905</v>
      </c>
      <c r="P41" s="9">
        <v>1.00995906077713</v>
      </c>
      <c r="Q41" s="9">
        <v>0.952881949605789</v>
      </c>
      <c r="T41" s="1">
        <v>10</v>
      </c>
      <c r="U41" s="1">
        <v>2012</v>
      </c>
      <c r="V41" s="1">
        <f t="shared" si="0"/>
        <v>1.06356954832699</v>
      </c>
      <c r="W41" s="1">
        <f t="shared" si="1"/>
        <v>1.15247135968905</v>
      </c>
      <c r="X41" s="1">
        <f t="shared" si="2"/>
        <v>1.00995906077713</v>
      </c>
      <c r="Y41" s="1">
        <f t="shared" si="3"/>
        <v>0.952881949605789</v>
      </c>
    </row>
    <row r="42" s="1" customFormat="1" spans="1:25">
      <c r="A42" s="2" t="s">
        <v>26</v>
      </c>
      <c r="B42" s="2">
        <v>11</v>
      </c>
      <c r="C42" s="2">
        <v>2012</v>
      </c>
      <c r="D42" s="7">
        <v>3407</v>
      </c>
      <c r="E42" s="7">
        <v>53598.903335596</v>
      </c>
      <c r="F42" s="7">
        <v>18076</v>
      </c>
      <c r="G42" s="7">
        <v>34665.33</v>
      </c>
      <c r="H42" s="7">
        <v>175416</v>
      </c>
      <c r="I42" s="7">
        <v>61.0882</v>
      </c>
      <c r="J42" s="7">
        <v>4461</v>
      </c>
      <c r="L42" s="1">
        <v>11</v>
      </c>
      <c r="M42" s="1">
        <v>2012</v>
      </c>
      <c r="N42" s="9">
        <v>0.995882519662205</v>
      </c>
      <c r="O42" s="9">
        <v>1.24333323372704</v>
      </c>
      <c r="P42" s="9">
        <v>1.00604386297245</v>
      </c>
      <c r="Q42" s="9">
        <v>0.995287080053818</v>
      </c>
      <c r="T42" s="1">
        <v>11</v>
      </c>
      <c r="U42" s="1">
        <v>2012</v>
      </c>
      <c r="V42" s="1">
        <f t="shared" si="0"/>
        <v>0.995882519662205</v>
      </c>
      <c r="W42" s="1">
        <f t="shared" si="1"/>
        <v>1.24333323372704</v>
      </c>
      <c r="X42" s="1">
        <f t="shared" si="2"/>
        <v>1.00604386297245</v>
      </c>
      <c r="Y42" s="1">
        <f t="shared" si="3"/>
        <v>0.995287080053818</v>
      </c>
    </row>
    <row r="43" s="1" customFormat="1" spans="1:25">
      <c r="A43" s="2" t="s">
        <v>27</v>
      </c>
      <c r="B43" s="2">
        <v>12</v>
      </c>
      <c r="C43" s="2">
        <v>2012</v>
      </c>
      <c r="D43" s="7">
        <v>4206.8</v>
      </c>
      <c r="E43" s="7">
        <v>25357.4021813482</v>
      </c>
      <c r="F43" s="7">
        <v>11358</v>
      </c>
      <c r="G43" s="7">
        <v>17212.05</v>
      </c>
      <c r="H43" s="7">
        <v>67175</v>
      </c>
      <c r="I43" s="7">
        <v>46.9776</v>
      </c>
      <c r="J43" s="7">
        <v>12022</v>
      </c>
      <c r="L43" s="1">
        <v>12</v>
      </c>
      <c r="M43" s="1">
        <v>2012</v>
      </c>
      <c r="N43" s="9">
        <v>0.977302800570721</v>
      </c>
      <c r="O43" s="9">
        <v>0.928782180393736</v>
      </c>
      <c r="P43" s="9">
        <v>0.993174922787749</v>
      </c>
      <c r="Q43" s="9">
        <v>0.967097938190152</v>
      </c>
      <c r="T43" s="1">
        <v>12</v>
      </c>
      <c r="U43" s="1">
        <v>2012</v>
      </c>
      <c r="V43" s="1">
        <f t="shared" si="0"/>
        <v>0.977302800570721</v>
      </c>
      <c r="W43" s="1">
        <f t="shared" si="1"/>
        <v>0.928782180393736</v>
      </c>
      <c r="X43" s="1">
        <f t="shared" si="2"/>
        <v>0.993174922787749</v>
      </c>
      <c r="Y43" s="1">
        <f t="shared" si="3"/>
        <v>0.967097938190152</v>
      </c>
    </row>
    <row r="44" s="1" customFormat="1" spans="1:25">
      <c r="A44" s="2" t="s">
        <v>28</v>
      </c>
      <c r="B44" s="2">
        <v>13</v>
      </c>
      <c r="C44" s="2">
        <v>2012</v>
      </c>
      <c r="D44" s="7">
        <v>2202</v>
      </c>
      <c r="E44" s="7">
        <v>33986.7646203904</v>
      </c>
      <c r="F44" s="7">
        <v>11185</v>
      </c>
      <c r="G44" s="7">
        <v>19701.78</v>
      </c>
      <c r="H44" s="7">
        <v>106319</v>
      </c>
      <c r="I44" s="7">
        <v>35.2389</v>
      </c>
      <c r="J44" s="7">
        <v>7720</v>
      </c>
      <c r="L44" s="1">
        <v>13</v>
      </c>
      <c r="M44" s="1">
        <v>2012</v>
      </c>
      <c r="N44" s="9">
        <v>0.99354437910919</v>
      </c>
      <c r="O44" s="9">
        <v>1.09446047472912</v>
      </c>
      <c r="P44" s="9">
        <v>1.014774746896</v>
      </c>
      <c r="Q44" s="9">
        <v>1.0315584181685</v>
      </c>
      <c r="T44" s="1">
        <v>13</v>
      </c>
      <c r="U44" s="1">
        <v>2012</v>
      </c>
      <c r="V44" s="1">
        <f t="shared" si="0"/>
        <v>0.99354437910919</v>
      </c>
      <c r="W44" s="1">
        <f t="shared" si="1"/>
        <v>1.09446047472912</v>
      </c>
      <c r="X44" s="1">
        <f t="shared" si="2"/>
        <v>1.014774746896</v>
      </c>
      <c r="Y44" s="1">
        <f t="shared" si="3"/>
        <v>1.0315584181685</v>
      </c>
    </row>
    <row r="45" s="1" customFormat="1" spans="1:25">
      <c r="A45" s="2" t="s">
        <v>29</v>
      </c>
      <c r="B45" s="2">
        <v>14</v>
      </c>
      <c r="C45" s="2">
        <v>2012</v>
      </c>
      <c r="D45" s="7">
        <v>2364</v>
      </c>
      <c r="E45" s="7">
        <v>19634.5059897851</v>
      </c>
      <c r="F45" s="7">
        <v>7233</v>
      </c>
      <c r="G45" s="7">
        <v>12948.88</v>
      </c>
      <c r="H45" s="7">
        <v>67871</v>
      </c>
      <c r="I45" s="7">
        <v>55.1502</v>
      </c>
      <c r="J45" s="7">
        <v>11134</v>
      </c>
      <c r="L45" s="1">
        <v>14</v>
      </c>
      <c r="M45" s="1">
        <v>2012</v>
      </c>
      <c r="N45" s="9">
        <v>0.992924254328582</v>
      </c>
      <c r="O45" s="9">
        <v>0.95991147478079</v>
      </c>
      <c r="P45" s="9">
        <v>1.00852103015261</v>
      </c>
      <c r="Q45" s="9">
        <v>0.994354008116861</v>
      </c>
      <c r="T45" s="1">
        <v>14</v>
      </c>
      <c r="U45" s="1">
        <v>2012</v>
      </c>
      <c r="V45" s="1">
        <f t="shared" si="0"/>
        <v>0.992924254328582</v>
      </c>
      <c r="W45" s="1">
        <f t="shared" si="1"/>
        <v>0.95991147478079</v>
      </c>
      <c r="X45" s="1">
        <f t="shared" si="2"/>
        <v>1.00852103015261</v>
      </c>
      <c r="Y45" s="1">
        <f t="shared" si="3"/>
        <v>0.994354008116861</v>
      </c>
    </row>
    <row r="46" s="1" customFormat="1" spans="1:25">
      <c r="A46" s="2" t="s">
        <v>30</v>
      </c>
      <c r="B46" s="2">
        <v>15</v>
      </c>
      <c r="C46" s="2">
        <v>2012</v>
      </c>
      <c r="D46" s="7">
        <v>5892</v>
      </c>
      <c r="E46" s="7">
        <v>85847.7134400747</v>
      </c>
      <c r="F46" s="7">
        <v>38899</v>
      </c>
      <c r="G46" s="7">
        <v>50013.24</v>
      </c>
      <c r="H46" s="7">
        <v>183634</v>
      </c>
      <c r="I46" s="7">
        <v>154.3766</v>
      </c>
      <c r="J46" s="7">
        <v>18343</v>
      </c>
      <c r="L46" s="1">
        <v>15</v>
      </c>
      <c r="M46" s="1">
        <v>2012</v>
      </c>
      <c r="N46" s="9">
        <v>1.05728316909875</v>
      </c>
      <c r="O46" s="9">
        <v>1.10236988385298</v>
      </c>
      <c r="P46" s="9">
        <v>1.008618313305</v>
      </c>
      <c r="Q46" s="9">
        <v>1.03574043872215</v>
      </c>
      <c r="T46" s="1">
        <v>15</v>
      </c>
      <c r="U46" s="1">
        <v>2012</v>
      </c>
      <c r="V46" s="1">
        <f t="shared" si="0"/>
        <v>1.05728316909875</v>
      </c>
      <c r="W46" s="1">
        <f t="shared" si="1"/>
        <v>1.10236988385298</v>
      </c>
      <c r="X46" s="1">
        <f t="shared" si="2"/>
        <v>1.008618313305</v>
      </c>
      <c r="Y46" s="1">
        <f t="shared" si="3"/>
        <v>1.03574043872215</v>
      </c>
    </row>
    <row r="47" s="1" customFormat="1" spans="1:25">
      <c r="A47" s="2" t="s">
        <v>31</v>
      </c>
      <c r="B47" s="2">
        <v>16</v>
      </c>
      <c r="C47" s="2">
        <v>2012</v>
      </c>
      <c r="D47" s="7">
        <v>5110</v>
      </c>
      <c r="E47" s="7">
        <v>60747.8064124874</v>
      </c>
      <c r="F47" s="7">
        <v>23647</v>
      </c>
      <c r="G47" s="7">
        <v>29599.31</v>
      </c>
      <c r="H47" s="7">
        <v>137356</v>
      </c>
      <c r="I47" s="7">
        <v>112.9858</v>
      </c>
      <c r="J47" s="7">
        <v>15250</v>
      </c>
      <c r="L47" s="1">
        <v>16</v>
      </c>
      <c r="M47" s="1">
        <v>2012</v>
      </c>
      <c r="N47" s="9">
        <v>0.971700432390441</v>
      </c>
      <c r="O47" s="9">
        <v>1.06359388814772</v>
      </c>
      <c r="P47" s="9">
        <v>0.981879286642169</v>
      </c>
      <c r="Q47" s="9">
        <v>1.0127461253753</v>
      </c>
      <c r="T47" s="1">
        <v>16</v>
      </c>
      <c r="U47" s="1">
        <v>2012</v>
      </c>
      <c r="V47" s="1">
        <f t="shared" si="0"/>
        <v>0.971700432390441</v>
      </c>
      <c r="W47" s="1">
        <f t="shared" si="1"/>
        <v>1.06359388814772</v>
      </c>
      <c r="X47" s="1">
        <f t="shared" si="2"/>
        <v>0.981879286642169</v>
      </c>
      <c r="Y47" s="1">
        <f t="shared" si="3"/>
        <v>1.0127461253753</v>
      </c>
    </row>
    <row r="48" s="1" customFormat="1" spans="1:25">
      <c r="A48" s="2" t="s">
        <v>32</v>
      </c>
      <c r="B48" s="2">
        <v>17</v>
      </c>
      <c r="C48" s="2">
        <v>2012</v>
      </c>
      <c r="D48" s="7">
        <v>3398</v>
      </c>
      <c r="E48" s="7">
        <v>34857.6254622766</v>
      </c>
      <c r="F48" s="7">
        <v>17675</v>
      </c>
      <c r="G48" s="7">
        <v>22250.45</v>
      </c>
      <c r="H48" s="7">
        <v>91609</v>
      </c>
      <c r="I48" s="7">
        <v>54.8591</v>
      </c>
      <c r="J48" s="7">
        <v>7611</v>
      </c>
      <c r="L48" s="1">
        <v>17</v>
      </c>
      <c r="M48" s="1">
        <v>2012</v>
      </c>
      <c r="N48" s="9">
        <v>0.993277937431962</v>
      </c>
      <c r="O48" s="9">
        <v>1.10840138308943</v>
      </c>
      <c r="P48" s="9">
        <v>1.00942810552187</v>
      </c>
      <c r="Q48" s="9">
        <v>1.03851798319287</v>
      </c>
      <c r="T48" s="1">
        <v>17</v>
      </c>
      <c r="U48" s="1">
        <v>2012</v>
      </c>
      <c r="V48" s="1">
        <f t="shared" si="0"/>
        <v>0.993277937431962</v>
      </c>
      <c r="W48" s="1">
        <f t="shared" si="1"/>
        <v>1.10840138308943</v>
      </c>
      <c r="X48" s="1">
        <f t="shared" si="2"/>
        <v>1.00942810552187</v>
      </c>
      <c r="Y48" s="1">
        <f t="shared" si="3"/>
        <v>1.03851798319287</v>
      </c>
    </row>
    <row r="49" s="1" customFormat="1" spans="1:25">
      <c r="A49" s="2" t="s">
        <v>33</v>
      </c>
      <c r="B49" s="2">
        <v>18</v>
      </c>
      <c r="C49" s="2">
        <v>2012</v>
      </c>
      <c r="D49" s="7">
        <v>4019.31</v>
      </c>
      <c r="E49" s="7">
        <v>32051.8573728848</v>
      </c>
      <c r="F49" s="7">
        <v>16744</v>
      </c>
      <c r="G49" s="7">
        <v>22154.23</v>
      </c>
      <c r="H49" s="7">
        <v>97133</v>
      </c>
      <c r="I49" s="7">
        <v>59.3342</v>
      </c>
      <c r="J49" s="7">
        <v>8116</v>
      </c>
      <c r="L49" s="1">
        <v>18</v>
      </c>
      <c r="M49" s="1">
        <v>2012</v>
      </c>
      <c r="N49" s="9">
        <v>0.98491602165253</v>
      </c>
      <c r="O49" s="9">
        <v>0.962981644708755</v>
      </c>
      <c r="P49" s="9">
        <v>0.998231254404396</v>
      </c>
      <c r="Q49" s="9">
        <v>0.975785863006899</v>
      </c>
      <c r="T49" s="1">
        <v>18</v>
      </c>
      <c r="U49" s="1">
        <v>2012</v>
      </c>
      <c r="V49" s="1">
        <f t="shared" si="0"/>
        <v>0.98491602165253</v>
      </c>
      <c r="W49" s="1">
        <f t="shared" si="1"/>
        <v>0.962981644708755</v>
      </c>
      <c r="X49" s="1">
        <f t="shared" si="2"/>
        <v>0.998231254404396</v>
      </c>
      <c r="Y49" s="1">
        <f t="shared" si="3"/>
        <v>0.975785863006899</v>
      </c>
    </row>
    <row r="50" s="1" customFormat="1" spans="1:25">
      <c r="A50" s="2" t="s">
        <v>34</v>
      </c>
      <c r="B50" s="2">
        <v>19</v>
      </c>
      <c r="C50" s="2">
        <v>2012</v>
      </c>
      <c r="D50" s="7">
        <v>6171</v>
      </c>
      <c r="E50" s="7">
        <v>75655.1281259945</v>
      </c>
      <c r="F50" s="7">
        <v>29144</v>
      </c>
      <c r="G50" s="7">
        <v>57067.92</v>
      </c>
      <c r="H50" s="7">
        <v>186126</v>
      </c>
      <c r="I50" s="7">
        <v>77.1467</v>
      </c>
      <c r="J50" s="7">
        <v>5965</v>
      </c>
      <c r="L50" s="1">
        <v>19</v>
      </c>
      <c r="M50" s="1">
        <v>2012</v>
      </c>
      <c r="N50" s="9">
        <v>0.327643172336087</v>
      </c>
      <c r="O50" s="9">
        <v>1.0024853672392</v>
      </c>
      <c r="P50" s="9">
        <v>0.978851348191458</v>
      </c>
      <c r="Q50" s="9">
        <v>0.921776940712293</v>
      </c>
      <c r="T50" s="1">
        <v>19</v>
      </c>
      <c r="U50" s="1">
        <v>2012</v>
      </c>
      <c r="V50" s="1">
        <f t="shared" si="0"/>
        <v>0.327643172336087</v>
      </c>
      <c r="W50" s="1">
        <f t="shared" si="1"/>
        <v>1.0024853672392</v>
      </c>
      <c r="X50" s="1">
        <f t="shared" si="2"/>
        <v>0.978851348191458</v>
      </c>
      <c r="Y50" s="1">
        <f t="shared" si="3"/>
        <v>0.921776940712293</v>
      </c>
    </row>
    <row r="51" s="1" customFormat="1" spans="1:25">
      <c r="A51" s="2" t="s">
        <v>35</v>
      </c>
      <c r="B51" s="2">
        <v>20</v>
      </c>
      <c r="C51" s="2">
        <v>2012</v>
      </c>
      <c r="D51" s="7">
        <v>2768</v>
      </c>
      <c r="E51" s="7">
        <v>29495.6407592402</v>
      </c>
      <c r="F51" s="7">
        <v>9155</v>
      </c>
      <c r="G51" s="7">
        <v>13035.1</v>
      </c>
      <c r="H51" s="7">
        <v>110671</v>
      </c>
      <c r="I51" s="7">
        <v>47.1621</v>
      </c>
      <c r="J51" s="7">
        <v>7964</v>
      </c>
      <c r="L51" s="1">
        <v>20</v>
      </c>
      <c r="M51" s="1">
        <v>2012</v>
      </c>
      <c r="N51" s="9">
        <v>0.965266813320252</v>
      </c>
      <c r="O51" s="9">
        <v>0.994437576685555</v>
      </c>
      <c r="P51" s="9">
        <v>0.97465460046395</v>
      </c>
      <c r="Q51" s="9">
        <v>1.00702123121543</v>
      </c>
      <c r="T51" s="1">
        <v>20</v>
      </c>
      <c r="U51" s="1">
        <v>2012</v>
      </c>
      <c r="V51" s="1">
        <f t="shared" si="0"/>
        <v>0.965266813320252</v>
      </c>
      <c r="W51" s="1">
        <f t="shared" si="1"/>
        <v>0.994437576685555</v>
      </c>
      <c r="X51" s="1">
        <f t="shared" si="2"/>
        <v>0.97465460046395</v>
      </c>
      <c r="Y51" s="1">
        <f t="shared" si="3"/>
        <v>1.00702123121543</v>
      </c>
    </row>
    <row r="52" s="1" customFormat="1" spans="1:25">
      <c r="A52" s="2" t="s">
        <v>36</v>
      </c>
      <c r="B52" s="2">
        <v>21</v>
      </c>
      <c r="C52" s="2">
        <v>2012</v>
      </c>
      <c r="D52" s="7">
        <v>475.9</v>
      </c>
      <c r="E52" s="7">
        <v>4944.50160736154</v>
      </c>
      <c r="F52" s="7">
        <v>1688</v>
      </c>
      <c r="G52" s="7">
        <v>2855.54</v>
      </c>
      <c r="H52" s="7">
        <v>7465</v>
      </c>
      <c r="I52" s="7">
        <v>3.3036</v>
      </c>
      <c r="J52" s="7">
        <v>386</v>
      </c>
      <c r="L52" s="1">
        <v>21</v>
      </c>
      <c r="M52" s="1">
        <v>2012</v>
      </c>
      <c r="N52" s="9">
        <v>0.886059892617619</v>
      </c>
      <c r="O52" s="9">
        <v>0.920528088914276</v>
      </c>
      <c r="P52" s="9">
        <v>0.985057863386252</v>
      </c>
      <c r="Q52" s="9">
        <v>1.03007163348708</v>
      </c>
      <c r="T52" s="1">
        <v>21</v>
      </c>
      <c r="U52" s="1">
        <v>2012</v>
      </c>
      <c r="V52" s="1">
        <f t="shared" si="0"/>
        <v>0.886059892617619</v>
      </c>
      <c r="W52" s="1">
        <f t="shared" si="1"/>
        <v>0.920528088914276</v>
      </c>
      <c r="X52" s="1">
        <f t="shared" si="2"/>
        <v>0.985057863386252</v>
      </c>
      <c r="Y52" s="1">
        <f t="shared" si="3"/>
        <v>1.03007163348708</v>
      </c>
    </row>
    <row r="53" s="1" customFormat="1" spans="1:25">
      <c r="A53" s="2" t="s">
        <v>37</v>
      </c>
      <c r="B53" s="2">
        <v>22</v>
      </c>
      <c r="C53" s="2">
        <v>2012</v>
      </c>
      <c r="D53" s="7">
        <v>1605.89</v>
      </c>
      <c r="E53" s="7">
        <v>18638.8704845342</v>
      </c>
      <c r="F53" s="7">
        <v>9278</v>
      </c>
      <c r="G53" s="7">
        <v>11409.6</v>
      </c>
      <c r="H53" s="7">
        <v>30611</v>
      </c>
      <c r="I53" s="7">
        <v>50.9788</v>
      </c>
      <c r="J53" s="7">
        <v>3115</v>
      </c>
      <c r="L53" s="1">
        <v>22</v>
      </c>
      <c r="M53" s="1">
        <v>2012</v>
      </c>
      <c r="N53" s="9">
        <v>1.00297513790019</v>
      </c>
      <c r="O53" s="9">
        <v>1.03739377501819</v>
      </c>
      <c r="P53" s="9">
        <v>1.02724621007647</v>
      </c>
      <c r="Q53" s="9">
        <v>1.05880438901383</v>
      </c>
      <c r="T53" s="1">
        <v>22</v>
      </c>
      <c r="U53" s="1">
        <v>2012</v>
      </c>
      <c r="V53" s="1">
        <f t="shared" si="0"/>
        <v>1.00297513790019</v>
      </c>
      <c r="W53" s="1">
        <f t="shared" si="1"/>
        <v>1.03739377501819</v>
      </c>
      <c r="X53" s="1">
        <f t="shared" si="2"/>
        <v>1.02724621007647</v>
      </c>
      <c r="Y53" s="1">
        <f t="shared" si="3"/>
        <v>1.05880438901383</v>
      </c>
    </row>
    <row r="54" s="1" customFormat="1" spans="1:25">
      <c r="A54" s="2" t="s">
        <v>38</v>
      </c>
      <c r="B54" s="2">
        <v>23</v>
      </c>
      <c r="C54" s="2">
        <v>2012</v>
      </c>
      <c r="D54" s="7">
        <v>4635</v>
      </c>
      <c r="E54" s="7">
        <v>35456.6408904692</v>
      </c>
      <c r="F54" s="7">
        <v>20575</v>
      </c>
      <c r="G54" s="7">
        <v>23872.8</v>
      </c>
      <c r="H54" s="7">
        <v>69984</v>
      </c>
      <c r="I54" s="7">
        <v>79.3965</v>
      </c>
      <c r="J54" s="7">
        <v>13187</v>
      </c>
      <c r="L54" s="1">
        <v>23</v>
      </c>
      <c r="M54" s="1">
        <v>2012</v>
      </c>
      <c r="N54" s="9">
        <v>1.00460015682329</v>
      </c>
      <c r="O54" s="9">
        <v>1.0968406331514</v>
      </c>
      <c r="P54" s="9">
        <v>1.01905610400811</v>
      </c>
      <c r="Q54" s="9">
        <v>1.02944061958432</v>
      </c>
      <c r="T54" s="1">
        <v>23</v>
      </c>
      <c r="U54" s="1">
        <v>2012</v>
      </c>
      <c r="V54" s="1">
        <f t="shared" si="0"/>
        <v>1.00460015682329</v>
      </c>
      <c r="W54" s="1">
        <f t="shared" si="1"/>
        <v>1.0968406331514</v>
      </c>
      <c r="X54" s="1">
        <f t="shared" si="2"/>
        <v>1.01905610400811</v>
      </c>
      <c r="Y54" s="1">
        <f t="shared" si="3"/>
        <v>1.02944061958432</v>
      </c>
    </row>
    <row r="55" s="1" customFormat="1" spans="1:25">
      <c r="A55" s="2" t="s">
        <v>39</v>
      </c>
      <c r="B55" s="2">
        <v>24</v>
      </c>
      <c r="C55" s="2">
        <v>2012</v>
      </c>
      <c r="D55" s="7">
        <v>1825.82</v>
      </c>
      <c r="E55" s="7">
        <v>11656.5199516082</v>
      </c>
      <c r="F55" s="7">
        <v>9878</v>
      </c>
      <c r="G55" s="7">
        <v>6852.2</v>
      </c>
      <c r="H55" s="7">
        <v>23399</v>
      </c>
      <c r="I55" s="7">
        <v>83.7101</v>
      </c>
      <c r="J55" s="7">
        <v>7835</v>
      </c>
      <c r="L55" s="1">
        <v>24</v>
      </c>
      <c r="M55" s="1">
        <v>2012</v>
      </c>
      <c r="N55" s="9">
        <v>0.986650038440748</v>
      </c>
      <c r="O55" s="9">
        <v>1.02047129088222</v>
      </c>
      <c r="P55" s="9">
        <v>1.03481389173261</v>
      </c>
      <c r="Q55" s="9">
        <v>1.05585534902884</v>
      </c>
      <c r="T55" s="1">
        <v>24</v>
      </c>
      <c r="U55" s="1">
        <v>2012</v>
      </c>
      <c r="V55" s="1">
        <f t="shared" si="0"/>
        <v>0.986650038440748</v>
      </c>
      <c r="W55" s="1">
        <f t="shared" si="1"/>
        <v>1.02047129088222</v>
      </c>
      <c r="X55" s="1">
        <f t="shared" si="2"/>
        <v>1.03481389173261</v>
      </c>
      <c r="Y55" s="1">
        <f t="shared" si="3"/>
        <v>1.05585534902884</v>
      </c>
    </row>
    <row r="56" s="1" customFormat="1" spans="1:25">
      <c r="A56" s="2" t="s">
        <v>40</v>
      </c>
      <c r="B56" s="2">
        <v>25</v>
      </c>
      <c r="C56" s="2">
        <v>2012</v>
      </c>
      <c r="D56" s="7">
        <v>2835</v>
      </c>
      <c r="E56" s="7">
        <v>20307.8088572054</v>
      </c>
      <c r="F56" s="7">
        <v>10434</v>
      </c>
      <c r="G56" s="7">
        <v>10309.47</v>
      </c>
      <c r="H56" s="7">
        <v>42811</v>
      </c>
      <c r="I56" s="7">
        <v>62.2599</v>
      </c>
      <c r="J56" s="7">
        <v>16038</v>
      </c>
      <c r="L56" s="1">
        <v>25</v>
      </c>
      <c r="M56" s="1">
        <v>2012</v>
      </c>
      <c r="N56" s="9">
        <v>0.964930027732761</v>
      </c>
      <c r="O56" s="9">
        <v>0.996326538138742</v>
      </c>
      <c r="P56" s="9">
        <v>0.98416842002205</v>
      </c>
      <c r="Q56" s="9">
        <v>1.01334595939134</v>
      </c>
      <c r="T56" s="1">
        <v>25</v>
      </c>
      <c r="U56" s="1">
        <v>2012</v>
      </c>
      <c r="V56" s="1">
        <f t="shared" si="0"/>
        <v>0.964930027732761</v>
      </c>
      <c r="W56" s="1">
        <f t="shared" si="1"/>
        <v>0.996326538138742</v>
      </c>
      <c r="X56" s="1">
        <f t="shared" si="2"/>
        <v>0.98416842002205</v>
      </c>
      <c r="Y56" s="1">
        <f t="shared" si="3"/>
        <v>1.01334595939134</v>
      </c>
    </row>
    <row r="57" s="1" customFormat="1" spans="1:25">
      <c r="A57" s="2" t="s">
        <v>41</v>
      </c>
      <c r="B57" s="2">
        <v>26</v>
      </c>
      <c r="C57" s="2">
        <v>2012</v>
      </c>
      <c r="D57" s="7">
        <v>2091</v>
      </c>
      <c r="E57" s="7">
        <v>25444.3854878662</v>
      </c>
      <c r="F57" s="7">
        <v>10626</v>
      </c>
      <c r="G57" s="7">
        <v>14453.68</v>
      </c>
      <c r="H57" s="7">
        <v>38037</v>
      </c>
      <c r="I57" s="7">
        <v>74.7018</v>
      </c>
      <c r="J57" s="7">
        <v>7215</v>
      </c>
      <c r="L57" s="1">
        <v>26</v>
      </c>
      <c r="M57" s="1">
        <v>2012</v>
      </c>
      <c r="N57" s="9">
        <v>0.992349400656126</v>
      </c>
      <c r="O57" s="9">
        <v>1.02604562667753</v>
      </c>
      <c r="P57" s="9">
        <v>1.01715342191632</v>
      </c>
      <c r="Q57" s="9">
        <v>1.04785444825256</v>
      </c>
      <c r="T57" s="1">
        <v>26</v>
      </c>
      <c r="U57" s="1">
        <v>2012</v>
      </c>
      <c r="V57" s="1">
        <f t="shared" si="0"/>
        <v>0.992349400656126</v>
      </c>
      <c r="W57" s="1">
        <f t="shared" si="1"/>
        <v>1.02604562667753</v>
      </c>
      <c r="X57" s="1">
        <f t="shared" si="2"/>
        <v>1.01715342191632</v>
      </c>
      <c r="Y57" s="1">
        <f t="shared" si="3"/>
        <v>1.04785444825256</v>
      </c>
    </row>
    <row r="58" s="1" customFormat="1" spans="1:25">
      <c r="A58" s="2" t="s">
        <v>42</v>
      </c>
      <c r="B58" s="2">
        <v>27</v>
      </c>
      <c r="C58" s="2">
        <v>2012</v>
      </c>
      <c r="D58" s="7">
        <v>1358</v>
      </c>
      <c r="E58" s="7">
        <v>9413.36256783027</v>
      </c>
      <c r="F58" s="7">
        <v>7007</v>
      </c>
      <c r="G58" s="7">
        <v>5650.2</v>
      </c>
      <c r="H58" s="7">
        <v>19188</v>
      </c>
      <c r="I58" s="7">
        <v>47.9938</v>
      </c>
      <c r="J58" s="7">
        <v>6671</v>
      </c>
      <c r="L58" s="1">
        <v>27</v>
      </c>
      <c r="M58" s="1">
        <v>2012</v>
      </c>
      <c r="N58" s="9">
        <v>0.978983160527808</v>
      </c>
      <c r="O58" s="9">
        <v>0.997792887589317</v>
      </c>
      <c r="P58" s="9">
        <v>0.998297125814925</v>
      </c>
      <c r="Q58" s="9">
        <v>1.01893859762597</v>
      </c>
      <c r="T58" s="1">
        <v>27</v>
      </c>
      <c r="U58" s="1">
        <v>2012</v>
      </c>
      <c r="V58" s="1">
        <f t="shared" si="0"/>
        <v>0.978983160527808</v>
      </c>
      <c r="W58" s="1">
        <f t="shared" si="1"/>
        <v>0.997792887589317</v>
      </c>
      <c r="X58" s="1">
        <f t="shared" si="2"/>
        <v>0.998297125814925</v>
      </c>
      <c r="Y58" s="1">
        <f t="shared" si="3"/>
        <v>1.01893859762597</v>
      </c>
    </row>
    <row r="59" s="1" customFormat="1" spans="1:25">
      <c r="A59" s="2" t="s">
        <v>43</v>
      </c>
      <c r="B59" s="2">
        <v>28</v>
      </c>
      <c r="C59" s="2">
        <v>2012</v>
      </c>
      <c r="D59" s="7">
        <v>310.89</v>
      </c>
      <c r="E59" s="7">
        <v>4504.76772052772</v>
      </c>
      <c r="F59" s="7">
        <v>3524</v>
      </c>
      <c r="G59" s="7">
        <v>1893.54</v>
      </c>
      <c r="H59" s="7">
        <v>8917</v>
      </c>
      <c r="I59" s="7">
        <v>12.9094</v>
      </c>
      <c r="J59" s="7">
        <v>12301</v>
      </c>
      <c r="L59" s="1">
        <v>28</v>
      </c>
      <c r="M59" s="1">
        <v>2012</v>
      </c>
      <c r="N59" s="9">
        <v>0.857834059973907</v>
      </c>
      <c r="O59" s="9">
        <v>0.949831976824216</v>
      </c>
      <c r="P59" s="9">
        <v>0.963472429899138</v>
      </c>
      <c r="Q59" s="9">
        <v>0.99418862176767</v>
      </c>
      <c r="T59" s="1">
        <v>28</v>
      </c>
      <c r="U59" s="1">
        <v>2012</v>
      </c>
      <c r="V59" s="1">
        <f t="shared" si="0"/>
        <v>0.857834059973907</v>
      </c>
      <c r="W59" s="1">
        <f t="shared" si="1"/>
        <v>0.949831976824216</v>
      </c>
      <c r="X59" s="1">
        <f t="shared" si="2"/>
        <v>0.963472429899138</v>
      </c>
      <c r="Y59" s="1">
        <f t="shared" si="3"/>
        <v>0.99418862176767</v>
      </c>
    </row>
    <row r="60" s="1" customFormat="1" spans="1:25">
      <c r="A60" s="2" t="s">
        <v>44</v>
      </c>
      <c r="B60" s="2">
        <v>29</v>
      </c>
      <c r="C60" s="2">
        <v>2012</v>
      </c>
      <c r="D60" s="7">
        <v>344</v>
      </c>
      <c r="E60" s="7">
        <v>5631.25954427712</v>
      </c>
      <c r="F60" s="7">
        <v>4562</v>
      </c>
      <c r="G60" s="7">
        <v>2341.29</v>
      </c>
      <c r="H60" s="7">
        <v>16548</v>
      </c>
      <c r="I60" s="7">
        <v>38.4378</v>
      </c>
      <c r="J60" s="7">
        <v>2961</v>
      </c>
      <c r="L60" s="1">
        <v>29</v>
      </c>
      <c r="M60" s="1">
        <v>2012</v>
      </c>
      <c r="N60" s="9">
        <v>0.983027355076624</v>
      </c>
      <c r="O60" s="9">
        <v>0.997933993480373</v>
      </c>
      <c r="P60" s="9">
        <v>0.996503795423896</v>
      </c>
      <c r="Q60" s="9">
        <v>1.02494009195509</v>
      </c>
      <c r="T60" s="1">
        <v>29</v>
      </c>
      <c r="U60" s="1">
        <v>2012</v>
      </c>
      <c r="V60" s="1">
        <f t="shared" si="0"/>
        <v>0.983027355076624</v>
      </c>
      <c r="W60" s="1">
        <f t="shared" si="1"/>
        <v>0.997933993480373</v>
      </c>
      <c r="X60" s="1">
        <f t="shared" si="2"/>
        <v>0.996503795423896</v>
      </c>
      <c r="Y60" s="1">
        <f t="shared" si="3"/>
        <v>1.02494009195509</v>
      </c>
    </row>
    <row r="61" s="1" customFormat="1" spans="1:25">
      <c r="A61" s="2" t="s">
        <v>45</v>
      </c>
      <c r="B61" s="2">
        <v>30</v>
      </c>
      <c r="C61" s="2">
        <v>2012</v>
      </c>
      <c r="D61" s="7">
        <v>1246</v>
      </c>
      <c r="E61" s="7">
        <v>14311.665170111</v>
      </c>
      <c r="F61" s="7">
        <v>11831</v>
      </c>
      <c r="G61" s="7">
        <v>7505.31</v>
      </c>
      <c r="H61" s="7">
        <v>29738</v>
      </c>
      <c r="I61" s="7">
        <v>70.471</v>
      </c>
      <c r="J61" s="7">
        <v>7880</v>
      </c>
      <c r="L61" s="1">
        <v>30</v>
      </c>
      <c r="M61" s="1">
        <v>2012</v>
      </c>
      <c r="N61" s="9">
        <v>0.947768221907946</v>
      </c>
      <c r="O61" s="9">
        <v>0.967873898183226</v>
      </c>
      <c r="P61" s="9">
        <v>0.975476909112396</v>
      </c>
      <c r="Q61" s="9">
        <v>0.990069078857072</v>
      </c>
      <c r="T61" s="1">
        <v>30</v>
      </c>
      <c r="U61" s="1">
        <v>2012</v>
      </c>
      <c r="V61" s="1">
        <f t="shared" si="0"/>
        <v>0.947768221907946</v>
      </c>
      <c r="W61" s="1">
        <f t="shared" si="1"/>
        <v>0.967873898183226</v>
      </c>
      <c r="X61" s="1">
        <f t="shared" si="2"/>
        <v>0.975476909112396</v>
      </c>
      <c r="Y61" s="1">
        <f t="shared" si="3"/>
        <v>0.990069078857072</v>
      </c>
    </row>
    <row r="62" s="1" customFormat="1" spans="1:25">
      <c r="A62" s="2" t="s">
        <v>16</v>
      </c>
      <c r="B62" s="2">
        <v>1</v>
      </c>
      <c r="C62" s="2">
        <v>2013</v>
      </c>
      <c r="D62" s="7">
        <v>1141</v>
      </c>
      <c r="E62" s="7">
        <v>30184.1489906487</v>
      </c>
      <c r="F62" s="7">
        <v>6724</v>
      </c>
      <c r="G62" s="7">
        <v>19800.81</v>
      </c>
      <c r="H62" s="7">
        <v>9486</v>
      </c>
      <c r="I62" s="7">
        <v>5.2041</v>
      </c>
      <c r="J62" s="7">
        <v>1044</v>
      </c>
      <c r="L62" s="1">
        <v>1</v>
      </c>
      <c r="M62" s="1">
        <v>2013</v>
      </c>
      <c r="N62" s="9">
        <v>1.03334220918868</v>
      </c>
      <c r="O62" s="9">
        <v>1.03212172552768</v>
      </c>
      <c r="P62" s="9">
        <v>1.07115056873374</v>
      </c>
      <c r="Q62" s="9">
        <v>1.12273157295081</v>
      </c>
      <c r="T62" s="1">
        <v>1</v>
      </c>
      <c r="U62" s="1">
        <v>2013</v>
      </c>
      <c r="V62" s="1">
        <f t="shared" si="0"/>
        <v>1.02273640265153</v>
      </c>
      <c r="W62" s="1">
        <f t="shared" si="1"/>
        <v>1.04067394400301</v>
      </c>
      <c r="X62" s="1">
        <f t="shared" si="2"/>
        <v>1.10242403586783</v>
      </c>
      <c r="Y62" s="1">
        <f t="shared" si="3"/>
        <v>1.13711352824653</v>
      </c>
    </row>
    <row r="63" s="1" customFormat="1" spans="1:25">
      <c r="A63" s="2" t="s">
        <v>17</v>
      </c>
      <c r="B63" s="2">
        <v>2</v>
      </c>
      <c r="C63" s="2">
        <v>2013</v>
      </c>
      <c r="D63" s="7">
        <v>847.46</v>
      </c>
      <c r="E63" s="7">
        <v>31479.5427314022</v>
      </c>
      <c r="F63" s="7">
        <v>7882</v>
      </c>
      <c r="G63" s="7">
        <v>14442.01</v>
      </c>
      <c r="H63" s="7">
        <v>18692</v>
      </c>
      <c r="I63" s="7">
        <v>20.7793</v>
      </c>
      <c r="J63" s="7">
        <v>1592</v>
      </c>
      <c r="L63" s="1">
        <v>2</v>
      </c>
      <c r="M63" s="1">
        <v>2013</v>
      </c>
      <c r="N63" s="9">
        <v>0.998696753530378</v>
      </c>
      <c r="O63" s="9">
        <v>1.09719378267401</v>
      </c>
      <c r="P63" s="9">
        <v>1.02970355994913</v>
      </c>
      <c r="Q63" s="9">
        <v>1.43341443325529</v>
      </c>
      <c r="T63" s="1">
        <v>2</v>
      </c>
      <c r="U63" s="1">
        <v>2013</v>
      </c>
      <c r="V63" s="1">
        <f t="shared" si="0"/>
        <v>0.968094822793792</v>
      </c>
      <c r="W63" s="1">
        <f t="shared" si="1"/>
        <v>1.19391293701203</v>
      </c>
      <c r="X63" s="1">
        <f t="shared" si="2"/>
        <v>1.03773699919526</v>
      </c>
      <c r="Y63" s="1">
        <f t="shared" si="3"/>
        <v>1.64929603273454</v>
      </c>
    </row>
    <row r="64" s="1" customFormat="1" spans="1:25">
      <c r="A64" s="2" t="s">
        <v>18</v>
      </c>
      <c r="B64" s="2">
        <v>3</v>
      </c>
      <c r="C64" s="2">
        <v>2013</v>
      </c>
      <c r="D64" s="7">
        <v>4032</v>
      </c>
      <c r="E64" s="7">
        <v>54771.8763638397</v>
      </c>
      <c r="F64" s="7">
        <v>29664</v>
      </c>
      <c r="G64" s="7">
        <v>28442.95</v>
      </c>
      <c r="H64" s="7">
        <v>109876</v>
      </c>
      <c r="I64" s="7">
        <v>117.3147</v>
      </c>
      <c r="J64" s="7">
        <v>43289</v>
      </c>
      <c r="L64" s="1">
        <v>3</v>
      </c>
      <c r="M64" s="1">
        <v>2013</v>
      </c>
      <c r="N64" s="9">
        <v>0.980986780695116</v>
      </c>
      <c r="O64" s="9">
        <v>1.05411968320958</v>
      </c>
      <c r="P64" s="9">
        <v>0.987184105851517</v>
      </c>
      <c r="Q64" s="9">
        <v>1.01162532081911</v>
      </c>
      <c r="T64" s="1">
        <v>3</v>
      </c>
      <c r="U64" s="1">
        <v>2013</v>
      </c>
      <c r="V64" s="1">
        <f t="shared" si="0"/>
        <v>0.950320313203341</v>
      </c>
      <c r="W64" s="1">
        <f t="shared" si="1"/>
        <v>1.09555007876985</v>
      </c>
      <c r="X64" s="1">
        <f t="shared" si="2"/>
        <v>0.963850735497545</v>
      </c>
      <c r="Y64" s="1">
        <f t="shared" si="3"/>
        <v>1.01278603873054</v>
      </c>
    </row>
    <row r="65" s="1" customFormat="1" spans="1:25">
      <c r="A65" s="2" t="s">
        <v>19</v>
      </c>
      <c r="B65" s="2">
        <v>4</v>
      </c>
      <c r="C65" s="2">
        <v>2013</v>
      </c>
      <c r="D65" s="7">
        <v>1855</v>
      </c>
      <c r="E65" s="7">
        <v>25597.9674839931</v>
      </c>
      <c r="F65" s="7">
        <v>19761</v>
      </c>
      <c r="G65" s="7">
        <v>12665.25</v>
      </c>
      <c r="H65" s="7">
        <v>47795</v>
      </c>
      <c r="I65" s="7">
        <v>114.0835</v>
      </c>
      <c r="J65" s="7">
        <v>30520</v>
      </c>
      <c r="L65" s="1">
        <v>4</v>
      </c>
      <c r="M65" s="1">
        <v>2013</v>
      </c>
      <c r="N65" s="9">
        <v>0.944716827945216</v>
      </c>
      <c r="O65" s="9">
        <v>0.955573087441802</v>
      </c>
      <c r="P65" s="9">
        <v>0.942425095483668</v>
      </c>
      <c r="Q65" s="9">
        <v>0.960765629127458</v>
      </c>
      <c r="T65" s="1">
        <v>4</v>
      </c>
      <c r="U65" s="1">
        <v>2013</v>
      </c>
      <c r="V65" s="1">
        <f t="shared" si="0"/>
        <v>0.898601842543754</v>
      </c>
      <c r="W65" s="1">
        <f t="shared" si="1"/>
        <v>0.924026957167337</v>
      </c>
      <c r="X65" s="1">
        <f t="shared" si="2"/>
        <v>0.904423462498975</v>
      </c>
      <c r="Y65" s="1">
        <f t="shared" si="3"/>
        <v>0.939607621475813</v>
      </c>
    </row>
    <row r="66" s="1" customFormat="1" spans="1:25">
      <c r="A66" s="2" t="s">
        <v>20</v>
      </c>
      <c r="B66" s="2">
        <v>5</v>
      </c>
      <c r="C66" s="2">
        <v>2013</v>
      </c>
      <c r="D66" s="7">
        <v>1370</v>
      </c>
      <c r="E66" s="7">
        <v>40113.2895189017</v>
      </c>
      <c r="F66" s="7">
        <v>17681</v>
      </c>
      <c r="G66" s="7">
        <v>16916.5</v>
      </c>
      <c r="H66" s="7">
        <v>36986</v>
      </c>
      <c r="I66" s="7">
        <v>123.6409</v>
      </c>
      <c r="J66" s="7">
        <v>20081</v>
      </c>
      <c r="L66" s="1">
        <v>5</v>
      </c>
      <c r="M66" s="1">
        <v>2013</v>
      </c>
      <c r="N66" s="9">
        <v>0.977260056716133</v>
      </c>
      <c r="O66" s="9">
        <v>1.00245889134971</v>
      </c>
      <c r="P66" s="9">
        <v>0.980717839544273</v>
      </c>
      <c r="Q66" s="9">
        <v>1.01520858085724</v>
      </c>
      <c r="T66" s="1">
        <v>5</v>
      </c>
      <c r="U66" s="1">
        <v>2013</v>
      </c>
      <c r="V66" s="1">
        <f t="shared" si="0"/>
        <v>0.95388422052875</v>
      </c>
      <c r="W66" s="1">
        <f t="shared" si="1"/>
        <v>1.00745947045126</v>
      </c>
      <c r="X66" s="1">
        <f t="shared" si="2"/>
        <v>0.966396126239663</v>
      </c>
      <c r="Y66" s="1">
        <f t="shared" si="3"/>
        <v>1.03874216864652</v>
      </c>
    </row>
    <row r="67" s="1" customFormat="1" spans="1:25">
      <c r="A67" s="2" t="s">
        <v>21</v>
      </c>
      <c r="B67" s="2">
        <v>6</v>
      </c>
      <c r="C67" s="2">
        <v>2013</v>
      </c>
      <c r="D67" s="7">
        <v>2518.9</v>
      </c>
      <c r="E67" s="7">
        <v>52507.9911195677</v>
      </c>
      <c r="F67" s="7">
        <v>21721</v>
      </c>
      <c r="G67" s="7">
        <v>27213.22</v>
      </c>
      <c r="H67" s="7">
        <v>78286</v>
      </c>
      <c r="I67" s="7">
        <v>94.733</v>
      </c>
      <c r="J67" s="7">
        <v>26759</v>
      </c>
      <c r="L67" s="1">
        <v>6</v>
      </c>
      <c r="M67" s="1">
        <v>2013</v>
      </c>
      <c r="N67" s="9">
        <v>1.00212718182386</v>
      </c>
      <c r="O67" s="9">
        <v>1.10866460889569</v>
      </c>
      <c r="P67" s="9">
        <v>1.01661410714056</v>
      </c>
      <c r="Q67" s="9">
        <v>1.04433002196399</v>
      </c>
      <c r="T67" s="1">
        <v>6</v>
      </c>
      <c r="U67" s="1">
        <v>2013</v>
      </c>
      <c r="V67" s="1">
        <f t="shared" si="0"/>
        <v>0.992007118770286</v>
      </c>
      <c r="W67" s="1">
        <f t="shared" si="1"/>
        <v>1.22194762811298</v>
      </c>
      <c r="X67" s="1">
        <f t="shared" si="2"/>
        <v>1.02422732582102</v>
      </c>
      <c r="Y67" s="1">
        <f t="shared" si="3"/>
        <v>1.08079365959125</v>
      </c>
    </row>
    <row r="68" s="1" customFormat="1" spans="1:25">
      <c r="A68" s="2" t="s">
        <v>22</v>
      </c>
      <c r="B68" s="2">
        <v>7</v>
      </c>
      <c r="C68" s="2">
        <v>2013</v>
      </c>
      <c r="D68" s="7">
        <v>1457</v>
      </c>
      <c r="E68" s="7">
        <v>33197.644742202</v>
      </c>
      <c r="F68" s="7">
        <v>8645</v>
      </c>
      <c r="G68" s="7">
        <v>13046.4</v>
      </c>
      <c r="H68" s="7">
        <v>42656</v>
      </c>
      <c r="I68" s="7">
        <v>33.0956</v>
      </c>
      <c r="J68" s="7">
        <v>4591</v>
      </c>
      <c r="L68" s="1">
        <v>7</v>
      </c>
      <c r="M68" s="1">
        <v>2013</v>
      </c>
      <c r="N68" s="9">
        <v>1.03683982396096</v>
      </c>
      <c r="O68" s="9">
        <v>1.06797481804727</v>
      </c>
      <c r="P68" s="9">
        <v>1.05028328490752</v>
      </c>
      <c r="Q68" s="9">
        <v>1.08656065640384</v>
      </c>
      <c r="T68" s="1">
        <v>7</v>
      </c>
      <c r="U68" s="1">
        <v>2013</v>
      </c>
      <c r="V68" s="1">
        <f t="shared" si="0"/>
        <v>1.04686437568451</v>
      </c>
      <c r="W68" s="1">
        <f t="shared" si="1"/>
        <v>1.11739138042037</v>
      </c>
      <c r="X68" s="1">
        <f t="shared" si="2"/>
        <v>1.08639477801768</v>
      </c>
      <c r="Y68" s="1">
        <f t="shared" si="3"/>
        <v>1.16239459225476</v>
      </c>
    </row>
    <row r="69" s="1" customFormat="1" spans="1:25">
      <c r="A69" s="2" t="s">
        <v>23</v>
      </c>
      <c r="B69" s="2">
        <v>8</v>
      </c>
      <c r="C69" s="2">
        <v>2013</v>
      </c>
      <c r="D69" s="7">
        <v>2060.4</v>
      </c>
      <c r="E69" s="7">
        <v>26977.3052010213</v>
      </c>
      <c r="F69" s="7">
        <v>11853</v>
      </c>
      <c r="G69" s="7">
        <v>14454.91</v>
      </c>
      <c r="H69" s="7">
        <v>47796</v>
      </c>
      <c r="I69" s="7">
        <v>35.2732</v>
      </c>
      <c r="J69" s="7">
        <v>6094</v>
      </c>
      <c r="L69" s="1">
        <v>8</v>
      </c>
      <c r="M69" s="1">
        <v>2013</v>
      </c>
      <c r="N69" s="9">
        <v>0.969788566689452</v>
      </c>
      <c r="O69" s="9">
        <v>0.992923539570183</v>
      </c>
      <c r="P69" s="9">
        <v>0.965707968922419</v>
      </c>
      <c r="Q69" s="9">
        <v>0.999554532405258</v>
      </c>
      <c r="T69" s="1">
        <v>8</v>
      </c>
      <c r="U69" s="1">
        <v>2013</v>
      </c>
      <c r="V69" s="1">
        <f t="shared" si="0"/>
        <v>0.922137999471644</v>
      </c>
      <c r="W69" s="1">
        <f t="shared" si="1"/>
        <v>0.96409712945415</v>
      </c>
      <c r="X69" s="1">
        <f t="shared" si="2"/>
        <v>0.931844090399763</v>
      </c>
      <c r="Y69" s="1">
        <f t="shared" si="3"/>
        <v>0.983722286668738</v>
      </c>
    </row>
    <row r="70" s="1" customFormat="1" spans="1:25">
      <c r="A70" s="2" t="s">
        <v>24</v>
      </c>
      <c r="B70" s="2">
        <v>9</v>
      </c>
      <c r="C70" s="2">
        <v>2013</v>
      </c>
      <c r="D70" s="7">
        <v>1137.35</v>
      </c>
      <c r="E70" s="7">
        <v>34323.1836571733</v>
      </c>
      <c r="F70" s="7">
        <v>11346</v>
      </c>
      <c r="G70" s="7">
        <v>21818.15</v>
      </c>
      <c r="H70" s="7">
        <v>45426</v>
      </c>
      <c r="I70" s="7">
        <v>17.2867</v>
      </c>
      <c r="J70" s="7">
        <v>2054</v>
      </c>
      <c r="L70" s="1">
        <v>9</v>
      </c>
      <c r="M70" s="1">
        <v>2013</v>
      </c>
      <c r="N70" s="9">
        <v>1.02232234513507</v>
      </c>
      <c r="O70" s="9">
        <v>1.19836277792794</v>
      </c>
      <c r="P70" s="9">
        <v>1.04185761335332</v>
      </c>
      <c r="Q70" s="9">
        <v>1.22445962006995</v>
      </c>
      <c r="T70" s="1">
        <v>9</v>
      </c>
      <c r="U70" s="1">
        <v>2013</v>
      </c>
      <c r="V70" s="1">
        <f t="shared" si="0"/>
        <v>1.02601928545817</v>
      </c>
      <c r="W70" s="1">
        <f t="shared" si="1"/>
        <v>1.2048303990471</v>
      </c>
      <c r="X70" s="1">
        <f t="shared" si="2"/>
        <v>1.05611630625326</v>
      </c>
      <c r="Y70" s="1">
        <f t="shared" si="3"/>
        <v>1.38893878978333</v>
      </c>
    </row>
    <row r="71" s="1" customFormat="1" spans="1:25">
      <c r="A71" s="2" t="s">
        <v>25</v>
      </c>
      <c r="B71" s="2">
        <v>10</v>
      </c>
      <c r="C71" s="2">
        <v>2013</v>
      </c>
      <c r="D71" s="7">
        <v>4791.9</v>
      </c>
      <c r="E71" s="7">
        <v>90831.651232368</v>
      </c>
      <c r="F71" s="7">
        <v>29205</v>
      </c>
      <c r="G71" s="7">
        <v>59753.37</v>
      </c>
      <c r="H71" s="7">
        <v>220559</v>
      </c>
      <c r="I71" s="7">
        <v>90.9478</v>
      </c>
      <c r="J71" s="7">
        <v>10856</v>
      </c>
      <c r="L71" s="1">
        <v>10</v>
      </c>
      <c r="M71" s="1">
        <v>2013</v>
      </c>
      <c r="N71" s="9">
        <v>1.09061652387418</v>
      </c>
      <c r="O71" s="9">
        <v>1.15498045585284</v>
      </c>
      <c r="P71" s="9">
        <v>1.03533330998338</v>
      </c>
      <c r="Q71" s="9">
        <v>1.01274184384105</v>
      </c>
      <c r="T71" s="1">
        <v>10</v>
      </c>
      <c r="U71" s="1">
        <v>2013</v>
      </c>
      <c r="V71" s="1">
        <f t="shared" si="0"/>
        <v>1.15994652369481</v>
      </c>
      <c r="W71" s="1">
        <f t="shared" si="1"/>
        <v>1.331081896371</v>
      </c>
      <c r="X71" s="1">
        <f t="shared" si="2"/>
        <v>1.04564425734209</v>
      </c>
      <c r="Y71" s="1">
        <f t="shared" si="3"/>
        <v>0.965023422606621</v>
      </c>
    </row>
    <row r="72" s="1" customFormat="1" spans="1:25">
      <c r="A72" s="2" t="s">
        <v>26</v>
      </c>
      <c r="B72" s="2">
        <v>11</v>
      </c>
      <c r="C72" s="2">
        <v>2013</v>
      </c>
      <c r="D72" s="7">
        <v>3436</v>
      </c>
      <c r="E72" s="7">
        <v>59359.7865694153</v>
      </c>
      <c r="F72" s="7">
        <v>18640</v>
      </c>
      <c r="G72" s="7">
        <v>37756.58</v>
      </c>
      <c r="H72" s="7">
        <v>163674</v>
      </c>
      <c r="I72" s="7">
        <v>57.9104</v>
      </c>
      <c r="J72" s="7">
        <v>4300</v>
      </c>
      <c r="L72" s="1">
        <v>11</v>
      </c>
      <c r="M72" s="1">
        <v>2013</v>
      </c>
      <c r="N72" s="9">
        <v>1.00663986040321</v>
      </c>
      <c r="O72" s="9">
        <v>1.25574139393341</v>
      </c>
      <c r="P72" s="9">
        <v>1.01999031162358</v>
      </c>
      <c r="Q72" s="9">
        <v>1.04789897179958</v>
      </c>
      <c r="T72" s="1">
        <v>11</v>
      </c>
      <c r="U72" s="1">
        <v>2013</v>
      </c>
      <c r="V72" s="1">
        <f t="shared" si="0"/>
        <v>1.00249504057076</v>
      </c>
      <c r="W72" s="1">
        <f t="shared" si="1"/>
        <v>1.56130500804413</v>
      </c>
      <c r="X72" s="1">
        <f t="shared" si="2"/>
        <v>1.02615499330026</v>
      </c>
      <c r="Y72" s="1">
        <f t="shared" si="3"/>
        <v>1.0429603078338</v>
      </c>
    </row>
    <row r="73" s="1" customFormat="1" spans="1:25">
      <c r="A73" s="2" t="s">
        <v>27</v>
      </c>
      <c r="B73" s="2">
        <v>12</v>
      </c>
      <c r="C73" s="2">
        <v>2013</v>
      </c>
      <c r="D73" s="7">
        <v>4275.9</v>
      </c>
      <c r="E73" s="7">
        <v>29289.5699168979</v>
      </c>
      <c r="F73" s="7">
        <v>11696</v>
      </c>
      <c r="G73" s="7">
        <v>19229.34</v>
      </c>
      <c r="H73" s="7">
        <v>70972</v>
      </c>
      <c r="I73" s="7">
        <v>45.0223</v>
      </c>
      <c r="J73" s="7">
        <v>11937</v>
      </c>
      <c r="L73" s="1">
        <v>12</v>
      </c>
      <c r="M73" s="1">
        <v>2013</v>
      </c>
      <c r="N73" s="9">
        <v>0.989383498633886</v>
      </c>
      <c r="O73" s="9">
        <v>0.881933830561564</v>
      </c>
      <c r="P73" s="9">
        <v>1.00431454111108</v>
      </c>
      <c r="Q73" s="9">
        <v>0.942729790553807</v>
      </c>
      <c r="T73" s="1">
        <v>12</v>
      </c>
      <c r="U73" s="1">
        <v>2013</v>
      </c>
      <c r="V73" s="1">
        <f t="shared" si="0"/>
        <v>0.966927264053355</v>
      </c>
      <c r="W73" s="1">
        <f t="shared" si="1"/>
        <v>0.819124426111969</v>
      </c>
      <c r="X73" s="1">
        <f t="shared" si="2"/>
        <v>0.997460016822611</v>
      </c>
      <c r="Y73" s="1">
        <f t="shared" si="3"/>
        <v>0.911712036715021</v>
      </c>
    </row>
    <row r="74" s="1" customFormat="1" spans="1:25">
      <c r="A74" s="2" t="s">
        <v>28</v>
      </c>
      <c r="B74" s="2">
        <v>13</v>
      </c>
      <c r="C74" s="2">
        <v>2013</v>
      </c>
      <c r="D74" s="7">
        <v>2210</v>
      </c>
      <c r="E74" s="7">
        <v>39292.1909424644</v>
      </c>
      <c r="F74" s="7">
        <v>11190</v>
      </c>
      <c r="G74" s="7">
        <v>21868.49</v>
      </c>
      <c r="H74" s="7">
        <v>104658</v>
      </c>
      <c r="I74" s="7">
        <v>34.204</v>
      </c>
      <c r="J74" s="7">
        <v>8535</v>
      </c>
      <c r="L74" s="1">
        <v>13</v>
      </c>
      <c r="M74" s="1">
        <v>2013</v>
      </c>
      <c r="N74" s="9">
        <v>1.00537857246376</v>
      </c>
      <c r="O74" s="9">
        <v>1.11880307953242</v>
      </c>
      <c r="P74" s="9">
        <v>1.02333451636225</v>
      </c>
      <c r="Q74" s="9">
        <v>1.05051903259969</v>
      </c>
      <c r="T74" s="1">
        <v>13</v>
      </c>
      <c r="U74" s="1">
        <v>2013</v>
      </c>
      <c r="V74" s="1">
        <f t="shared" si="0"/>
        <v>0.99888822954819</v>
      </c>
      <c r="W74" s="1">
        <f t="shared" si="1"/>
        <v>1.22448574955345</v>
      </c>
      <c r="X74" s="1">
        <f t="shared" si="2"/>
        <v>1.03845402483144</v>
      </c>
      <c r="Y74" s="1">
        <f t="shared" si="3"/>
        <v>1.08367175152444</v>
      </c>
    </row>
    <row r="75" s="1" customFormat="1" spans="1:25">
      <c r="A75" s="2" t="s">
        <v>29</v>
      </c>
      <c r="B75" s="2">
        <v>14</v>
      </c>
      <c r="C75" s="2">
        <v>2013</v>
      </c>
      <c r="D75" s="7">
        <v>2362</v>
      </c>
      <c r="E75" s="7">
        <v>22024.400938132</v>
      </c>
      <c r="F75" s="7">
        <v>7583</v>
      </c>
      <c r="G75" s="7">
        <v>14410.19</v>
      </c>
      <c r="H75" s="7">
        <v>68230</v>
      </c>
      <c r="I75" s="7">
        <v>54.3497</v>
      </c>
      <c r="J75" s="7">
        <v>11518</v>
      </c>
      <c r="L75" s="1">
        <v>14</v>
      </c>
      <c r="M75" s="1">
        <v>2013</v>
      </c>
      <c r="N75" s="9">
        <v>1.00285938823501</v>
      </c>
      <c r="O75" s="9">
        <v>0.971823123557241</v>
      </c>
      <c r="P75" s="9">
        <v>1.02289578420348</v>
      </c>
      <c r="Q75" s="9">
        <v>1.02499999436873</v>
      </c>
      <c r="T75" s="1">
        <v>14</v>
      </c>
      <c r="U75" s="1">
        <v>2013</v>
      </c>
      <c r="V75" s="1">
        <f t="shared" si="0"/>
        <v>0.995763410259665</v>
      </c>
      <c r="W75" s="1">
        <f t="shared" si="1"/>
        <v>0.932864167759905</v>
      </c>
      <c r="X75" s="1">
        <f t="shared" si="2"/>
        <v>1.03161191002366</v>
      </c>
      <c r="Y75" s="1">
        <f t="shared" si="3"/>
        <v>1.01921285272031</v>
      </c>
    </row>
    <row r="76" s="1" customFormat="1" spans="1:25">
      <c r="A76" s="2" t="s">
        <v>30</v>
      </c>
      <c r="B76" s="2">
        <v>15</v>
      </c>
      <c r="C76" s="2">
        <v>2013</v>
      </c>
      <c r="D76" s="7">
        <v>5840</v>
      </c>
      <c r="E76" s="7">
        <v>96717.8589947592</v>
      </c>
      <c r="F76" s="7">
        <v>35358</v>
      </c>
      <c r="G76" s="7">
        <v>55230.32</v>
      </c>
      <c r="H76" s="7">
        <v>181179</v>
      </c>
      <c r="I76" s="7">
        <v>144.5348</v>
      </c>
      <c r="J76" s="7">
        <v>18172</v>
      </c>
      <c r="L76" s="1">
        <v>15</v>
      </c>
      <c r="M76" s="1">
        <v>2013</v>
      </c>
      <c r="N76" s="9">
        <v>1.10401970518436</v>
      </c>
      <c r="O76" s="9">
        <v>1.42616316951074</v>
      </c>
      <c r="P76" s="9">
        <v>1.05059400397875</v>
      </c>
      <c r="Q76" s="9">
        <v>1.08455297328775</v>
      </c>
      <c r="T76" s="1">
        <v>15</v>
      </c>
      <c r="U76" s="1">
        <v>2013</v>
      </c>
      <c r="V76" s="1">
        <f t="shared" si="0"/>
        <v>1.16726145264479</v>
      </c>
      <c r="W76" s="1">
        <f t="shared" si="1"/>
        <v>1.57215932752895</v>
      </c>
      <c r="X76" s="1">
        <f t="shared" si="2"/>
        <v>1.05964835226139</v>
      </c>
      <c r="Y76" s="1">
        <f t="shared" si="3"/>
        <v>1.12331537237047</v>
      </c>
    </row>
    <row r="77" s="1" customFormat="1" spans="1:25">
      <c r="A77" s="2" t="s">
        <v>31</v>
      </c>
      <c r="B77" s="2">
        <v>16</v>
      </c>
      <c r="C77" s="2">
        <v>2013</v>
      </c>
      <c r="D77" s="7">
        <v>5094</v>
      </c>
      <c r="E77" s="7">
        <v>71038.2678318692</v>
      </c>
      <c r="F77" s="7">
        <v>21909</v>
      </c>
      <c r="G77" s="7">
        <v>32191.3</v>
      </c>
      <c r="H77" s="7">
        <v>130789</v>
      </c>
      <c r="I77" s="7">
        <v>110.2662</v>
      </c>
      <c r="J77" s="7">
        <v>16270</v>
      </c>
      <c r="L77" s="1">
        <v>16</v>
      </c>
      <c r="M77" s="1">
        <v>2013</v>
      </c>
      <c r="N77" s="9">
        <v>0.999651959036505</v>
      </c>
      <c r="O77" s="9">
        <v>1.0951256856716</v>
      </c>
      <c r="P77" s="9">
        <v>1.0092427251964</v>
      </c>
      <c r="Q77" s="9">
        <v>1.04269566717502</v>
      </c>
      <c r="T77" s="1">
        <v>16</v>
      </c>
      <c r="U77" s="1">
        <v>2013</v>
      </c>
      <c r="V77" s="1">
        <f t="shared" si="0"/>
        <v>0.971362240835723</v>
      </c>
      <c r="W77" s="1">
        <f t="shared" si="1"/>
        <v>1.1647689860339</v>
      </c>
      <c r="X77" s="1">
        <f t="shared" si="2"/>
        <v>0.99095452706464</v>
      </c>
      <c r="Y77" s="1">
        <f t="shared" si="3"/>
        <v>1.05598599687712</v>
      </c>
    </row>
    <row r="78" s="1" customFormat="1" spans="1:25">
      <c r="A78" s="2" t="s">
        <v>32</v>
      </c>
      <c r="B78" s="2">
        <v>17</v>
      </c>
      <c r="C78" s="2">
        <v>2013</v>
      </c>
      <c r="D78" s="7">
        <v>3404</v>
      </c>
      <c r="E78" s="7">
        <v>40346.6964998394</v>
      </c>
      <c r="F78" s="7">
        <v>15703</v>
      </c>
      <c r="G78" s="7">
        <v>24791.83</v>
      </c>
      <c r="H78" s="7">
        <v>84993</v>
      </c>
      <c r="I78" s="7">
        <v>52.4005</v>
      </c>
      <c r="J78" s="7">
        <v>8181</v>
      </c>
      <c r="L78" s="1">
        <v>17</v>
      </c>
      <c r="M78" s="1">
        <v>2013</v>
      </c>
      <c r="N78" s="9">
        <v>1.0252901469146</v>
      </c>
      <c r="O78" s="9">
        <v>1.14843483240203</v>
      </c>
      <c r="P78" s="9">
        <v>1.03846491158151</v>
      </c>
      <c r="Q78" s="9">
        <v>1.07699184512759</v>
      </c>
      <c r="T78" s="1">
        <v>17</v>
      </c>
      <c r="U78" s="1">
        <v>2013</v>
      </c>
      <c r="V78" s="1">
        <f t="shared" si="0"/>
        <v>1.01839808239665</v>
      </c>
      <c r="W78" s="1">
        <f t="shared" si="1"/>
        <v>1.27292675662249</v>
      </c>
      <c r="X78" s="1">
        <f t="shared" si="2"/>
        <v>1.04825566834866</v>
      </c>
      <c r="Y78" s="1">
        <f t="shared" si="3"/>
        <v>1.11847539891707</v>
      </c>
    </row>
    <row r="79" s="1" customFormat="1" spans="1:25">
      <c r="A79" s="2" t="s">
        <v>33</v>
      </c>
      <c r="B79" s="2">
        <v>18</v>
      </c>
      <c r="C79" s="2">
        <v>2013</v>
      </c>
      <c r="D79" s="7">
        <v>4036.45</v>
      </c>
      <c r="E79" s="7">
        <v>37200.4443115433</v>
      </c>
      <c r="F79" s="7">
        <v>14919</v>
      </c>
      <c r="G79" s="7">
        <v>24621.67</v>
      </c>
      <c r="H79" s="7">
        <v>92311</v>
      </c>
      <c r="I79" s="7">
        <v>58.8696</v>
      </c>
      <c r="J79" s="7">
        <v>7806</v>
      </c>
      <c r="L79" s="1">
        <v>18</v>
      </c>
      <c r="M79" s="1">
        <v>2013</v>
      </c>
      <c r="N79" s="9">
        <v>1.01830742198231</v>
      </c>
      <c r="O79" s="9">
        <v>0.993219850204039</v>
      </c>
      <c r="P79" s="9">
        <v>1.02920084685822</v>
      </c>
      <c r="Q79" s="9">
        <v>0.955405983137458</v>
      </c>
      <c r="T79" s="1">
        <v>18</v>
      </c>
      <c r="U79" s="1">
        <v>2013</v>
      </c>
      <c r="V79" s="1">
        <f t="shared" si="0"/>
        <v>1.00294729487806</v>
      </c>
      <c r="W79" s="1">
        <f t="shared" si="1"/>
        <v>0.956452484906869</v>
      </c>
      <c r="X79" s="1">
        <f t="shared" si="2"/>
        <v>1.02738045239335</v>
      </c>
      <c r="Y79" s="1">
        <f t="shared" si="3"/>
        <v>0.932271651777739</v>
      </c>
    </row>
    <row r="80" s="1" customFormat="1" spans="1:25">
      <c r="A80" s="2" t="s">
        <v>34</v>
      </c>
      <c r="B80" s="2">
        <v>19</v>
      </c>
      <c r="C80" s="2">
        <v>2013</v>
      </c>
      <c r="D80" s="7">
        <v>6273</v>
      </c>
      <c r="E80" s="7">
        <v>86064.6371155893</v>
      </c>
      <c r="F80" s="7">
        <v>28480</v>
      </c>
      <c r="G80" s="7">
        <v>62474.79</v>
      </c>
      <c r="H80" s="7">
        <v>170463</v>
      </c>
      <c r="I80" s="7">
        <v>73.1995</v>
      </c>
      <c r="J80" s="7">
        <v>5912</v>
      </c>
      <c r="L80" s="1">
        <v>19</v>
      </c>
      <c r="M80" s="1">
        <v>2013</v>
      </c>
      <c r="N80" s="9">
        <v>1.08100524199679</v>
      </c>
      <c r="O80" s="9">
        <v>1.01419409578443</v>
      </c>
      <c r="P80" s="9">
        <v>1.01730391495506</v>
      </c>
      <c r="Q80" s="9">
        <v>0.993065689438137</v>
      </c>
      <c r="T80" s="1">
        <v>19</v>
      </c>
      <c r="U80" s="1">
        <v>2013</v>
      </c>
      <c r="V80" s="1">
        <f t="shared" si="0"/>
        <v>0.354183986799768</v>
      </c>
      <c r="W80" s="1">
        <f t="shared" si="1"/>
        <v>1.01671474056428</v>
      </c>
      <c r="X80" s="1">
        <f t="shared" si="2"/>
        <v>0.995789308674209</v>
      </c>
      <c r="Y80" s="1">
        <f t="shared" si="3"/>
        <v>0.91538505313663</v>
      </c>
    </row>
    <row r="81" s="1" customFormat="1" spans="1:25">
      <c r="A81" s="2" t="s">
        <v>35</v>
      </c>
      <c r="B81" s="2">
        <v>20</v>
      </c>
      <c r="C81" s="2">
        <v>2013</v>
      </c>
      <c r="D81" s="7">
        <v>2782</v>
      </c>
      <c r="E81" s="7">
        <v>33571.7102406462</v>
      </c>
      <c r="F81" s="7">
        <v>9100</v>
      </c>
      <c r="G81" s="7">
        <v>14449.9</v>
      </c>
      <c r="H81" s="7">
        <v>89508</v>
      </c>
      <c r="I81" s="7">
        <v>43.7996</v>
      </c>
      <c r="J81" s="7">
        <v>7676</v>
      </c>
      <c r="L81" s="1">
        <v>20</v>
      </c>
      <c r="M81" s="1">
        <v>2013</v>
      </c>
      <c r="N81" s="9">
        <v>1.01351584852349</v>
      </c>
      <c r="O81" s="9">
        <v>1.04091647752318</v>
      </c>
      <c r="P81" s="9">
        <v>1.02980029748628</v>
      </c>
      <c r="Q81" s="9">
        <v>1.05669093271823</v>
      </c>
      <c r="T81" s="1">
        <v>20</v>
      </c>
      <c r="U81" s="1">
        <v>2013</v>
      </c>
      <c r="V81" s="1">
        <f t="shared" si="0"/>
        <v>0.97831321335384</v>
      </c>
      <c r="W81" s="1">
        <f t="shared" si="1"/>
        <v>1.03512645944022</v>
      </c>
      <c r="X81" s="1">
        <f t="shared" si="2"/>
        <v>1.00369959750415</v>
      </c>
      <c r="Y81" s="1">
        <f t="shared" si="3"/>
        <v>1.06411020408009</v>
      </c>
    </row>
    <row r="82" s="1" customFormat="1" spans="1:25">
      <c r="A82" s="2" t="s">
        <v>36</v>
      </c>
      <c r="B82" s="2">
        <v>21</v>
      </c>
      <c r="C82" s="2">
        <v>2013</v>
      </c>
      <c r="D82" s="7">
        <v>490.56</v>
      </c>
      <c r="E82" s="7">
        <v>5931.4649751376</v>
      </c>
      <c r="F82" s="7">
        <v>1720</v>
      </c>
      <c r="G82" s="7">
        <v>3177.56</v>
      </c>
      <c r="H82" s="7">
        <v>6744</v>
      </c>
      <c r="I82" s="7">
        <v>3.1652</v>
      </c>
      <c r="J82" s="7">
        <v>415</v>
      </c>
      <c r="L82" s="1">
        <v>21</v>
      </c>
      <c r="M82" s="1">
        <v>2013</v>
      </c>
      <c r="N82" s="9">
        <v>0.905358378971753</v>
      </c>
      <c r="O82" s="9">
        <v>0.836022056169325</v>
      </c>
      <c r="P82" s="9">
        <v>0.990965492397431</v>
      </c>
      <c r="Q82" s="9">
        <v>1.02881626683954</v>
      </c>
      <c r="T82" s="1">
        <v>21</v>
      </c>
      <c r="U82" s="1">
        <v>2013</v>
      </c>
      <c r="V82" s="1">
        <f t="shared" si="0"/>
        <v>0.802201748052173</v>
      </c>
      <c r="W82" s="1">
        <f t="shared" si="1"/>
        <v>0.769581785655732</v>
      </c>
      <c r="X82" s="1">
        <f t="shared" si="2"/>
        <v>0.976158350630519</v>
      </c>
      <c r="Y82" s="1">
        <f t="shared" si="3"/>
        <v>1.05975445254148</v>
      </c>
    </row>
    <row r="83" s="1" customFormat="1" spans="1:25">
      <c r="A83" s="2" t="s">
        <v>37</v>
      </c>
      <c r="B83" s="2">
        <v>22</v>
      </c>
      <c r="C83" s="2">
        <v>2013</v>
      </c>
      <c r="D83" s="7">
        <v>1618.69</v>
      </c>
      <c r="E83" s="7">
        <v>21223.0431127426</v>
      </c>
      <c r="F83" s="7">
        <v>8049</v>
      </c>
      <c r="G83" s="7">
        <v>12783.26</v>
      </c>
      <c r="H83" s="7">
        <v>33451</v>
      </c>
      <c r="I83" s="7">
        <v>49.4415</v>
      </c>
      <c r="J83" s="7">
        <v>3162</v>
      </c>
      <c r="L83" s="1">
        <v>22</v>
      </c>
      <c r="M83" s="1">
        <v>2013</v>
      </c>
      <c r="N83" s="9">
        <v>1.038493471136</v>
      </c>
      <c r="O83" s="9">
        <v>1.0725527003908</v>
      </c>
      <c r="P83" s="9">
        <v>1.06043412488303</v>
      </c>
      <c r="Q83" s="9">
        <v>1.09713742243645</v>
      </c>
      <c r="T83" s="1">
        <v>22</v>
      </c>
      <c r="U83" s="1">
        <v>2013</v>
      </c>
      <c r="V83" s="1">
        <f t="shared" si="0"/>
        <v>1.04158313242108</v>
      </c>
      <c r="W83" s="1">
        <f t="shared" si="1"/>
        <v>1.11265949476437</v>
      </c>
      <c r="X83" s="1">
        <f t="shared" si="2"/>
        <v>1.08932693582185</v>
      </c>
      <c r="Y83" s="1">
        <f t="shared" si="3"/>
        <v>1.16165391822703</v>
      </c>
    </row>
    <row r="84" s="1" customFormat="1" spans="1:25">
      <c r="A84" s="2" t="s">
        <v>38</v>
      </c>
      <c r="B84" s="2">
        <v>23</v>
      </c>
      <c r="C84" s="2">
        <v>2013</v>
      </c>
      <c r="D84" s="7">
        <v>4634</v>
      </c>
      <c r="E84" s="7">
        <v>40250.8303225099</v>
      </c>
      <c r="F84" s="7">
        <v>19212</v>
      </c>
      <c r="G84" s="7">
        <v>26392.07</v>
      </c>
      <c r="H84" s="7">
        <v>64864</v>
      </c>
      <c r="I84" s="7">
        <v>74.6363</v>
      </c>
      <c r="J84" s="7">
        <v>14007</v>
      </c>
      <c r="L84" s="1">
        <v>23</v>
      </c>
      <c r="M84" s="1">
        <v>2013</v>
      </c>
      <c r="N84" s="9">
        <v>1.01542296752931</v>
      </c>
      <c r="O84" s="9">
        <v>1.11685135758482</v>
      </c>
      <c r="P84" s="9">
        <v>1.02610209132559</v>
      </c>
      <c r="Q84" s="9">
        <v>0.980072686941104</v>
      </c>
      <c r="T84" s="1">
        <v>23</v>
      </c>
      <c r="U84" s="1">
        <v>2013</v>
      </c>
      <c r="V84" s="1">
        <f t="shared" si="0"/>
        <v>1.02009407242192</v>
      </c>
      <c r="W84" s="1">
        <f t="shared" si="1"/>
        <v>1.22500795018933</v>
      </c>
      <c r="X84" s="1">
        <f t="shared" si="2"/>
        <v>1.04565559950083</v>
      </c>
      <c r="Y84" s="1">
        <f t="shared" si="3"/>
        <v>1.00892663408232</v>
      </c>
    </row>
    <row r="85" s="1" customFormat="1" spans="1:25">
      <c r="A85" s="2" t="s">
        <v>39</v>
      </c>
      <c r="B85" s="2">
        <v>24</v>
      </c>
      <c r="C85" s="2">
        <v>2013</v>
      </c>
      <c r="D85" s="7">
        <v>1864.21</v>
      </c>
      <c r="E85" s="7">
        <v>14078.6672907261</v>
      </c>
      <c r="F85" s="7">
        <v>9299</v>
      </c>
      <c r="G85" s="7">
        <v>8086.86</v>
      </c>
      <c r="H85" s="7">
        <v>22898</v>
      </c>
      <c r="I85" s="7">
        <v>77.8581</v>
      </c>
      <c r="J85" s="7">
        <v>8194</v>
      </c>
      <c r="L85" s="1">
        <v>24</v>
      </c>
      <c r="M85" s="1">
        <v>2013</v>
      </c>
      <c r="N85" s="9">
        <v>1.00469849252827</v>
      </c>
      <c r="O85" s="9">
        <v>1.0337821466479</v>
      </c>
      <c r="P85" s="9">
        <v>1.03151286606457</v>
      </c>
      <c r="Q85" s="9">
        <v>1.06450465014785</v>
      </c>
      <c r="T85" s="1">
        <v>24</v>
      </c>
      <c r="U85" s="1">
        <v>2013</v>
      </c>
      <c r="V85" s="1">
        <f t="shared" si="0"/>
        <v>0.991285806274379</v>
      </c>
      <c r="W85" s="1">
        <f t="shared" si="1"/>
        <v>1.05494500168078</v>
      </c>
      <c r="X85" s="1">
        <f t="shared" si="2"/>
        <v>1.06742384330454</v>
      </c>
      <c r="Y85" s="1">
        <f t="shared" si="3"/>
        <v>1.12396292892468</v>
      </c>
    </row>
    <row r="86" s="1" customFormat="1" spans="1:25">
      <c r="A86" s="2" t="s">
        <v>40</v>
      </c>
      <c r="B86" s="2">
        <v>25</v>
      </c>
      <c r="C86" s="2">
        <v>2013</v>
      </c>
      <c r="D86" s="7">
        <v>2835</v>
      </c>
      <c r="E86" s="7">
        <v>24569.831220309</v>
      </c>
      <c r="F86" s="7">
        <v>10072</v>
      </c>
      <c r="G86" s="7">
        <v>11832.31</v>
      </c>
      <c r="H86" s="7">
        <v>41844</v>
      </c>
      <c r="I86" s="7">
        <v>61.2954</v>
      </c>
      <c r="J86" s="7">
        <v>16040</v>
      </c>
      <c r="L86" s="1">
        <v>25</v>
      </c>
      <c r="M86" s="1">
        <v>2013</v>
      </c>
      <c r="N86" s="9">
        <v>0.999037644683541</v>
      </c>
      <c r="O86" s="9">
        <v>1.02962803445018</v>
      </c>
      <c r="P86" s="9">
        <v>1.01583197375359</v>
      </c>
      <c r="Q86" s="9">
        <v>1.050537885824</v>
      </c>
      <c r="T86" s="1">
        <v>25</v>
      </c>
      <c r="U86" s="1">
        <v>2013</v>
      </c>
      <c r="V86" s="1">
        <f t="shared" si="0"/>
        <v>0.964001422190561</v>
      </c>
      <c r="W86" s="1">
        <f t="shared" si="1"/>
        <v>1.02584573513435</v>
      </c>
      <c r="X86" s="1">
        <f t="shared" si="2"/>
        <v>0.999749748616951</v>
      </c>
      <c r="Y86" s="1">
        <f t="shared" si="3"/>
        <v>1.06455832178727</v>
      </c>
    </row>
    <row r="87" s="1" customFormat="1" spans="1:25">
      <c r="A87" s="2" t="s">
        <v>41</v>
      </c>
      <c r="B87" s="2">
        <v>26</v>
      </c>
      <c r="C87" s="2">
        <v>2013</v>
      </c>
      <c r="D87" s="7">
        <v>2090</v>
      </c>
      <c r="E87" s="7">
        <v>29603.9040637421</v>
      </c>
      <c r="F87" s="7">
        <v>10610</v>
      </c>
      <c r="G87" s="7">
        <v>16205.45</v>
      </c>
      <c r="H87" s="7">
        <v>34871</v>
      </c>
      <c r="I87" s="7">
        <v>70.7146</v>
      </c>
      <c r="J87" s="7">
        <v>7491</v>
      </c>
      <c r="L87" s="1">
        <v>26</v>
      </c>
      <c r="M87" s="1">
        <v>2013</v>
      </c>
      <c r="N87" s="9">
        <v>1.00681022480402</v>
      </c>
      <c r="O87" s="9">
        <v>1.0355969999768</v>
      </c>
      <c r="P87" s="9">
        <v>1.02413175378817</v>
      </c>
      <c r="Q87" s="9">
        <v>1.05504496745747</v>
      </c>
      <c r="T87" s="1">
        <v>26</v>
      </c>
      <c r="U87" s="1">
        <v>2013</v>
      </c>
      <c r="V87" s="1">
        <f t="shared" si="0"/>
        <v>0.999107523158729</v>
      </c>
      <c r="W87" s="1">
        <f t="shared" si="1"/>
        <v>1.06256977282657</v>
      </c>
      <c r="X87" s="1">
        <f t="shared" si="2"/>
        <v>1.0416991178588</v>
      </c>
      <c r="Y87" s="1">
        <f t="shared" si="3"/>
        <v>1.10553356225679</v>
      </c>
    </row>
    <row r="88" s="1" customFormat="1" spans="1:25">
      <c r="A88" s="2" t="s">
        <v>42</v>
      </c>
      <c r="B88" s="2">
        <v>27</v>
      </c>
      <c r="C88" s="2">
        <v>2013</v>
      </c>
      <c r="D88" s="7">
        <v>1352</v>
      </c>
      <c r="E88" s="7">
        <v>10910.8251760992</v>
      </c>
      <c r="F88" s="7">
        <v>7287</v>
      </c>
      <c r="G88" s="7">
        <v>6330.69</v>
      </c>
      <c r="H88" s="7">
        <v>20171</v>
      </c>
      <c r="I88" s="7">
        <v>47.2798</v>
      </c>
      <c r="J88" s="7">
        <v>5907</v>
      </c>
      <c r="L88" s="1">
        <v>27</v>
      </c>
      <c r="M88" s="1">
        <v>2013</v>
      </c>
      <c r="N88" s="9">
        <v>0.979837499189026</v>
      </c>
      <c r="O88" s="9">
        <v>0.966466799545716</v>
      </c>
      <c r="P88" s="9">
        <v>0.999713715091003</v>
      </c>
      <c r="Q88" s="9">
        <v>1.02035123818505</v>
      </c>
      <c r="T88" s="1">
        <v>27</v>
      </c>
      <c r="U88" s="1">
        <v>2013</v>
      </c>
      <c r="V88" s="1">
        <f t="shared" si="0"/>
        <v>0.959244411759736</v>
      </c>
      <c r="W88" s="1">
        <f t="shared" si="1"/>
        <v>0.964333698677926</v>
      </c>
      <c r="X88" s="1">
        <f t="shared" si="2"/>
        <v>0.998011328413109</v>
      </c>
      <c r="Y88" s="1">
        <f t="shared" si="3"/>
        <v>1.0396752597222</v>
      </c>
    </row>
    <row r="89" s="1" customFormat="1" spans="1:25">
      <c r="A89" s="2" t="s">
        <v>43</v>
      </c>
      <c r="B89" s="2">
        <v>28</v>
      </c>
      <c r="C89" s="2">
        <v>2013</v>
      </c>
      <c r="D89" s="7">
        <v>314.21</v>
      </c>
      <c r="E89" s="7">
        <v>5610.67727701881</v>
      </c>
      <c r="F89" s="7">
        <v>3768</v>
      </c>
      <c r="G89" s="7">
        <v>2122.06</v>
      </c>
      <c r="H89" s="7">
        <v>8395</v>
      </c>
      <c r="I89" s="7">
        <v>13.0818</v>
      </c>
      <c r="J89" s="7">
        <v>12377</v>
      </c>
      <c r="L89" s="1">
        <v>28</v>
      </c>
      <c r="M89" s="1">
        <v>2013</v>
      </c>
      <c r="N89" s="9">
        <v>1.05705379910677</v>
      </c>
      <c r="O89" s="9">
        <v>0.957028115877943</v>
      </c>
      <c r="P89" s="9">
        <v>0.960782687157417</v>
      </c>
      <c r="Q89" s="9">
        <v>0.991202245101004</v>
      </c>
      <c r="T89" s="1">
        <v>28</v>
      </c>
      <c r="U89" s="1">
        <v>2013</v>
      </c>
      <c r="V89" s="1">
        <f t="shared" si="0"/>
        <v>0.906776752098603</v>
      </c>
      <c r="W89" s="1">
        <f t="shared" si="1"/>
        <v>0.909015907180701</v>
      </c>
      <c r="X89" s="1">
        <f t="shared" si="2"/>
        <v>0.92568763020058</v>
      </c>
      <c r="Y89" s="1">
        <f t="shared" si="3"/>
        <v>0.985441993949987</v>
      </c>
    </row>
    <row r="90" s="1" customFormat="1" spans="1:25">
      <c r="A90" s="2" t="s">
        <v>44</v>
      </c>
      <c r="B90" s="2">
        <v>29</v>
      </c>
      <c r="C90" s="2">
        <v>2013</v>
      </c>
      <c r="D90" s="7">
        <v>345</v>
      </c>
      <c r="E90" s="7">
        <v>6546.24383393975</v>
      </c>
      <c r="F90" s="7">
        <v>4781</v>
      </c>
      <c r="G90" s="7">
        <v>2577.57</v>
      </c>
      <c r="H90" s="7">
        <v>15708</v>
      </c>
      <c r="I90" s="7">
        <v>36.8201</v>
      </c>
      <c r="J90" s="7">
        <v>3277</v>
      </c>
      <c r="L90" s="1">
        <v>29</v>
      </c>
      <c r="M90" s="1">
        <v>2013</v>
      </c>
      <c r="N90" s="9">
        <v>0.985386844132885</v>
      </c>
      <c r="O90" s="9">
        <v>0.977862784604708</v>
      </c>
      <c r="P90" s="9">
        <v>0.992980404595923</v>
      </c>
      <c r="Q90" s="9">
        <v>1.01481874492792</v>
      </c>
      <c r="T90" s="1">
        <v>29</v>
      </c>
      <c r="U90" s="1">
        <v>2013</v>
      </c>
      <c r="V90" s="1">
        <f t="shared" si="0"/>
        <v>0.968662223115252</v>
      </c>
      <c r="W90" s="1">
        <f t="shared" si="1"/>
        <v>0.975842513716414</v>
      </c>
      <c r="X90" s="1">
        <f t="shared" si="2"/>
        <v>0.989508741961393</v>
      </c>
      <c r="Y90" s="1">
        <f t="shared" si="3"/>
        <v>1.04012841774417</v>
      </c>
    </row>
    <row r="91" s="1" customFormat="1" spans="1:25">
      <c r="A91" s="2" t="s">
        <v>45</v>
      </c>
      <c r="B91" s="2">
        <v>30</v>
      </c>
      <c r="C91" s="2">
        <v>2013</v>
      </c>
      <c r="D91" s="7">
        <v>1260</v>
      </c>
      <c r="E91" s="7">
        <v>17364.8222303591</v>
      </c>
      <c r="F91" s="7">
        <v>13632</v>
      </c>
      <c r="G91" s="7">
        <v>8443.84</v>
      </c>
      <c r="H91" s="7">
        <v>34718</v>
      </c>
      <c r="I91" s="7">
        <v>73.8566</v>
      </c>
      <c r="J91" s="7">
        <v>9283</v>
      </c>
      <c r="L91" s="1">
        <v>30</v>
      </c>
      <c r="M91" s="1">
        <v>2013</v>
      </c>
      <c r="N91" s="9">
        <v>0.942837845023103</v>
      </c>
      <c r="O91" s="9">
        <v>0.959388822717983</v>
      </c>
      <c r="P91" s="9">
        <v>0.964110799425267</v>
      </c>
      <c r="Q91" s="9">
        <v>0.982668845740323</v>
      </c>
      <c r="T91" s="1">
        <v>30</v>
      </c>
      <c r="U91" s="1">
        <v>2013</v>
      </c>
      <c r="V91" s="1">
        <f t="shared" si="0"/>
        <v>0.893591747925066</v>
      </c>
      <c r="W91" s="1">
        <f t="shared" si="1"/>
        <v>0.92856739971747</v>
      </c>
      <c r="X91" s="1">
        <f t="shared" si="2"/>
        <v>0.940467822665241</v>
      </c>
      <c r="Y91" s="1">
        <f t="shared" si="3"/>
        <v>0.972910038923664</v>
      </c>
    </row>
    <row r="92" s="1" customFormat="1" spans="1:25">
      <c r="A92" s="2" t="s">
        <v>16</v>
      </c>
      <c r="B92" s="2">
        <v>1</v>
      </c>
      <c r="C92" s="2">
        <v>2014</v>
      </c>
      <c r="D92" s="7">
        <v>1156.7</v>
      </c>
      <c r="E92" s="7">
        <v>33072.1644598143</v>
      </c>
      <c r="F92" s="7">
        <v>6831</v>
      </c>
      <c r="G92" s="7">
        <v>21330.83</v>
      </c>
      <c r="H92" s="7">
        <v>9174</v>
      </c>
      <c r="I92" s="7">
        <v>4.0347</v>
      </c>
      <c r="J92" s="7">
        <v>1021</v>
      </c>
      <c r="L92" s="1">
        <v>1</v>
      </c>
      <c r="M92" s="1">
        <v>2014</v>
      </c>
      <c r="N92" s="9">
        <v>1.01487942006917</v>
      </c>
      <c r="O92" s="9">
        <v>1.05717102185827</v>
      </c>
      <c r="P92" s="9">
        <v>1.03306882069718</v>
      </c>
      <c r="Q92" s="9">
        <v>1.0375484655513</v>
      </c>
      <c r="T92" s="1">
        <v>1</v>
      </c>
      <c r="U92" s="1">
        <v>2014</v>
      </c>
      <c r="V92" s="1">
        <f t="shared" si="0"/>
        <v>1.03795412720661</v>
      </c>
      <c r="W92" s="1">
        <f t="shared" si="1"/>
        <v>1.10017033680294</v>
      </c>
      <c r="X92" s="1">
        <f t="shared" si="2"/>
        <v>1.1388798986422</v>
      </c>
      <c r="Y92" s="1">
        <f t="shared" si="3"/>
        <v>1.17981039638982</v>
      </c>
    </row>
    <row r="93" s="1" customFormat="1" spans="1:25">
      <c r="A93" s="2" t="s">
        <v>17</v>
      </c>
      <c r="B93" s="2">
        <v>2</v>
      </c>
      <c r="C93" s="2">
        <v>2014</v>
      </c>
      <c r="D93" s="7">
        <v>877.21</v>
      </c>
      <c r="E93" s="7">
        <v>36620.0724274551</v>
      </c>
      <c r="F93" s="7">
        <v>8145</v>
      </c>
      <c r="G93" s="7">
        <v>15726.93</v>
      </c>
      <c r="H93" s="7">
        <v>19011</v>
      </c>
      <c r="I93" s="7">
        <v>19.5395</v>
      </c>
      <c r="J93" s="7">
        <v>1735</v>
      </c>
      <c r="L93" s="1">
        <v>2</v>
      </c>
      <c r="M93" s="1">
        <v>2014</v>
      </c>
      <c r="N93" s="9">
        <v>0.976618939463788</v>
      </c>
      <c r="O93" s="9">
        <v>1.07448317985662</v>
      </c>
      <c r="P93" s="9">
        <v>1.00375691440336</v>
      </c>
      <c r="Q93" s="9">
        <v>1.11393469045839</v>
      </c>
      <c r="T93" s="1">
        <v>2</v>
      </c>
      <c r="U93" s="1">
        <v>2014</v>
      </c>
      <c r="V93" s="1">
        <f t="shared" si="0"/>
        <v>0.945459739137257</v>
      </c>
      <c r="W93" s="1">
        <f t="shared" si="1"/>
        <v>1.28283936903264</v>
      </c>
      <c r="X93" s="1">
        <f t="shared" si="2"/>
        <v>1.04163568827443</v>
      </c>
      <c r="Y93" s="1">
        <f t="shared" si="3"/>
        <v>1.8372080656984</v>
      </c>
    </row>
    <row r="94" s="1" customFormat="1" spans="1:25">
      <c r="A94" s="2" t="s">
        <v>18</v>
      </c>
      <c r="B94" s="2">
        <v>3</v>
      </c>
      <c r="C94" s="2">
        <v>2014</v>
      </c>
      <c r="D94" s="7">
        <v>3978</v>
      </c>
      <c r="E94" s="7">
        <v>61319.181311865</v>
      </c>
      <c r="F94" s="7">
        <v>29320</v>
      </c>
      <c r="G94" s="7">
        <v>29421.15</v>
      </c>
      <c r="H94" s="7">
        <v>108562</v>
      </c>
      <c r="I94" s="7">
        <v>104.7351</v>
      </c>
      <c r="J94" s="7">
        <v>41928</v>
      </c>
      <c r="L94" s="1">
        <v>3</v>
      </c>
      <c r="M94" s="1">
        <v>2014</v>
      </c>
      <c r="N94" s="9">
        <v>0.965557103601656</v>
      </c>
      <c r="O94" s="9">
        <v>1.00874528368407</v>
      </c>
      <c r="P94" s="9">
        <v>0.967237571327812</v>
      </c>
      <c r="Q94" s="9">
        <v>0.984553317004118</v>
      </c>
      <c r="T94" s="1">
        <v>3</v>
      </c>
      <c r="U94" s="1">
        <v>2014</v>
      </c>
      <c r="V94" s="1">
        <f t="shared" si="0"/>
        <v>0.917588529110437</v>
      </c>
      <c r="W94" s="1">
        <f t="shared" si="1"/>
        <v>1.1051309749988</v>
      </c>
      <c r="X94" s="1">
        <f t="shared" si="2"/>
        <v>0.932272644525171</v>
      </c>
      <c r="Y94" s="1">
        <f t="shared" si="3"/>
        <v>0.997141853847617</v>
      </c>
    </row>
    <row r="95" s="1" customFormat="1" spans="1:25">
      <c r="A95" s="2" t="s">
        <v>19</v>
      </c>
      <c r="B95" s="2">
        <v>4</v>
      </c>
      <c r="C95" s="2">
        <v>2014</v>
      </c>
      <c r="D95" s="7">
        <v>1842</v>
      </c>
      <c r="E95" s="7">
        <v>28737.9118566531</v>
      </c>
      <c r="F95" s="7">
        <v>19863</v>
      </c>
      <c r="G95" s="7">
        <v>12761.49</v>
      </c>
      <c r="H95" s="7">
        <v>49250</v>
      </c>
      <c r="I95" s="7">
        <v>107.799</v>
      </c>
      <c r="J95" s="7">
        <v>30199</v>
      </c>
      <c r="L95" s="1">
        <v>4</v>
      </c>
      <c r="M95" s="1">
        <v>2014</v>
      </c>
      <c r="N95" s="9">
        <v>0.944295830193656</v>
      </c>
      <c r="O95" s="9">
        <v>0.948367232956991</v>
      </c>
      <c r="P95" s="9">
        <v>0.932921719563762</v>
      </c>
      <c r="Q95" s="9">
        <v>0.946848987692964</v>
      </c>
      <c r="T95" s="1">
        <v>4</v>
      </c>
      <c r="U95" s="1">
        <v>2014</v>
      </c>
      <c r="V95" s="1">
        <f t="shared" si="0"/>
        <v>0.848545972918403</v>
      </c>
      <c r="W95" s="1">
        <f t="shared" si="1"/>
        <v>0.876316888546455</v>
      </c>
      <c r="X95" s="1">
        <f t="shared" si="2"/>
        <v>0.843756291848355</v>
      </c>
      <c r="Y95" s="1">
        <f t="shared" si="3"/>
        <v>0.889666525222967</v>
      </c>
    </row>
    <row r="96" s="1" customFormat="1" spans="1:25">
      <c r="A96" s="2" t="s">
        <v>20</v>
      </c>
      <c r="B96" s="2">
        <v>5</v>
      </c>
      <c r="C96" s="2">
        <v>2014</v>
      </c>
      <c r="D96" s="7">
        <v>1360</v>
      </c>
      <c r="E96" s="7">
        <v>44873.4502662637</v>
      </c>
      <c r="F96" s="7">
        <v>18309</v>
      </c>
      <c r="G96" s="7">
        <v>17770.19</v>
      </c>
      <c r="H96" s="7">
        <v>39325</v>
      </c>
      <c r="I96" s="7">
        <v>116.7133</v>
      </c>
      <c r="J96" s="7">
        <v>23191</v>
      </c>
      <c r="L96" s="1">
        <v>5</v>
      </c>
      <c r="M96" s="1">
        <v>2014</v>
      </c>
      <c r="N96" s="9">
        <v>0.981573569866264</v>
      </c>
      <c r="O96" s="9">
        <v>0.99202500782</v>
      </c>
      <c r="P96" s="9">
        <v>0.988685563239522</v>
      </c>
      <c r="Q96" s="9">
        <v>1.00270986396892</v>
      </c>
      <c r="T96" s="1">
        <v>5</v>
      </c>
      <c r="U96" s="1">
        <v>2014</v>
      </c>
      <c r="V96" s="1">
        <f t="shared" si="0"/>
        <v>0.936307539583504</v>
      </c>
      <c r="W96" s="1">
        <f t="shared" si="1"/>
        <v>0.999424989052746</v>
      </c>
      <c r="X96" s="1">
        <f t="shared" si="2"/>
        <v>0.955461898383753</v>
      </c>
      <c r="Y96" s="1">
        <f t="shared" si="3"/>
        <v>1.04155701862234</v>
      </c>
    </row>
    <row r="97" s="1" customFormat="1" spans="1:25">
      <c r="A97" s="2" t="s">
        <v>21</v>
      </c>
      <c r="B97" s="2">
        <v>6</v>
      </c>
      <c r="C97" s="2">
        <v>2014</v>
      </c>
      <c r="D97" s="7">
        <v>2562.2</v>
      </c>
      <c r="E97" s="7">
        <v>58886.1373410554</v>
      </c>
      <c r="F97" s="7">
        <v>21803</v>
      </c>
      <c r="G97" s="7">
        <v>28626.58</v>
      </c>
      <c r="H97" s="7">
        <v>90631</v>
      </c>
      <c r="I97" s="7">
        <v>92.6035</v>
      </c>
      <c r="J97" s="7">
        <v>28666</v>
      </c>
      <c r="L97" s="1">
        <v>6</v>
      </c>
      <c r="M97" s="1">
        <v>2014</v>
      </c>
      <c r="N97" s="9">
        <v>0.973566865146879</v>
      </c>
      <c r="O97" s="9">
        <v>1.01818014939736</v>
      </c>
      <c r="P97" s="9">
        <v>0.981360724142112</v>
      </c>
      <c r="Q97" s="9">
        <v>0.993525173827238</v>
      </c>
      <c r="T97" s="1">
        <v>6</v>
      </c>
      <c r="U97" s="1">
        <v>2014</v>
      </c>
      <c r="V97" s="1">
        <f t="shared" ref="V97:V160" si="4">V67*N97</f>
        <v>0.965785260824575</v>
      </c>
      <c r="W97" s="1">
        <f t="shared" ref="W97:W160" si="5">W67*O97</f>
        <v>1.24416281854782</v>
      </c>
      <c r="X97" s="1">
        <f t="shared" ref="X97:X160" si="6">X67*P97</f>
        <v>1.00513647015386</v>
      </c>
      <c r="Y97" s="1">
        <f t="shared" ref="Y97:Y160" si="7">Y67*Q97</f>
        <v>1.07379570851677</v>
      </c>
    </row>
    <row r="98" s="1" customFormat="1" spans="1:25">
      <c r="A98" s="2" t="s">
        <v>22</v>
      </c>
      <c r="B98" s="2">
        <v>7</v>
      </c>
      <c r="C98" s="2">
        <v>2014</v>
      </c>
      <c r="D98" s="7">
        <v>1427.01</v>
      </c>
      <c r="E98" s="7">
        <v>37224.6414368963</v>
      </c>
      <c r="F98" s="7">
        <v>8560</v>
      </c>
      <c r="G98" s="7">
        <v>13803.14</v>
      </c>
      <c r="H98" s="7">
        <v>42192</v>
      </c>
      <c r="I98" s="7">
        <v>31.9643</v>
      </c>
      <c r="J98" s="7">
        <v>4944</v>
      </c>
      <c r="L98" s="1">
        <v>7</v>
      </c>
      <c r="M98" s="1">
        <v>2014</v>
      </c>
      <c r="N98" s="9">
        <v>1.00200583123169</v>
      </c>
      <c r="O98" s="9">
        <v>1.01538207914643</v>
      </c>
      <c r="P98" s="9">
        <v>1.00918377213528</v>
      </c>
      <c r="Q98" s="9">
        <v>1.02748236930077</v>
      </c>
      <c r="T98" s="1">
        <v>7</v>
      </c>
      <c r="U98" s="1">
        <v>2014</v>
      </c>
      <c r="V98" s="1">
        <f t="shared" si="4"/>
        <v>1.04896420894461</v>
      </c>
      <c r="W98" s="1">
        <f t="shared" si="5"/>
        <v>1.13457918307154</v>
      </c>
      <c r="X98" s="1">
        <f t="shared" si="6"/>
        <v>1.09637198010795</v>
      </c>
      <c r="Y98" s="1">
        <f t="shared" si="7"/>
        <v>1.19433994971232</v>
      </c>
    </row>
    <row r="99" s="1" customFormat="1" spans="1:25">
      <c r="A99" s="2" t="s">
        <v>23</v>
      </c>
      <c r="B99" s="2">
        <v>8</v>
      </c>
      <c r="C99" s="2">
        <v>2014</v>
      </c>
      <c r="D99" s="7">
        <v>1946</v>
      </c>
      <c r="E99" s="7">
        <v>30533.3876862751</v>
      </c>
      <c r="F99" s="7">
        <v>11955</v>
      </c>
      <c r="G99" s="7">
        <v>15039.38</v>
      </c>
      <c r="H99" s="7">
        <v>41984</v>
      </c>
      <c r="I99" s="7">
        <v>31.748</v>
      </c>
      <c r="J99" s="7">
        <v>6312</v>
      </c>
      <c r="L99" s="1">
        <v>8</v>
      </c>
      <c r="M99" s="1">
        <v>2014</v>
      </c>
      <c r="N99" s="9">
        <v>0.981121715307959</v>
      </c>
      <c r="O99" s="9">
        <v>0.993196736964202</v>
      </c>
      <c r="P99" s="9">
        <v>0.973905158282423</v>
      </c>
      <c r="Q99" s="9">
        <v>0.99741540062567</v>
      </c>
      <c r="T99" s="1">
        <v>8</v>
      </c>
      <c r="U99" s="1">
        <v>2014</v>
      </c>
      <c r="V99" s="1">
        <f t="shared" si="4"/>
        <v>0.904729615792269</v>
      </c>
      <c r="W99" s="1">
        <f t="shared" si="5"/>
        <v>0.957538123090415</v>
      </c>
      <c r="X99" s="1">
        <f t="shared" si="6"/>
        <v>0.907527766355322</v>
      </c>
      <c r="Y99" s="1">
        <f t="shared" si="7"/>
        <v>0.981179758662099</v>
      </c>
    </row>
    <row r="100" s="1" customFormat="1" spans="1:25">
      <c r="A100" s="2" t="s">
        <v>24</v>
      </c>
      <c r="B100" s="2">
        <v>9</v>
      </c>
      <c r="C100" s="2">
        <v>2014</v>
      </c>
      <c r="D100" s="7">
        <v>1365.63</v>
      </c>
      <c r="E100" s="7">
        <v>36571.9808649684</v>
      </c>
      <c r="F100" s="7">
        <v>11085</v>
      </c>
      <c r="G100" s="7">
        <v>23567.7</v>
      </c>
      <c r="H100" s="7">
        <v>43939</v>
      </c>
      <c r="I100" s="7">
        <v>15.536</v>
      </c>
      <c r="J100" s="7">
        <v>1925</v>
      </c>
      <c r="L100" s="1">
        <v>9</v>
      </c>
      <c r="M100" s="1">
        <v>2014</v>
      </c>
      <c r="N100" s="9">
        <v>0.972959325657923</v>
      </c>
      <c r="O100" s="9">
        <v>0.813240658314895</v>
      </c>
      <c r="P100" s="9">
        <v>0.999803605173093</v>
      </c>
      <c r="Q100" s="9">
        <v>0.600885273415706</v>
      </c>
      <c r="T100" s="1">
        <v>9</v>
      </c>
      <c r="U100" s="1">
        <v>2014</v>
      </c>
      <c r="V100" s="1">
        <f t="shared" si="4"/>
        <v>0.998275032091408</v>
      </c>
      <c r="W100" s="1">
        <f t="shared" si="5"/>
        <v>0.979817066878865</v>
      </c>
      <c r="X100" s="1">
        <f t="shared" si="6"/>
        <v>1.0559088904741</v>
      </c>
      <c r="Y100" s="1">
        <f t="shared" si="7"/>
        <v>0.834592864456635</v>
      </c>
    </row>
    <row r="101" s="1" customFormat="1" spans="1:25">
      <c r="A101" s="2" t="s">
        <v>25</v>
      </c>
      <c r="B101" s="2">
        <v>10</v>
      </c>
      <c r="C101" s="2">
        <v>2014</v>
      </c>
      <c r="D101" s="7">
        <v>4812.82</v>
      </c>
      <c r="E101" s="7">
        <v>99893.8193234048</v>
      </c>
      <c r="F101" s="7">
        <v>29863</v>
      </c>
      <c r="G101" s="7">
        <v>65088.32</v>
      </c>
      <c r="H101" s="7">
        <v>204890</v>
      </c>
      <c r="I101" s="7">
        <v>87.0175</v>
      </c>
      <c r="J101" s="7">
        <v>10925</v>
      </c>
      <c r="L101" s="1">
        <v>10</v>
      </c>
      <c r="M101" s="1">
        <v>2014</v>
      </c>
      <c r="N101" s="9">
        <v>1.07751768220488</v>
      </c>
      <c r="O101" s="9">
        <v>1.12590152432279</v>
      </c>
      <c r="P101" s="9">
        <v>1.02970185148026</v>
      </c>
      <c r="Q101" s="9">
        <v>1.01403574360665</v>
      </c>
      <c r="T101" s="1">
        <v>10</v>
      </c>
      <c r="U101" s="1">
        <v>2014</v>
      </c>
      <c r="V101" s="1">
        <f t="shared" si="4"/>
        <v>1.24986288969324</v>
      </c>
      <c r="W101" s="1">
        <f t="shared" si="5"/>
        <v>1.49866713612258</v>
      </c>
      <c r="X101" s="1">
        <f t="shared" si="6"/>
        <v>1.07670182777485</v>
      </c>
      <c r="Y101" s="1">
        <f t="shared" si="7"/>
        <v>0.97856824394074</v>
      </c>
    </row>
    <row r="102" s="1" customFormat="1" spans="1:25">
      <c r="A102" s="2" t="s">
        <v>26</v>
      </c>
      <c r="B102" s="2">
        <v>11</v>
      </c>
      <c r="C102" s="2">
        <v>2014</v>
      </c>
      <c r="D102" s="7">
        <v>3459</v>
      </c>
      <c r="E102" s="7">
        <v>65037.0361786362</v>
      </c>
      <c r="F102" s="7">
        <v>18826</v>
      </c>
      <c r="G102" s="7">
        <v>40173.03</v>
      </c>
      <c r="H102" s="7">
        <v>149380</v>
      </c>
      <c r="I102" s="7">
        <v>56.0083</v>
      </c>
      <c r="J102" s="7">
        <v>4542</v>
      </c>
      <c r="L102" s="1">
        <v>11</v>
      </c>
      <c r="M102" s="1">
        <v>2014</v>
      </c>
      <c r="N102" s="9">
        <v>0.999357496143479</v>
      </c>
      <c r="O102" s="9">
        <v>1.10243965237416</v>
      </c>
      <c r="P102" s="9">
        <v>1.00923454310486</v>
      </c>
      <c r="Q102" s="9">
        <v>1.02453456745078</v>
      </c>
      <c r="T102" s="1">
        <v>11</v>
      </c>
      <c r="U102" s="1">
        <v>2014</v>
      </c>
      <c r="V102" s="1">
        <f t="shared" si="4"/>
        <v>1.00185093364105</v>
      </c>
      <c r="W102" s="1">
        <f t="shared" si="5"/>
        <v>1.7212445503182</v>
      </c>
      <c r="X102" s="1">
        <f t="shared" si="6"/>
        <v>1.03563106581816</v>
      </c>
      <c r="Y102" s="1">
        <f t="shared" si="7"/>
        <v>1.06854888785484</v>
      </c>
    </row>
    <row r="103" s="1" customFormat="1" spans="1:25">
      <c r="A103" s="2" t="s">
        <v>27</v>
      </c>
      <c r="B103" s="2">
        <v>12</v>
      </c>
      <c r="C103" s="2">
        <v>2014</v>
      </c>
      <c r="D103" s="7">
        <v>4311</v>
      </c>
      <c r="E103" s="7">
        <v>33447.2579995897</v>
      </c>
      <c r="F103" s="7">
        <v>12011</v>
      </c>
      <c r="G103" s="7">
        <v>20848.75</v>
      </c>
      <c r="H103" s="7">
        <v>69580</v>
      </c>
      <c r="I103" s="7">
        <v>44.0642</v>
      </c>
      <c r="J103" s="7">
        <v>12000</v>
      </c>
      <c r="L103" s="1">
        <v>12</v>
      </c>
      <c r="M103" s="1">
        <v>2014</v>
      </c>
      <c r="N103" s="9">
        <v>0.977563511022015</v>
      </c>
      <c r="O103" s="9">
        <v>0.87644627793511</v>
      </c>
      <c r="P103" s="9">
        <v>0.98677798266541</v>
      </c>
      <c r="Q103" s="9">
        <v>0.96585388443914</v>
      </c>
      <c r="T103" s="1">
        <v>12</v>
      </c>
      <c r="U103" s="1">
        <v>2014</v>
      </c>
      <c r="V103" s="1">
        <f t="shared" si="4"/>
        <v>0.945232811150909</v>
      </c>
      <c r="W103" s="1">
        <f t="shared" si="5"/>
        <v>0.717918554431568</v>
      </c>
      <c r="X103" s="1">
        <f t="shared" si="6"/>
        <v>0.984271583189621</v>
      </c>
      <c r="Y103" s="1">
        <f t="shared" si="7"/>
        <v>0.880580612151122</v>
      </c>
    </row>
    <row r="104" s="1" customFormat="1" spans="1:25">
      <c r="A104" s="2" t="s">
        <v>28</v>
      </c>
      <c r="B104" s="2">
        <v>13</v>
      </c>
      <c r="C104" s="2">
        <v>2014</v>
      </c>
      <c r="D104" s="7">
        <v>2219</v>
      </c>
      <c r="E104" s="7">
        <v>45027.1693332995</v>
      </c>
      <c r="F104" s="7">
        <v>12110</v>
      </c>
      <c r="G104" s="7">
        <v>24055.76</v>
      </c>
      <c r="H104" s="7">
        <v>102052</v>
      </c>
      <c r="I104" s="7">
        <v>33.7632</v>
      </c>
      <c r="J104" s="7">
        <v>4835</v>
      </c>
      <c r="L104" s="1">
        <v>13</v>
      </c>
      <c r="M104" s="1">
        <v>2014</v>
      </c>
      <c r="N104" s="9">
        <v>0.989043629896439</v>
      </c>
      <c r="O104" s="9">
        <v>1.10946295231739</v>
      </c>
      <c r="P104" s="9">
        <v>1.00338915631673</v>
      </c>
      <c r="Q104" s="9">
        <v>1.03768891169407</v>
      </c>
      <c r="T104" s="1">
        <v>13</v>
      </c>
      <c r="U104" s="1">
        <v>2014</v>
      </c>
      <c r="V104" s="1">
        <f t="shared" si="4"/>
        <v>0.98794404041317</v>
      </c>
      <c r="W104" s="1">
        <f t="shared" si="5"/>
        <v>1.35852157477015</v>
      </c>
      <c r="X104" s="1">
        <f t="shared" si="6"/>
        <v>1.04197350784933</v>
      </c>
      <c r="Y104" s="1">
        <f t="shared" si="7"/>
        <v>1.124514160473</v>
      </c>
    </row>
    <row r="105" s="1" customFormat="1" spans="1:25">
      <c r="A105" s="2" t="s">
        <v>29</v>
      </c>
      <c r="B105" s="2">
        <v>14</v>
      </c>
      <c r="C105" s="2">
        <v>2014</v>
      </c>
      <c r="D105" s="7">
        <v>2348</v>
      </c>
      <c r="E105" s="7">
        <v>24216.613453156</v>
      </c>
      <c r="F105" s="7">
        <v>8055</v>
      </c>
      <c r="G105" s="7">
        <v>15714.63</v>
      </c>
      <c r="H105" s="7">
        <v>64856</v>
      </c>
      <c r="I105" s="7">
        <v>51.7408</v>
      </c>
      <c r="J105" s="7">
        <v>10821</v>
      </c>
      <c r="L105" s="1">
        <v>14</v>
      </c>
      <c r="M105" s="1">
        <v>2014</v>
      </c>
      <c r="N105" s="9">
        <v>0.999058530437325</v>
      </c>
      <c r="O105" s="9">
        <v>0.724426211919329</v>
      </c>
      <c r="P105" s="9">
        <v>1.01413577930849</v>
      </c>
      <c r="Q105" s="9">
        <v>1.01040542275938</v>
      </c>
      <c r="T105" s="1">
        <v>14</v>
      </c>
      <c r="U105" s="1">
        <v>2014</v>
      </c>
      <c r="V105" s="1">
        <f t="shared" si="4"/>
        <v>0.99482592931728</v>
      </c>
      <c r="W105" s="1">
        <f t="shared" si="5"/>
        <v>0.675791255285585</v>
      </c>
      <c r="X105" s="1">
        <f t="shared" si="6"/>
        <v>1.04619454831576</v>
      </c>
      <c r="Y105" s="1">
        <f t="shared" si="7"/>
        <v>1.02981819333466</v>
      </c>
    </row>
    <row r="106" s="1" customFormat="1" spans="1:25">
      <c r="A106" s="2" t="s">
        <v>30</v>
      </c>
      <c r="B106" s="2">
        <v>15</v>
      </c>
      <c r="C106" s="2">
        <v>2014</v>
      </c>
      <c r="D106" s="7">
        <v>5798</v>
      </c>
      <c r="E106" s="7">
        <v>107993.31306022</v>
      </c>
      <c r="F106" s="7">
        <v>36511</v>
      </c>
      <c r="G106" s="7">
        <v>59426.59</v>
      </c>
      <c r="H106" s="7">
        <v>180022</v>
      </c>
      <c r="I106" s="7">
        <v>135.8883</v>
      </c>
      <c r="J106" s="7">
        <v>19199</v>
      </c>
      <c r="L106" s="1">
        <v>15</v>
      </c>
      <c r="M106" s="1">
        <v>2014</v>
      </c>
      <c r="N106" s="9">
        <v>1.04082462532504</v>
      </c>
      <c r="O106" s="9">
        <v>1.07891960385466</v>
      </c>
      <c r="P106" s="9">
        <v>1.00533016337564</v>
      </c>
      <c r="Q106" s="9">
        <v>1.02182286411747</v>
      </c>
      <c r="T106" s="1">
        <v>15</v>
      </c>
      <c r="U106" s="1">
        <v>2014</v>
      </c>
      <c r="V106" s="1">
        <f t="shared" si="4"/>
        <v>1.21491446410537</v>
      </c>
      <c r="W106" s="1">
        <f t="shared" si="5"/>
        <v>1.69623351885395</v>
      </c>
      <c r="X106" s="1">
        <f t="shared" si="6"/>
        <v>1.06529645109967</v>
      </c>
      <c r="Y106" s="1">
        <f t="shared" si="7"/>
        <v>1.14782933110277</v>
      </c>
    </row>
    <row r="107" s="1" customFormat="1" spans="1:25">
      <c r="A107" s="2" t="s">
        <v>31</v>
      </c>
      <c r="B107" s="2">
        <v>16</v>
      </c>
      <c r="C107" s="2">
        <v>2014</v>
      </c>
      <c r="D107" s="7">
        <v>5082</v>
      </c>
      <c r="E107" s="7">
        <v>81785.9754924657</v>
      </c>
      <c r="F107" s="7">
        <v>22890</v>
      </c>
      <c r="G107" s="7">
        <v>34938.24</v>
      </c>
      <c r="H107" s="7">
        <v>128048</v>
      </c>
      <c r="I107" s="7">
        <v>103.1667</v>
      </c>
      <c r="J107" s="7">
        <v>15917</v>
      </c>
      <c r="L107" s="1">
        <v>16</v>
      </c>
      <c r="M107" s="1">
        <v>2014</v>
      </c>
      <c r="N107" s="9">
        <v>0.981341170769647</v>
      </c>
      <c r="O107" s="9">
        <v>1.06085513931295</v>
      </c>
      <c r="P107" s="9">
        <v>0.992243583404162</v>
      </c>
      <c r="Q107" s="9">
        <v>1.01153311511464</v>
      </c>
      <c r="T107" s="1">
        <v>16</v>
      </c>
      <c r="U107" s="1">
        <v>2014</v>
      </c>
      <c r="V107" s="1">
        <f t="shared" si="4"/>
        <v>0.953237758663157</v>
      </c>
      <c r="W107" s="1">
        <f t="shared" si="5"/>
        <v>1.23565116494639</v>
      </c>
      <c r="X107" s="1">
        <f t="shared" si="6"/>
        <v>0.983268270925195</v>
      </c>
      <c r="Y107" s="1">
        <f t="shared" si="7"/>
        <v>1.06816480493855</v>
      </c>
    </row>
    <row r="108" s="1" customFormat="1" spans="1:25">
      <c r="A108" s="2" t="s">
        <v>32</v>
      </c>
      <c r="B108" s="2">
        <v>17</v>
      </c>
      <c r="C108" s="2">
        <v>2014</v>
      </c>
      <c r="D108" s="7">
        <v>3408</v>
      </c>
      <c r="E108" s="7">
        <v>46313.1698002276</v>
      </c>
      <c r="F108" s="7">
        <v>16320</v>
      </c>
      <c r="G108" s="7">
        <v>27379.22</v>
      </c>
      <c r="H108" s="7">
        <v>81657</v>
      </c>
      <c r="I108" s="7">
        <v>50.6192</v>
      </c>
      <c r="J108" s="7">
        <v>8006</v>
      </c>
      <c r="L108" s="1">
        <v>17</v>
      </c>
      <c r="M108" s="1">
        <v>2014</v>
      </c>
      <c r="N108" s="9">
        <v>0.993194268090958</v>
      </c>
      <c r="O108" s="9">
        <v>1.0954700578669</v>
      </c>
      <c r="P108" s="9">
        <v>1.00714197253156</v>
      </c>
      <c r="Q108" s="9">
        <v>1.02922074426431</v>
      </c>
      <c r="T108" s="1">
        <v>17</v>
      </c>
      <c r="U108" s="1">
        <v>2014</v>
      </c>
      <c r="V108" s="1">
        <f t="shared" si="4"/>
        <v>1.01146713807117</v>
      </c>
      <c r="W108" s="1">
        <f t="shared" si="5"/>
        <v>1.39445314773756</v>
      </c>
      <c r="X108" s="1">
        <f t="shared" si="6"/>
        <v>1.05574228153806</v>
      </c>
      <c r="Y108" s="1">
        <f t="shared" si="7"/>
        <v>1.15115808251475</v>
      </c>
    </row>
    <row r="109" s="1" customFormat="1" spans="1:25">
      <c r="A109" s="2" t="s">
        <v>33</v>
      </c>
      <c r="B109" s="2">
        <v>18</v>
      </c>
      <c r="C109" s="2">
        <v>2014</v>
      </c>
      <c r="D109" s="7">
        <v>4044.13</v>
      </c>
      <c r="E109" s="7">
        <v>42641.1340022815</v>
      </c>
      <c r="F109" s="7">
        <v>15317</v>
      </c>
      <c r="G109" s="7">
        <v>27037.32</v>
      </c>
      <c r="H109" s="7">
        <v>82271</v>
      </c>
      <c r="I109" s="7">
        <v>55.9504</v>
      </c>
      <c r="J109" s="7">
        <v>6934</v>
      </c>
      <c r="L109" s="1">
        <v>18</v>
      </c>
      <c r="M109" s="1">
        <v>2014</v>
      </c>
      <c r="N109" s="9">
        <v>0.991001895267981</v>
      </c>
      <c r="O109" s="9">
        <v>1.01738560173193</v>
      </c>
      <c r="P109" s="9">
        <v>1.00193363853208</v>
      </c>
      <c r="Q109" s="9">
        <v>0.952699546412345</v>
      </c>
      <c r="T109" s="1">
        <v>18</v>
      </c>
      <c r="U109" s="1">
        <v>2014</v>
      </c>
      <c r="V109" s="1">
        <f t="shared" si="4"/>
        <v>0.993922670078053</v>
      </c>
      <c r="W109" s="1">
        <f t="shared" si="5"/>
        <v>0.973080986884974</v>
      </c>
      <c r="X109" s="1">
        <f t="shared" si="6"/>
        <v>1.0293670348232</v>
      </c>
      <c r="Y109" s="1">
        <f t="shared" si="7"/>
        <v>0.88817477978174</v>
      </c>
    </row>
    <row r="110" s="1" customFormat="1" spans="1:25">
      <c r="A110" s="2" t="s">
        <v>34</v>
      </c>
      <c r="B110" s="2">
        <v>19</v>
      </c>
      <c r="C110" s="2">
        <v>2014</v>
      </c>
      <c r="D110" s="7">
        <v>6428</v>
      </c>
      <c r="E110" s="7">
        <v>97218.7587289576</v>
      </c>
      <c r="F110" s="7">
        <v>29593</v>
      </c>
      <c r="G110" s="7">
        <v>67809.85</v>
      </c>
      <c r="H110" s="7">
        <v>177554</v>
      </c>
      <c r="I110" s="7">
        <v>69.9102</v>
      </c>
      <c r="J110" s="7">
        <v>5665</v>
      </c>
      <c r="L110" s="1">
        <v>19</v>
      </c>
      <c r="M110" s="1">
        <v>2014</v>
      </c>
      <c r="N110" s="9">
        <v>1.05797429887555</v>
      </c>
      <c r="O110" s="9">
        <v>1.01256841092086</v>
      </c>
      <c r="P110" s="9">
        <v>0.99876379825793</v>
      </c>
      <c r="Q110" s="9">
        <v>0.900946031125337</v>
      </c>
      <c r="T110" s="1">
        <v>19</v>
      </c>
      <c r="U110" s="1">
        <v>2014</v>
      </c>
      <c r="V110" s="1">
        <f t="shared" si="4"/>
        <v>0.374717555107431</v>
      </c>
      <c r="W110" s="1">
        <f t="shared" si="5"/>
        <v>1.02949322921299</v>
      </c>
      <c r="X110" s="1">
        <f t="shared" si="6"/>
        <v>0.994558312196091</v>
      </c>
      <c r="Y110" s="1">
        <f t="shared" si="7"/>
        <v>0.824712530574902</v>
      </c>
    </row>
    <row r="111" s="1" customFormat="1" spans="1:25">
      <c r="A111" s="2" t="s">
        <v>35</v>
      </c>
      <c r="B111" s="2">
        <v>20</v>
      </c>
      <c r="C111" s="2">
        <v>2014</v>
      </c>
      <c r="D111" s="7">
        <v>2795</v>
      </c>
      <c r="E111" s="7">
        <v>37631.392850674</v>
      </c>
      <c r="F111" s="7">
        <v>9515</v>
      </c>
      <c r="G111" s="7">
        <v>15672.89</v>
      </c>
      <c r="H111" s="7">
        <v>72936</v>
      </c>
      <c r="I111" s="7">
        <v>43.1075</v>
      </c>
      <c r="J111" s="7">
        <v>8038</v>
      </c>
      <c r="L111" s="1">
        <v>20</v>
      </c>
      <c r="M111" s="1">
        <v>2014</v>
      </c>
      <c r="N111" s="9">
        <v>0.99146531101913</v>
      </c>
      <c r="O111" s="9">
        <v>1.00610508603195</v>
      </c>
      <c r="P111" s="9">
        <v>1.00497443732052</v>
      </c>
      <c r="Q111" s="9">
        <v>1.01971478638208</v>
      </c>
      <c r="T111" s="1">
        <v>20</v>
      </c>
      <c r="U111" s="1">
        <v>2014</v>
      </c>
      <c r="V111" s="1">
        <f t="shared" si="4"/>
        <v>0.96996361435199</v>
      </c>
      <c r="W111" s="1">
        <f t="shared" si="5"/>
        <v>1.04144599552905</v>
      </c>
      <c r="X111" s="1">
        <f t="shared" si="6"/>
        <v>1.00869243824056</v>
      </c>
      <c r="Y111" s="1">
        <f t="shared" si="7"/>
        <v>1.08508890944052</v>
      </c>
    </row>
    <row r="112" s="1" customFormat="1" spans="1:25">
      <c r="A112" s="2" t="s">
        <v>36</v>
      </c>
      <c r="B112" s="2">
        <v>21</v>
      </c>
      <c r="C112" s="2">
        <v>2014</v>
      </c>
      <c r="D112" s="7">
        <v>504.1</v>
      </c>
      <c r="E112" s="7">
        <v>7016.0729363813</v>
      </c>
      <c r="F112" s="7">
        <v>1820</v>
      </c>
      <c r="G112" s="7">
        <v>3500.72</v>
      </c>
      <c r="H112" s="7">
        <v>7956</v>
      </c>
      <c r="I112" s="7">
        <v>3.1855</v>
      </c>
      <c r="J112" s="7">
        <v>515</v>
      </c>
      <c r="L112" s="1">
        <v>21</v>
      </c>
      <c r="M112" s="1">
        <v>2014</v>
      </c>
      <c r="N112" s="9">
        <v>0.880464398932119</v>
      </c>
      <c r="O112" s="9">
        <v>0.656204764694933</v>
      </c>
      <c r="P112" s="9">
        <v>0.980724328427951</v>
      </c>
      <c r="Q112" s="9">
        <v>0.99127202287685</v>
      </c>
      <c r="T112" s="1">
        <v>21</v>
      </c>
      <c r="U112" s="1">
        <v>2014</v>
      </c>
      <c r="V112" s="1">
        <f t="shared" si="4"/>
        <v>0.706310079921052</v>
      </c>
      <c r="W112" s="1">
        <f t="shared" si="5"/>
        <v>0.505003234569726</v>
      </c>
      <c r="X112" s="1">
        <f t="shared" si="6"/>
        <v>0.957342242861452</v>
      </c>
      <c r="Y112" s="1">
        <f t="shared" si="7"/>
        <v>1.05050493992355</v>
      </c>
    </row>
    <row r="113" s="1" customFormat="1" spans="1:25">
      <c r="A113" s="2" t="s">
        <v>37</v>
      </c>
      <c r="B113" s="2">
        <v>22</v>
      </c>
      <c r="C113" s="2">
        <v>2014</v>
      </c>
      <c r="D113" s="7">
        <v>1632.12</v>
      </c>
      <c r="E113" s="7">
        <v>24019.6821102415</v>
      </c>
      <c r="F113" s="7">
        <v>8593</v>
      </c>
      <c r="G113" s="7">
        <v>14262.6</v>
      </c>
      <c r="H113" s="7">
        <v>34968</v>
      </c>
      <c r="I113" s="7">
        <v>47.4805</v>
      </c>
      <c r="J113" s="7">
        <v>3068</v>
      </c>
      <c r="L113" s="1">
        <v>22</v>
      </c>
      <c r="M113" s="1">
        <v>2014</v>
      </c>
      <c r="N113" s="9">
        <v>0.9955634824006</v>
      </c>
      <c r="O113" s="9">
        <v>1.01509325562709</v>
      </c>
      <c r="P113" s="9">
        <v>1.01991417158159</v>
      </c>
      <c r="Q113" s="9">
        <v>1.03858522444211</v>
      </c>
      <c r="T113" s="1">
        <v>22</v>
      </c>
      <c r="U113" s="1">
        <v>2014</v>
      </c>
      <c r="V113" s="1">
        <f t="shared" si="4"/>
        <v>1.03696213052285</v>
      </c>
      <c r="W113" s="1">
        <f t="shared" si="5"/>
        <v>1.12945314894475</v>
      </c>
      <c r="X113" s="1">
        <f t="shared" si="6"/>
        <v>1.11101997933025</v>
      </c>
      <c r="Y113" s="1">
        <f t="shared" si="7"/>
        <v>1.20647659538588</v>
      </c>
    </row>
    <row r="114" s="1" customFormat="1" spans="1:25">
      <c r="A114" s="2" t="s">
        <v>38</v>
      </c>
      <c r="B114" s="2">
        <v>23</v>
      </c>
      <c r="C114" s="2">
        <v>2014</v>
      </c>
      <c r="D114" s="7">
        <v>4638</v>
      </c>
      <c r="E114" s="7">
        <v>45076.4497901587</v>
      </c>
      <c r="F114" s="7">
        <v>19879</v>
      </c>
      <c r="G114" s="7">
        <v>28536.66</v>
      </c>
      <c r="H114" s="7">
        <v>67577</v>
      </c>
      <c r="I114" s="7">
        <v>72.5729</v>
      </c>
      <c r="J114" s="7">
        <v>14246</v>
      </c>
      <c r="L114" s="1">
        <v>23</v>
      </c>
      <c r="M114" s="1">
        <v>2014</v>
      </c>
      <c r="N114" s="9">
        <v>0.985911308028159</v>
      </c>
      <c r="O114" s="9">
        <v>1.05389508419966</v>
      </c>
      <c r="P114" s="9">
        <v>0.99554005253973</v>
      </c>
      <c r="Q114" s="9">
        <v>0.970237206659894</v>
      </c>
      <c r="T114" s="1">
        <v>23</v>
      </c>
      <c r="U114" s="1">
        <v>2014</v>
      </c>
      <c r="V114" s="1">
        <f t="shared" si="4"/>
        <v>1.00572228125326</v>
      </c>
      <c r="W114" s="1">
        <f t="shared" si="5"/>
        <v>1.29102985681004</v>
      </c>
      <c r="X114" s="1">
        <f t="shared" si="6"/>
        <v>1.04099203046552</v>
      </c>
      <c r="Y114" s="1">
        <f t="shared" si="7"/>
        <v>0.978898159176799</v>
      </c>
    </row>
    <row r="115" s="1" customFormat="1" spans="1:25">
      <c r="A115" s="2" t="s">
        <v>39</v>
      </c>
      <c r="B115" s="2">
        <v>24</v>
      </c>
      <c r="C115" s="2">
        <v>2014</v>
      </c>
      <c r="D115" s="7">
        <v>1909.69</v>
      </c>
      <c r="E115" s="7">
        <v>16755.2467150405</v>
      </c>
      <c r="F115" s="7">
        <v>9709</v>
      </c>
      <c r="G115" s="7">
        <v>9266.39</v>
      </c>
      <c r="H115" s="7">
        <v>32674</v>
      </c>
      <c r="I115" s="7">
        <v>70.2427</v>
      </c>
      <c r="J115" s="7">
        <v>7394</v>
      </c>
      <c r="L115" s="1">
        <v>24</v>
      </c>
      <c r="M115" s="1">
        <v>2014</v>
      </c>
      <c r="N115" s="9">
        <v>0.965833045329238</v>
      </c>
      <c r="O115" s="9">
        <v>0.979944515380584</v>
      </c>
      <c r="P115" s="9">
        <v>0.999470898135033</v>
      </c>
      <c r="Q115" s="9">
        <v>1.01511870330666</v>
      </c>
      <c r="T115" s="1">
        <v>24</v>
      </c>
      <c r="U115" s="1">
        <v>2014</v>
      </c>
      <c r="V115" s="1">
        <f t="shared" si="4"/>
        <v>0.957416589065633</v>
      </c>
      <c r="W115" s="1">
        <f t="shared" si="5"/>
        <v>1.03378756842524</v>
      </c>
      <c r="X115" s="1">
        <f t="shared" si="6"/>
        <v>1.06685906735833</v>
      </c>
      <c r="Y115" s="1">
        <f t="shared" si="7"/>
        <v>1.14095579097478</v>
      </c>
    </row>
    <row r="116" s="1" customFormat="1" spans="1:25">
      <c r="A116" s="2" t="s">
        <v>40</v>
      </c>
      <c r="B116" s="2">
        <v>25</v>
      </c>
      <c r="C116" s="2">
        <v>2014</v>
      </c>
      <c r="D116" s="7">
        <v>2859</v>
      </c>
      <c r="E116" s="7">
        <v>29409.6139789882</v>
      </c>
      <c r="F116" s="7">
        <v>10455</v>
      </c>
      <c r="G116" s="7">
        <v>12814.59</v>
      </c>
      <c r="H116" s="7">
        <v>40443</v>
      </c>
      <c r="I116" s="7">
        <v>58.2558</v>
      </c>
      <c r="J116" s="7">
        <v>14481</v>
      </c>
      <c r="L116" s="1">
        <v>25</v>
      </c>
      <c r="M116" s="1">
        <v>2014</v>
      </c>
      <c r="N116" s="9">
        <v>0.951569363959692</v>
      </c>
      <c r="O116" s="9">
        <v>0.965833111275427</v>
      </c>
      <c r="P116" s="9">
        <v>0.956259494114014</v>
      </c>
      <c r="Q116" s="9">
        <v>0.977392988435123</v>
      </c>
      <c r="T116" s="1">
        <v>25</v>
      </c>
      <c r="U116" s="1">
        <v>2014</v>
      </c>
      <c r="V116" s="1">
        <f t="shared" si="4"/>
        <v>0.917314220170111</v>
      </c>
      <c r="W116" s="1">
        <f t="shared" si="5"/>
        <v>0.990795778053432</v>
      </c>
      <c r="X116" s="1">
        <f t="shared" si="6"/>
        <v>0.956020188853058</v>
      </c>
      <c r="Y116" s="1">
        <f t="shared" si="7"/>
        <v>1.04049183949514</v>
      </c>
    </row>
    <row r="117" s="1" customFormat="1" spans="1:25">
      <c r="A117" s="2" t="s">
        <v>41</v>
      </c>
      <c r="B117" s="2">
        <v>26</v>
      </c>
      <c r="C117" s="2">
        <v>2014</v>
      </c>
      <c r="D117" s="7">
        <v>2101</v>
      </c>
      <c r="E117" s="7">
        <v>33872.2296099374</v>
      </c>
      <c r="F117" s="7">
        <v>11222</v>
      </c>
      <c r="G117" s="7">
        <v>17689.94</v>
      </c>
      <c r="H117" s="7">
        <v>36163</v>
      </c>
      <c r="I117" s="7">
        <v>67.1642</v>
      </c>
      <c r="J117" s="7">
        <v>8682</v>
      </c>
      <c r="L117" s="1">
        <v>26</v>
      </c>
      <c r="M117" s="1">
        <v>2014</v>
      </c>
      <c r="N117" s="9">
        <v>0.979557569033795</v>
      </c>
      <c r="O117" s="9">
        <v>0.993564940284031</v>
      </c>
      <c r="P117" s="9">
        <v>0.995423935537353</v>
      </c>
      <c r="Q117" s="9">
        <v>1.01017816322141</v>
      </c>
      <c r="T117" s="1">
        <v>26</v>
      </c>
      <c r="U117" s="1">
        <v>2014</v>
      </c>
      <c r="V117" s="1">
        <f t="shared" si="4"/>
        <v>0.97868333658874</v>
      </c>
      <c r="W117" s="1">
        <f t="shared" si="5"/>
        <v>1.05573207288604</v>
      </c>
      <c r="X117" s="1">
        <f t="shared" si="6"/>
        <v>1.03693223554479</v>
      </c>
      <c r="Y117" s="1">
        <f t="shared" si="7"/>
        <v>1.11678586330018</v>
      </c>
    </row>
    <row r="118" s="1" customFormat="1" spans="1:25">
      <c r="A118" s="2" t="s">
        <v>42</v>
      </c>
      <c r="B118" s="2">
        <v>27</v>
      </c>
      <c r="C118" s="2">
        <v>2014</v>
      </c>
      <c r="D118" s="7">
        <v>1348</v>
      </c>
      <c r="E118" s="7">
        <v>12565.3885548266</v>
      </c>
      <c r="F118" s="7">
        <v>7521</v>
      </c>
      <c r="G118" s="7">
        <v>6836.82</v>
      </c>
      <c r="H118" s="7">
        <v>19742</v>
      </c>
      <c r="I118" s="7">
        <v>47.6964</v>
      </c>
      <c r="J118" s="7">
        <v>6141</v>
      </c>
      <c r="L118" s="1">
        <v>27</v>
      </c>
      <c r="M118" s="1">
        <v>2014</v>
      </c>
      <c r="N118" s="9">
        <v>0.967469548808915</v>
      </c>
      <c r="O118" s="9">
        <v>0.600283986290312</v>
      </c>
      <c r="P118" s="9">
        <v>0.972444274723893</v>
      </c>
      <c r="Q118" s="9">
        <v>0.988549538073292</v>
      </c>
      <c r="T118" s="1">
        <v>27</v>
      </c>
      <c r="U118" s="1">
        <v>2014</v>
      </c>
      <c r="V118" s="1">
        <f t="shared" si="4"/>
        <v>0.928039758242665</v>
      </c>
      <c r="W118" s="1">
        <f t="shared" si="5"/>
        <v>0.578874076756466</v>
      </c>
      <c r="X118" s="1">
        <f t="shared" si="6"/>
        <v>0.970510402424915</v>
      </c>
      <c r="Y118" s="1">
        <f t="shared" si="7"/>
        <v>1.02777049774461</v>
      </c>
    </row>
    <row r="119" s="1" customFormat="1" spans="1:25">
      <c r="A119" s="2" t="s">
        <v>43</v>
      </c>
      <c r="B119" s="2">
        <v>28</v>
      </c>
      <c r="C119" s="2">
        <v>2014</v>
      </c>
      <c r="D119" s="7">
        <v>317.3</v>
      </c>
      <c r="E119" s="7">
        <v>6932.00882227071</v>
      </c>
      <c r="F119" s="7">
        <v>3992</v>
      </c>
      <c r="G119" s="7">
        <v>2303.32</v>
      </c>
      <c r="H119" s="7">
        <v>8214</v>
      </c>
      <c r="I119" s="7">
        <v>11.8046</v>
      </c>
      <c r="J119" s="7">
        <v>12423</v>
      </c>
      <c r="L119" s="1">
        <v>28</v>
      </c>
      <c r="M119" s="1">
        <v>2014</v>
      </c>
      <c r="N119" s="9">
        <v>1.00245178108868</v>
      </c>
      <c r="O119" s="9">
        <v>0.968022071613625</v>
      </c>
      <c r="P119" s="9">
        <v>0.944117794008062</v>
      </c>
      <c r="Q119" s="9">
        <v>0.96989136389733</v>
      </c>
      <c r="T119" s="1">
        <v>28</v>
      </c>
      <c r="U119" s="1">
        <v>2014</v>
      </c>
      <c r="V119" s="1">
        <f t="shared" si="4"/>
        <v>0.908999970191053</v>
      </c>
      <c r="W119" s="1">
        <f t="shared" si="5"/>
        <v>0.879947461598801</v>
      </c>
      <c r="X119" s="1">
        <f t="shared" si="6"/>
        <v>0.873958163365522</v>
      </c>
      <c r="Y119" s="1">
        <f t="shared" si="7"/>
        <v>0.955771679553858</v>
      </c>
    </row>
    <row r="120" s="1" customFormat="1" spans="1:25">
      <c r="A120" s="2" t="s">
        <v>44</v>
      </c>
      <c r="B120" s="2">
        <v>29</v>
      </c>
      <c r="C120" s="2">
        <v>2014</v>
      </c>
      <c r="D120" s="7">
        <v>344</v>
      </c>
      <c r="E120" s="7">
        <v>7871.67946521298</v>
      </c>
      <c r="F120" s="7">
        <v>4946</v>
      </c>
      <c r="G120" s="7">
        <v>2752.1</v>
      </c>
      <c r="H120" s="7">
        <v>15147</v>
      </c>
      <c r="I120" s="7">
        <v>34.0969</v>
      </c>
      <c r="J120" s="7">
        <v>3694</v>
      </c>
      <c r="L120" s="1">
        <v>29</v>
      </c>
      <c r="M120" s="1">
        <v>2014</v>
      </c>
      <c r="N120" s="9">
        <v>0.9706178613693</v>
      </c>
      <c r="O120" s="9">
        <v>0.970187704008957</v>
      </c>
      <c r="P120" s="9">
        <v>0.950788985045186</v>
      </c>
      <c r="Q120" s="9">
        <v>0.974064636198849</v>
      </c>
      <c r="T120" s="1">
        <v>29</v>
      </c>
      <c r="U120" s="1">
        <v>2014</v>
      </c>
      <c r="V120" s="1">
        <f t="shared" si="4"/>
        <v>0.940200855389357</v>
      </c>
      <c r="W120" s="1">
        <f t="shared" si="5"/>
        <v>0.946750407856857</v>
      </c>
      <c r="X120" s="1">
        <f t="shared" si="6"/>
        <v>0.940814012462812</v>
      </c>
      <c r="Y120" s="1">
        <f t="shared" si="7"/>
        <v>1.01315230883006</v>
      </c>
    </row>
    <row r="121" s="1" customFormat="1" spans="1:25">
      <c r="A121" s="2" t="s">
        <v>45</v>
      </c>
      <c r="B121" s="2">
        <v>30</v>
      </c>
      <c r="C121" s="2">
        <v>2014</v>
      </c>
      <c r="D121" s="7">
        <v>1265</v>
      </c>
      <c r="E121" s="7">
        <v>20970.5136405639</v>
      </c>
      <c r="F121" s="7">
        <v>14926</v>
      </c>
      <c r="G121" s="7">
        <v>9273.46</v>
      </c>
      <c r="H121" s="7">
        <v>32799</v>
      </c>
      <c r="I121" s="7">
        <v>71.807</v>
      </c>
      <c r="J121" s="7">
        <v>7790</v>
      </c>
      <c r="L121" s="1">
        <v>30</v>
      </c>
      <c r="M121" s="1">
        <v>2014</v>
      </c>
      <c r="N121" s="9">
        <v>0.9534776310774</v>
      </c>
      <c r="O121" s="9">
        <v>0.966127955112732</v>
      </c>
      <c r="P121" s="9">
        <v>0.957649874314099</v>
      </c>
      <c r="Q121" s="9">
        <v>0.981041528255742</v>
      </c>
      <c r="T121" s="1">
        <v>30</v>
      </c>
      <c r="U121" s="1">
        <v>2014</v>
      </c>
      <c r="V121" s="1">
        <f t="shared" si="4"/>
        <v>0.852019742961905</v>
      </c>
      <c r="W121" s="1">
        <f t="shared" si="5"/>
        <v>0.897114923073386</v>
      </c>
      <c r="X121" s="1">
        <f t="shared" si="6"/>
        <v>0.900638892171822</v>
      </c>
      <c r="Y121" s="1">
        <f t="shared" si="7"/>
        <v>0.954465151441024</v>
      </c>
    </row>
    <row r="122" s="1" customFormat="1" spans="1:25">
      <c r="A122" s="2" t="s">
        <v>16</v>
      </c>
      <c r="B122" s="2">
        <v>1</v>
      </c>
      <c r="C122" s="2">
        <v>2015</v>
      </c>
      <c r="D122" s="7">
        <v>1186.1</v>
      </c>
      <c r="E122" s="7">
        <v>35954.1187202758</v>
      </c>
      <c r="F122" s="7">
        <v>6803</v>
      </c>
      <c r="G122" s="7">
        <v>23014.59</v>
      </c>
      <c r="H122" s="7">
        <v>8978</v>
      </c>
      <c r="I122" s="7">
        <v>2.207</v>
      </c>
      <c r="J122" s="7">
        <v>710</v>
      </c>
      <c r="L122" s="1">
        <v>1</v>
      </c>
      <c r="M122" s="1">
        <v>2015</v>
      </c>
      <c r="N122" s="9">
        <v>1.05978013274307</v>
      </c>
      <c r="O122" s="9">
        <v>1.28062238989632</v>
      </c>
      <c r="P122" s="9">
        <v>1.04873830899344</v>
      </c>
      <c r="Q122" s="9">
        <v>1.07256859470563</v>
      </c>
      <c r="T122" s="1">
        <v>1</v>
      </c>
      <c r="U122" s="1">
        <v>2015</v>
      </c>
      <c r="V122" s="1">
        <f t="shared" si="4"/>
        <v>1.10000316271224</v>
      </c>
      <c r="W122" s="1">
        <f t="shared" si="5"/>
        <v>1.40890276600962</v>
      </c>
      <c r="X122" s="1">
        <f t="shared" si="6"/>
        <v>1.19438697904864</v>
      </c>
      <c r="Y122" s="1">
        <f t="shared" si="7"/>
        <v>1.26542757887492</v>
      </c>
    </row>
    <row r="123" s="1" customFormat="1" spans="1:25">
      <c r="A123" s="2" t="s">
        <v>17</v>
      </c>
      <c r="B123" s="2">
        <v>2</v>
      </c>
      <c r="C123" s="2">
        <v>2015</v>
      </c>
      <c r="D123" s="7">
        <v>896.8</v>
      </c>
      <c r="E123" s="7">
        <v>40567.0768845549</v>
      </c>
      <c r="F123" s="7">
        <v>8319</v>
      </c>
      <c r="G123" s="7">
        <v>16538.19</v>
      </c>
      <c r="H123" s="7">
        <v>18973</v>
      </c>
      <c r="I123" s="7">
        <v>15.4605</v>
      </c>
      <c r="J123" s="7">
        <v>1546</v>
      </c>
      <c r="L123" s="1">
        <v>2</v>
      </c>
      <c r="M123" s="1">
        <v>2015</v>
      </c>
      <c r="N123" s="9">
        <v>0.992022524731567</v>
      </c>
      <c r="O123" s="9">
        <v>1.16107852904286</v>
      </c>
      <c r="P123" s="9">
        <v>0.998794049553123</v>
      </c>
      <c r="Q123" s="9">
        <v>1.43266231898213</v>
      </c>
      <c r="T123" s="1">
        <v>2</v>
      </c>
      <c r="U123" s="1">
        <v>2015</v>
      </c>
      <c r="V123" s="1">
        <f t="shared" si="4"/>
        <v>0.93791735745099</v>
      </c>
      <c r="W123" s="1">
        <f t="shared" si="5"/>
        <v>1.48947724759469</v>
      </c>
      <c r="X123" s="1">
        <f t="shared" si="6"/>
        <v>1.04037952725067</v>
      </c>
      <c r="Y123" s="1">
        <f t="shared" si="7"/>
        <v>2.63209876785614</v>
      </c>
    </row>
    <row r="124" s="1" customFormat="1" spans="1:25">
      <c r="A124" s="2" t="s">
        <v>18</v>
      </c>
      <c r="B124" s="2">
        <v>3</v>
      </c>
      <c r="C124" s="2">
        <v>2015</v>
      </c>
      <c r="D124" s="7">
        <v>3927</v>
      </c>
      <c r="E124" s="7">
        <v>67580.7590592967</v>
      </c>
      <c r="F124" s="7">
        <v>31037</v>
      </c>
      <c r="G124" s="7">
        <v>29806.11</v>
      </c>
      <c r="H124" s="7">
        <v>94110</v>
      </c>
      <c r="I124" s="7">
        <v>82.9414</v>
      </c>
      <c r="J124" s="7">
        <v>35372</v>
      </c>
      <c r="L124" s="1">
        <v>3</v>
      </c>
      <c r="M124" s="1">
        <v>2015</v>
      </c>
      <c r="N124" s="9">
        <v>0.949918537467227</v>
      </c>
      <c r="O124" s="9">
        <v>0.981328921995584</v>
      </c>
      <c r="P124" s="9">
        <v>0.948349173868148</v>
      </c>
      <c r="Q124" s="9">
        <v>0.96122081966722</v>
      </c>
      <c r="T124" s="1">
        <v>3</v>
      </c>
      <c r="U124" s="1">
        <v>2015</v>
      </c>
      <c r="V124" s="1">
        <f t="shared" si="4"/>
        <v>0.87163435356929</v>
      </c>
      <c r="W124" s="1">
        <f t="shared" si="5"/>
        <v>1.0844969883595</v>
      </c>
      <c r="X124" s="1">
        <f t="shared" si="6"/>
        <v>0.884119992255319</v>
      </c>
      <c r="Y124" s="1">
        <f t="shared" si="7"/>
        <v>0.958473510079897</v>
      </c>
    </row>
    <row r="125" s="1" customFormat="1" spans="1:25">
      <c r="A125" s="2" t="s">
        <v>19</v>
      </c>
      <c r="B125" s="2">
        <v>4</v>
      </c>
      <c r="C125" s="2">
        <v>2015</v>
      </c>
      <c r="D125" s="7">
        <v>1827</v>
      </c>
      <c r="E125" s="7">
        <v>31644.8063888394</v>
      </c>
      <c r="F125" s="7">
        <v>19029</v>
      </c>
      <c r="G125" s="7">
        <v>12766.49</v>
      </c>
      <c r="H125" s="7">
        <v>41356</v>
      </c>
      <c r="I125" s="7">
        <v>90.0765</v>
      </c>
      <c r="J125" s="7">
        <v>31794</v>
      </c>
      <c r="L125" s="1">
        <v>4</v>
      </c>
      <c r="M125" s="1">
        <v>2015</v>
      </c>
      <c r="N125" s="9">
        <v>0.964419680996646</v>
      </c>
      <c r="O125" s="9">
        <v>0.967339919309571</v>
      </c>
      <c r="P125" s="9">
        <v>0.948560811293688</v>
      </c>
      <c r="Q125" s="9">
        <v>0.962296113540982</v>
      </c>
      <c r="T125" s="1">
        <v>4</v>
      </c>
      <c r="U125" s="1">
        <v>2015</v>
      </c>
      <c r="V125" s="1">
        <f t="shared" si="4"/>
        <v>0.818354436512955</v>
      </c>
      <c r="W125" s="1">
        <f t="shared" si="5"/>
        <v>0.847696308256142</v>
      </c>
      <c r="X125" s="1">
        <f t="shared" si="6"/>
        <v>0.80035415272983</v>
      </c>
      <c r="Y125" s="1">
        <f t="shared" si="7"/>
        <v>0.856122639569571</v>
      </c>
    </row>
    <row r="126" s="1" customFormat="1" spans="1:25">
      <c r="A126" s="2" t="s">
        <v>20</v>
      </c>
      <c r="B126" s="2">
        <v>5</v>
      </c>
      <c r="C126" s="2">
        <v>2015</v>
      </c>
      <c r="D126" s="7">
        <v>1351</v>
      </c>
      <c r="E126" s="7">
        <v>49569.9953566307</v>
      </c>
      <c r="F126" s="7">
        <v>18784</v>
      </c>
      <c r="G126" s="7">
        <v>17831.51</v>
      </c>
      <c r="H126" s="7">
        <v>35753</v>
      </c>
      <c r="I126" s="7">
        <v>106.1017</v>
      </c>
      <c r="J126" s="7">
        <v>26669</v>
      </c>
      <c r="L126" s="1">
        <v>5</v>
      </c>
      <c r="M126" s="1">
        <v>2015</v>
      </c>
      <c r="N126" s="9">
        <v>0.964741567763622</v>
      </c>
      <c r="O126" s="9">
        <v>0.968541286870287</v>
      </c>
      <c r="P126" s="9">
        <v>0.955419947391285</v>
      </c>
      <c r="Q126" s="9">
        <v>0.967634208360906</v>
      </c>
      <c r="T126" s="1">
        <v>5</v>
      </c>
      <c r="U126" s="1">
        <v>2015</v>
      </c>
      <c r="V126" s="1">
        <f t="shared" si="4"/>
        <v>0.903294803646689</v>
      </c>
      <c r="W126" s="1">
        <f t="shared" si="5"/>
        <v>0.967984365027469</v>
      </c>
      <c r="X126" s="1">
        <f t="shared" si="6"/>
        <v>0.912867356688183</v>
      </c>
      <c r="Y126" s="1">
        <f t="shared" si="7"/>
        <v>1.00784620117737</v>
      </c>
    </row>
    <row r="127" s="1" customFormat="1" spans="1:25">
      <c r="A127" s="2" t="s">
        <v>21</v>
      </c>
      <c r="B127" s="2">
        <v>6</v>
      </c>
      <c r="C127" s="2">
        <v>2015</v>
      </c>
      <c r="D127" s="7">
        <v>2409.9</v>
      </c>
      <c r="E127" s="7">
        <v>61290.3284551761</v>
      </c>
      <c r="F127" s="7">
        <v>21362</v>
      </c>
      <c r="G127" s="7">
        <v>28669.02</v>
      </c>
      <c r="H127" s="7">
        <v>83140</v>
      </c>
      <c r="I127" s="7">
        <v>86.9328</v>
      </c>
      <c r="J127" s="7">
        <v>32434</v>
      </c>
      <c r="L127" s="1">
        <v>6</v>
      </c>
      <c r="M127" s="1">
        <v>2015</v>
      </c>
      <c r="N127" s="9">
        <v>1.00480391090238</v>
      </c>
      <c r="O127" s="9">
        <v>1.02005597684849</v>
      </c>
      <c r="P127" s="9">
        <v>1.0012771290685</v>
      </c>
      <c r="Q127" s="9">
        <v>1.01216114102128</v>
      </c>
      <c r="T127" s="1">
        <v>6</v>
      </c>
      <c r="U127" s="1">
        <v>2015</v>
      </c>
      <c r="V127" s="1">
        <f t="shared" si="4"/>
        <v>0.970424807168408</v>
      </c>
      <c r="W127" s="1">
        <f t="shared" si="5"/>
        <v>1.26911571923237</v>
      </c>
      <c r="X127" s="1">
        <f t="shared" si="6"/>
        <v>1.0064201591577</v>
      </c>
      <c r="Y127" s="1">
        <f t="shared" si="7"/>
        <v>1.08685428955609</v>
      </c>
    </row>
    <row r="128" s="1" customFormat="1" spans="1:25">
      <c r="A128" s="2" t="s">
        <v>22</v>
      </c>
      <c r="B128" s="2">
        <v>7</v>
      </c>
      <c r="C128" s="2">
        <v>2015</v>
      </c>
      <c r="D128" s="7">
        <v>1399</v>
      </c>
      <c r="E128" s="7">
        <v>41474.6915067063</v>
      </c>
      <c r="F128" s="7">
        <v>7020</v>
      </c>
      <c r="G128" s="7">
        <v>14063.13</v>
      </c>
      <c r="H128" s="7">
        <v>38772</v>
      </c>
      <c r="I128" s="7">
        <v>30.2082</v>
      </c>
      <c r="J128" s="7">
        <v>5385</v>
      </c>
      <c r="L128" s="1">
        <v>7</v>
      </c>
      <c r="M128" s="1">
        <v>2015</v>
      </c>
      <c r="N128" s="9">
        <v>1.04646657360961</v>
      </c>
      <c r="O128" s="9">
        <v>1.05606375064593</v>
      </c>
      <c r="P128" s="9">
        <v>1.03826385631557</v>
      </c>
      <c r="Q128" s="9">
        <v>1.05931527336664</v>
      </c>
      <c r="T128" s="1">
        <v>7</v>
      </c>
      <c r="U128" s="1">
        <v>2015</v>
      </c>
      <c r="V128" s="1">
        <f t="shared" si="4"/>
        <v>1.09770598157338</v>
      </c>
      <c r="W128" s="1">
        <f t="shared" si="5"/>
        <v>1.19818794747932</v>
      </c>
      <c r="X128" s="1">
        <f t="shared" si="6"/>
        <v>1.13832340002322</v>
      </c>
      <c r="Y128" s="1">
        <f t="shared" si="7"/>
        <v>1.26518255032221</v>
      </c>
    </row>
    <row r="129" s="1" customFormat="1" spans="1:25">
      <c r="A129" s="2" t="s">
        <v>23</v>
      </c>
      <c r="B129" s="2">
        <v>8</v>
      </c>
      <c r="C129" s="2">
        <v>2015</v>
      </c>
      <c r="D129" s="7">
        <v>1825</v>
      </c>
      <c r="E129" s="7">
        <v>34031.8965384083</v>
      </c>
      <c r="F129" s="7">
        <v>11104</v>
      </c>
      <c r="G129" s="7">
        <v>15083.67</v>
      </c>
      <c r="H129" s="7">
        <v>36410</v>
      </c>
      <c r="I129" s="7">
        <v>28.0967</v>
      </c>
      <c r="J129" s="7">
        <v>7495</v>
      </c>
      <c r="L129" s="1">
        <v>8</v>
      </c>
      <c r="M129" s="1">
        <v>2015</v>
      </c>
      <c r="N129" s="9">
        <v>0.98975803658343</v>
      </c>
      <c r="O129" s="9">
        <v>0.995229129849129</v>
      </c>
      <c r="P129" s="9">
        <v>0.971468209716872</v>
      </c>
      <c r="Q129" s="9">
        <v>0.991367364521085</v>
      </c>
      <c r="T129" s="1">
        <v>8</v>
      </c>
      <c r="U129" s="1">
        <v>2015</v>
      </c>
      <c r="V129" s="1">
        <f t="shared" si="4"/>
        <v>0.895463408165437</v>
      </c>
      <c r="W129" s="1">
        <f t="shared" si="5"/>
        <v>0.952969833040642</v>
      </c>
      <c r="X129" s="1">
        <f t="shared" si="6"/>
        <v>0.881634374449556</v>
      </c>
      <c r="Y129" s="1">
        <f t="shared" si="7"/>
        <v>0.972709591466279</v>
      </c>
    </row>
    <row r="130" s="1" customFormat="1" spans="1:25">
      <c r="A130" s="2" t="s">
        <v>24</v>
      </c>
      <c r="B130" s="2">
        <v>9</v>
      </c>
      <c r="C130" s="2">
        <v>2015</v>
      </c>
      <c r="D130" s="7">
        <v>1361.51</v>
      </c>
      <c r="E130" s="7">
        <v>39515.1265834537</v>
      </c>
      <c r="F130" s="7">
        <v>10931</v>
      </c>
      <c r="G130" s="7">
        <v>25123.45</v>
      </c>
      <c r="H130" s="7">
        <v>46939</v>
      </c>
      <c r="I130" s="7">
        <v>10.4852</v>
      </c>
      <c r="J130" s="7">
        <v>1868</v>
      </c>
      <c r="L130" s="1">
        <v>9</v>
      </c>
      <c r="M130" s="1">
        <v>2015</v>
      </c>
      <c r="N130" s="9">
        <v>1.02265832675192</v>
      </c>
      <c r="O130" s="9">
        <v>0.988057315188712</v>
      </c>
      <c r="P130" s="9">
        <v>1.03140929964175</v>
      </c>
      <c r="Q130" s="9">
        <v>1.26627119240217</v>
      </c>
      <c r="T130" s="1">
        <v>9</v>
      </c>
      <c r="U130" s="1">
        <v>2015</v>
      </c>
      <c r="V130" s="1">
        <f t="shared" si="4"/>
        <v>1.02089427395682</v>
      </c>
      <c r="W130" s="1">
        <f t="shared" si="5"/>
        <v>0.96811542047641</v>
      </c>
      <c r="X130" s="1">
        <f t="shared" si="6"/>
        <v>1.08907424920938</v>
      </c>
      <c r="Y130" s="1">
        <f t="shared" si="7"/>
        <v>1.05682090164585</v>
      </c>
    </row>
    <row r="131" s="1" customFormat="1" spans="1:25">
      <c r="A131" s="2" t="s">
        <v>25</v>
      </c>
      <c r="B131" s="2">
        <v>10</v>
      </c>
      <c r="C131" s="2">
        <v>2015</v>
      </c>
      <c r="D131" s="7">
        <v>4832.5</v>
      </c>
      <c r="E131" s="7">
        <v>109499.770690039</v>
      </c>
      <c r="F131" s="7">
        <v>30374</v>
      </c>
      <c r="G131" s="7">
        <v>70116.38</v>
      </c>
      <c r="H131" s="7">
        <v>206427</v>
      </c>
      <c r="I131" s="7">
        <v>79.4656</v>
      </c>
      <c r="J131" s="7">
        <v>10701</v>
      </c>
      <c r="L131" s="1">
        <v>10</v>
      </c>
      <c r="M131" s="1">
        <v>2015</v>
      </c>
      <c r="N131" s="9">
        <v>1.06529185707647</v>
      </c>
      <c r="O131" s="9">
        <v>1.01450390946763</v>
      </c>
      <c r="P131" s="9">
        <v>1.02263283436166</v>
      </c>
      <c r="Q131" s="9">
        <v>0.912132793380381</v>
      </c>
      <c r="T131" s="1">
        <v>10</v>
      </c>
      <c r="U131" s="1">
        <v>2015</v>
      </c>
      <c r="V131" s="1">
        <f t="shared" si="4"/>
        <v>1.33146875885228</v>
      </c>
      <c r="W131" s="1">
        <f t="shared" si="5"/>
        <v>1.52040366858701</v>
      </c>
      <c r="X131" s="1">
        <f t="shared" si="6"/>
        <v>1.10107064189978</v>
      </c>
      <c r="Y131" s="1">
        <f t="shared" si="7"/>
        <v>0.892584185859001</v>
      </c>
    </row>
    <row r="132" s="1" customFormat="1" spans="1:25">
      <c r="A132" s="2" t="s">
        <v>26</v>
      </c>
      <c r="B132" s="2">
        <v>11</v>
      </c>
      <c r="C132" s="2">
        <v>2015</v>
      </c>
      <c r="D132" s="7">
        <v>3505</v>
      </c>
      <c r="E132" s="7">
        <v>71309.2601785504</v>
      </c>
      <c r="F132" s="7">
        <v>19610</v>
      </c>
      <c r="G132" s="7">
        <v>42886.49</v>
      </c>
      <c r="H132" s="7">
        <v>147353</v>
      </c>
      <c r="I132" s="7">
        <v>52.3973</v>
      </c>
      <c r="J132" s="7">
        <v>4486</v>
      </c>
      <c r="L132" s="1">
        <v>11</v>
      </c>
      <c r="M132" s="1">
        <v>2015</v>
      </c>
      <c r="N132" s="9">
        <v>0.993548751445169</v>
      </c>
      <c r="O132" s="9">
        <v>1.08943770311475</v>
      </c>
      <c r="P132" s="9">
        <v>1.00423725338181</v>
      </c>
      <c r="Q132" s="9">
        <v>1.01889510152687</v>
      </c>
      <c r="T132" s="1">
        <v>11</v>
      </c>
      <c r="U132" s="1">
        <v>2015</v>
      </c>
      <c r="V132" s="1">
        <f t="shared" si="4"/>
        <v>0.995387744253241</v>
      </c>
      <c r="W132" s="1">
        <f t="shared" si="5"/>
        <v>1.87518870939744</v>
      </c>
      <c r="X132" s="1">
        <f t="shared" si="6"/>
        <v>1.0400192970541</v>
      </c>
      <c r="Y132" s="1">
        <f t="shared" si="7"/>
        <v>1.08873922757728</v>
      </c>
    </row>
    <row r="133" s="1" customFormat="1" spans="1:25">
      <c r="A133" s="2" t="s">
        <v>27</v>
      </c>
      <c r="B133" s="2">
        <v>12</v>
      </c>
      <c r="C133" s="2">
        <v>2015</v>
      </c>
      <c r="D133" s="7">
        <v>4342.1</v>
      </c>
      <c r="E133" s="7">
        <v>37656.2979139186</v>
      </c>
      <c r="F133" s="7">
        <v>12301</v>
      </c>
      <c r="G133" s="7">
        <v>22005.63</v>
      </c>
      <c r="H133" s="7">
        <v>71436</v>
      </c>
      <c r="I133" s="7">
        <v>42.0033</v>
      </c>
      <c r="J133" s="7">
        <v>13059</v>
      </c>
      <c r="L133" s="1">
        <v>12</v>
      </c>
      <c r="M133" s="1">
        <v>2015</v>
      </c>
      <c r="N133" s="9">
        <v>0.96672579073544</v>
      </c>
      <c r="O133" s="9">
        <v>0.985338223911934</v>
      </c>
      <c r="P133" s="9">
        <v>0.972196088751579</v>
      </c>
      <c r="Q133" s="9">
        <v>0.983065476536719</v>
      </c>
      <c r="T133" s="1">
        <v>12</v>
      </c>
      <c r="U133" s="1">
        <v>2015</v>
      </c>
      <c r="V133" s="1">
        <f t="shared" si="4"/>
        <v>0.913780936788945</v>
      </c>
      <c r="W133" s="1">
        <f t="shared" si="5"/>
        <v>0.707392593337025</v>
      </c>
      <c r="X133" s="1">
        <f t="shared" si="6"/>
        <v>0.956904983446275</v>
      </c>
      <c r="Y133" s="1">
        <f t="shared" si="7"/>
        <v>0.865668399113339</v>
      </c>
    </row>
    <row r="134" s="1" customFormat="1" spans="1:25">
      <c r="A134" s="2" t="s">
        <v>28</v>
      </c>
      <c r="B134" s="2">
        <v>13</v>
      </c>
      <c r="C134" s="2">
        <v>2015</v>
      </c>
      <c r="D134" s="7">
        <v>2255</v>
      </c>
      <c r="E134" s="7">
        <v>51170.8500145356</v>
      </c>
      <c r="F134" s="7">
        <v>11863</v>
      </c>
      <c r="G134" s="7">
        <v>25979.82</v>
      </c>
      <c r="H134" s="7">
        <v>90741</v>
      </c>
      <c r="I134" s="7">
        <v>31.7063</v>
      </c>
      <c r="J134" s="7">
        <v>4956</v>
      </c>
      <c r="L134" s="1">
        <v>13</v>
      </c>
      <c r="M134" s="1">
        <v>2015</v>
      </c>
      <c r="N134" s="9">
        <v>1.00309442281972</v>
      </c>
      <c r="O134" s="9">
        <v>1.09890472211704</v>
      </c>
      <c r="P134" s="9">
        <v>1.01635491327032</v>
      </c>
      <c r="Q134" s="9">
        <v>1.03571663364322</v>
      </c>
      <c r="T134" s="1">
        <v>13</v>
      </c>
      <c r="U134" s="1">
        <v>2015</v>
      </c>
      <c r="V134" s="1">
        <f t="shared" si="4"/>
        <v>0.991001156996431</v>
      </c>
      <c r="W134" s="1">
        <f t="shared" si="5"/>
        <v>1.49288577361279</v>
      </c>
      <c r="X134" s="1">
        <f t="shared" si="6"/>
        <v>1.05901489420018</v>
      </c>
      <c r="Y134" s="1">
        <f t="shared" si="7"/>
        <v>1.16467802076923</v>
      </c>
    </row>
    <row r="135" s="1" customFormat="1" spans="1:25">
      <c r="A135" s="2" t="s">
        <v>29</v>
      </c>
      <c r="B135" s="2">
        <v>14</v>
      </c>
      <c r="C135" s="2">
        <v>2015</v>
      </c>
      <c r="D135" s="7">
        <v>2338</v>
      </c>
      <c r="E135" s="7">
        <v>26894.4929713263</v>
      </c>
      <c r="F135" s="7">
        <v>8423</v>
      </c>
      <c r="G135" s="7">
        <v>16723.78</v>
      </c>
      <c r="H135" s="7">
        <v>76412</v>
      </c>
      <c r="I135" s="7">
        <v>51.5661</v>
      </c>
      <c r="J135" s="7">
        <v>10777</v>
      </c>
      <c r="L135" s="1">
        <v>14</v>
      </c>
      <c r="M135" s="1">
        <v>2015</v>
      </c>
      <c r="N135" s="9">
        <v>0.977341764870199</v>
      </c>
      <c r="O135" s="9">
        <v>0.535608115775016</v>
      </c>
      <c r="P135" s="9">
        <v>0.987266746145914</v>
      </c>
      <c r="Q135" s="9">
        <v>0.93706619805315</v>
      </c>
      <c r="T135" s="1">
        <v>14</v>
      </c>
      <c r="U135" s="1">
        <v>2015</v>
      </c>
      <c r="V135" s="1">
        <f t="shared" si="4"/>
        <v>0.972284929497587</v>
      </c>
      <c r="W135" s="1">
        <f t="shared" si="5"/>
        <v>0.361959280900745</v>
      </c>
      <c r="X135" s="1">
        <f t="shared" si="6"/>
        <v>1.03287308755129</v>
      </c>
      <c r="Y135" s="1">
        <f t="shared" si="7"/>
        <v>0.965007819114069</v>
      </c>
    </row>
    <row r="136" s="1" customFormat="1" spans="1:25">
      <c r="A136" s="2" t="s">
        <v>30</v>
      </c>
      <c r="B136" s="2">
        <v>15</v>
      </c>
      <c r="C136" s="2">
        <v>2015</v>
      </c>
      <c r="D136" s="7">
        <v>5773</v>
      </c>
      <c r="E136" s="7">
        <v>119667.497292228</v>
      </c>
      <c r="F136" s="7">
        <v>39332</v>
      </c>
      <c r="G136" s="7">
        <v>63002.33</v>
      </c>
      <c r="H136" s="7">
        <v>186440</v>
      </c>
      <c r="I136" s="7">
        <v>122.0937</v>
      </c>
      <c r="J136" s="7">
        <v>19798</v>
      </c>
      <c r="L136" s="1">
        <v>15</v>
      </c>
      <c r="M136" s="1">
        <v>2015</v>
      </c>
      <c r="N136" s="9">
        <v>1.01255884373893</v>
      </c>
      <c r="O136" s="9">
        <v>1.04043846746423</v>
      </c>
      <c r="P136" s="9">
        <v>0.986391216428815</v>
      </c>
      <c r="Q136" s="9">
        <v>0.997453651608055</v>
      </c>
      <c r="T136" s="1">
        <v>15</v>
      </c>
      <c r="U136" s="1">
        <v>2015</v>
      </c>
      <c r="V136" s="1">
        <f t="shared" si="4"/>
        <v>1.23017238501624</v>
      </c>
      <c r="W136" s="1">
        <f t="shared" si="5"/>
        <v>1.76482660281786</v>
      </c>
      <c r="X136" s="1">
        <f t="shared" si="6"/>
        <v>1.05079906225751</v>
      </c>
      <c r="Y136" s="1">
        <f t="shared" si="7"/>
        <v>1.14490655773129</v>
      </c>
    </row>
    <row r="137" s="1" customFormat="1" spans="1:25">
      <c r="A137" s="2" t="s">
        <v>31</v>
      </c>
      <c r="B137" s="2">
        <v>16</v>
      </c>
      <c r="C137" s="2">
        <v>2015</v>
      </c>
      <c r="D137" s="7">
        <v>5075</v>
      </c>
      <c r="E137" s="7">
        <v>92571.3870790056</v>
      </c>
      <c r="F137" s="7">
        <v>22343</v>
      </c>
      <c r="G137" s="7">
        <v>37002.16</v>
      </c>
      <c r="H137" s="7">
        <v>129809</v>
      </c>
      <c r="I137" s="7">
        <v>91.5002</v>
      </c>
      <c r="J137" s="7">
        <v>14722</v>
      </c>
      <c r="L137" s="1">
        <v>16</v>
      </c>
      <c r="M137" s="1">
        <v>2015</v>
      </c>
      <c r="N137" s="9">
        <v>0.991378581108946</v>
      </c>
      <c r="O137" s="9">
        <v>1.05679124230207</v>
      </c>
      <c r="P137" s="9">
        <v>0.99901964735354</v>
      </c>
      <c r="Q137" s="9">
        <v>1.01684340472285</v>
      </c>
      <c r="T137" s="1">
        <v>16</v>
      </c>
      <c r="U137" s="1">
        <v>2015</v>
      </c>
      <c r="V137" s="1">
        <f t="shared" si="4"/>
        <v>0.945019496642952</v>
      </c>
      <c r="W137" s="1">
        <f t="shared" si="5"/>
        <v>1.3058253296557</v>
      </c>
      <c r="X137" s="1">
        <f t="shared" si="6"/>
        <v>0.982304321273613</v>
      </c>
      <c r="Y137" s="1">
        <f t="shared" si="7"/>
        <v>1.08615633705883</v>
      </c>
    </row>
    <row r="138" s="1" customFormat="1" spans="1:25">
      <c r="A138" s="2" t="s">
        <v>32</v>
      </c>
      <c r="B138" s="2">
        <v>17</v>
      </c>
      <c r="C138" s="2">
        <v>2015</v>
      </c>
      <c r="D138" s="7">
        <v>3398</v>
      </c>
      <c r="E138" s="7">
        <v>52578.0247690158</v>
      </c>
      <c r="F138" s="7">
        <v>15477</v>
      </c>
      <c r="G138" s="7">
        <v>29550.19</v>
      </c>
      <c r="H138" s="7">
        <v>80817</v>
      </c>
      <c r="I138" s="7">
        <v>47.0683</v>
      </c>
      <c r="J138" s="7">
        <v>7750</v>
      </c>
      <c r="L138" s="1">
        <v>17</v>
      </c>
      <c r="M138" s="1">
        <v>2015</v>
      </c>
      <c r="N138" s="9">
        <v>1.00733817431976</v>
      </c>
      <c r="O138" s="9">
        <v>1.09651385842252</v>
      </c>
      <c r="P138" s="9">
        <v>1.01743808378178</v>
      </c>
      <c r="Q138" s="9">
        <v>1.03905243787997</v>
      </c>
      <c r="T138" s="1">
        <v>17</v>
      </c>
      <c r="U138" s="1">
        <v>2015</v>
      </c>
      <c r="V138" s="1">
        <f t="shared" si="4"/>
        <v>1.01888946024905</v>
      </c>
      <c r="W138" s="1">
        <f t="shared" si="5"/>
        <v>1.52903720141514</v>
      </c>
      <c r="X138" s="1">
        <f t="shared" si="6"/>
        <v>1.07415240389549</v>
      </c>
      <c r="Y138" s="1">
        <f t="shared" si="7"/>
        <v>1.19611361202218</v>
      </c>
    </row>
    <row r="139" s="1" customFormat="1" spans="1:25">
      <c r="A139" s="2" t="s">
        <v>33</v>
      </c>
      <c r="B139" s="2">
        <v>18</v>
      </c>
      <c r="C139" s="2">
        <v>2015</v>
      </c>
      <c r="D139" s="7">
        <v>3980.3</v>
      </c>
      <c r="E139" s="7">
        <v>47413.3656429133</v>
      </c>
      <c r="F139" s="7">
        <v>14514</v>
      </c>
      <c r="G139" s="7">
        <v>28902.21</v>
      </c>
      <c r="H139" s="7">
        <v>76888</v>
      </c>
      <c r="I139" s="7">
        <v>51.5935</v>
      </c>
      <c r="J139" s="7">
        <v>7126</v>
      </c>
      <c r="L139" s="1">
        <v>18</v>
      </c>
      <c r="M139" s="1">
        <v>2015</v>
      </c>
      <c r="N139" s="9">
        <v>1.0118254672925</v>
      </c>
      <c r="O139" s="9">
        <v>1.08807553397538</v>
      </c>
      <c r="P139" s="9">
        <v>1.01941008297665</v>
      </c>
      <c r="Q139" s="9">
        <v>1.03859129145485</v>
      </c>
      <c r="T139" s="1">
        <v>18</v>
      </c>
      <c r="U139" s="1">
        <v>2015</v>
      </c>
      <c r="V139" s="1">
        <f t="shared" si="4"/>
        <v>1.00567627010434</v>
      </c>
      <c r="W139" s="1">
        <f t="shared" si="5"/>
        <v>1.05878561440616</v>
      </c>
      <c r="X139" s="1">
        <f t="shared" si="6"/>
        <v>1.04934713438255</v>
      </c>
      <c r="Y139" s="1">
        <f t="shared" si="7"/>
        <v>0.922450591571144</v>
      </c>
    </row>
    <row r="140" s="1" customFormat="1" spans="1:25">
      <c r="A140" s="2" t="s">
        <v>34</v>
      </c>
      <c r="B140" s="2">
        <v>19</v>
      </c>
      <c r="C140" s="2">
        <v>2015</v>
      </c>
      <c r="D140" s="7">
        <v>6566</v>
      </c>
      <c r="E140" s="7">
        <v>108340.813218135</v>
      </c>
      <c r="F140" s="7">
        <v>30117</v>
      </c>
      <c r="G140" s="7">
        <v>72812.55</v>
      </c>
      <c r="H140" s="7">
        <v>161455</v>
      </c>
      <c r="I140" s="7">
        <v>64.8998</v>
      </c>
      <c r="J140" s="7">
        <v>5609</v>
      </c>
      <c r="L140" s="1">
        <v>19</v>
      </c>
      <c r="M140" s="1">
        <v>2015</v>
      </c>
      <c r="N140" s="9">
        <v>1.0612497176096</v>
      </c>
      <c r="O140" s="9">
        <v>1.0117235203073</v>
      </c>
      <c r="P140" s="9">
        <v>1.00471455417138</v>
      </c>
      <c r="Q140" s="9">
        <v>0.880304340673311</v>
      </c>
      <c r="T140" s="1">
        <v>19</v>
      </c>
      <c r="U140" s="1">
        <v>2015</v>
      </c>
      <c r="V140" s="1">
        <f t="shared" si="4"/>
        <v>0.397668899541121</v>
      </c>
      <c r="W140" s="1">
        <f t="shared" si="5"/>
        <v>1.0415625139919</v>
      </c>
      <c r="X140" s="1">
        <f t="shared" si="6"/>
        <v>0.999247211235536</v>
      </c>
      <c r="Y140" s="1">
        <f t="shared" si="7"/>
        <v>0.725998020472757</v>
      </c>
    </row>
    <row r="141" s="1" customFormat="1" spans="1:25">
      <c r="A141" s="2" t="s">
        <v>35</v>
      </c>
      <c r="B141" s="2">
        <v>20</v>
      </c>
      <c r="C141" s="2">
        <v>2015</v>
      </c>
      <c r="D141" s="7">
        <v>2595</v>
      </c>
      <c r="E141" s="7">
        <v>41940.231907823</v>
      </c>
      <c r="F141" s="7">
        <v>9806</v>
      </c>
      <c r="G141" s="7">
        <v>16803.12</v>
      </c>
      <c r="H141" s="7">
        <v>63253</v>
      </c>
      <c r="I141" s="7">
        <v>38.5507</v>
      </c>
      <c r="J141" s="7">
        <v>6977</v>
      </c>
      <c r="L141" s="1">
        <v>20</v>
      </c>
      <c r="M141" s="1">
        <v>2015</v>
      </c>
      <c r="N141" s="9">
        <v>1.01149597279121</v>
      </c>
      <c r="O141" s="9">
        <v>1.02470874566892</v>
      </c>
      <c r="P141" s="9">
        <v>1.01624424545764</v>
      </c>
      <c r="Q141" s="9">
        <v>1.03620408264823</v>
      </c>
      <c r="T141" s="1">
        <v>20</v>
      </c>
      <c r="U141" s="1">
        <v>2015</v>
      </c>
      <c r="V141" s="1">
        <f t="shared" si="4"/>
        <v>0.981114289671044</v>
      </c>
      <c r="W141" s="1">
        <f t="shared" si="5"/>
        <v>1.06717881976049</v>
      </c>
      <c r="X141" s="1">
        <f t="shared" si="6"/>
        <v>1.02507788579861</v>
      </c>
      <c r="Y141" s="1">
        <f t="shared" si="7"/>
        <v>1.12437355799859</v>
      </c>
    </row>
    <row r="142" s="1" customFormat="1" spans="1:25">
      <c r="A142" s="2" t="s">
        <v>36</v>
      </c>
      <c r="B142" s="2">
        <v>21</v>
      </c>
      <c r="C142" s="2">
        <v>2015</v>
      </c>
      <c r="D142" s="7">
        <v>510.76</v>
      </c>
      <c r="E142" s="7">
        <v>7838.79383245153</v>
      </c>
      <c r="F142" s="7">
        <v>1916</v>
      </c>
      <c r="G142" s="7">
        <v>3702.76</v>
      </c>
      <c r="H142" s="7">
        <v>6879</v>
      </c>
      <c r="I142" s="7">
        <v>3.1683</v>
      </c>
      <c r="J142" s="7">
        <v>422</v>
      </c>
      <c r="L142" s="1">
        <v>21</v>
      </c>
      <c r="M142" s="1">
        <v>2015</v>
      </c>
      <c r="N142" s="9">
        <v>1.01026760349796</v>
      </c>
      <c r="O142" s="9">
        <v>0.937203026781378</v>
      </c>
      <c r="P142" s="9">
        <v>0.982338297937442</v>
      </c>
      <c r="Q142" s="9">
        <v>1.00729337712786</v>
      </c>
      <c r="T142" s="1">
        <v>21</v>
      </c>
      <c r="U142" s="1">
        <v>2015</v>
      </c>
      <c r="V142" s="1">
        <f t="shared" si="4"/>
        <v>0.713562191768294</v>
      </c>
      <c r="W142" s="1">
        <f t="shared" si="5"/>
        <v>0.473290559973134</v>
      </c>
      <c r="X142" s="1">
        <f t="shared" si="6"/>
        <v>0.940433949396132</v>
      </c>
      <c r="Y142" s="1">
        <f t="shared" si="7"/>
        <v>1.05816666862509</v>
      </c>
    </row>
    <row r="143" s="1" customFormat="1" spans="1:25">
      <c r="A143" s="2" t="s">
        <v>37</v>
      </c>
      <c r="B143" s="2">
        <v>22</v>
      </c>
      <c r="C143" s="2">
        <v>2015</v>
      </c>
      <c r="D143" s="7">
        <v>1647.41</v>
      </c>
      <c r="E143" s="7">
        <v>27071.2959930481</v>
      </c>
      <c r="F143" s="7">
        <v>7747</v>
      </c>
      <c r="G143" s="7">
        <v>15717.27</v>
      </c>
      <c r="H143" s="7">
        <v>35524</v>
      </c>
      <c r="I143" s="7">
        <v>42.68</v>
      </c>
      <c r="J143" s="7">
        <v>2828</v>
      </c>
      <c r="L143" s="1">
        <v>22</v>
      </c>
      <c r="M143" s="1">
        <v>2015</v>
      </c>
      <c r="N143" s="9">
        <v>1.03811223679456</v>
      </c>
      <c r="O143" s="9">
        <v>1.05846586446914</v>
      </c>
      <c r="P143" s="9">
        <v>1.05518774696546</v>
      </c>
      <c r="Q143" s="9">
        <v>1.08115775059621</v>
      </c>
      <c r="T143" s="1">
        <v>22</v>
      </c>
      <c r="U143" s="1">
        <v>2015</v>
      </c>
      <c r="V143" s="1">
        <f t="shared" si="4"/>
        <v>1.07648307678833</v>
      </c>
      <c r="W143" s="1">
        <f t="shared" si="5"/>
        <v>1.1954876036752</v>
      </c>
      <c r="X143" s="1">
        <f t="shared" si="6"/>
        <v>1.1723346688231</v>
      </c>
      <c r="Y143" s="1">
        <f t="shared" si="7"/>
        <v>1.30439152201437</v>
      </c>
    </row>
    <row r="144" s="1" customFormat="1" spans="1:25">
      <c r="A144" s="2" t="s">
        <v>38</v>
      </c>
      <c r="B144" s="2">
        <v>23</v>
      </c>
      <c r="C144" s="2">
        <v>2015</v>
      </c>
      <c r="D144" s="7">
        <v>4652</v>
      </c>
      <c r="E144" s="7">
        <v>49857.7804966984</v>
      </c>
      <c r="F144" s="7">
        <v>18306</v>
      </c>
      <c r="G144" s="7">
        <v>30053.1</v>
      </c>
      <c r="H144" s="7">
        <v>71647</v>
      </c>
      <c r="I144" s="7">
        <v>62.2441</v>
      </c>
      <c r="J144" s="7">
        <v>12316</v>
      </c>
      <c r="L144" s="1">
        <v>23</v>
      </c>
      <c r="M144" s="1">
        <v>2015</v>
      </c>
      <c r="N144" s="9">
        <v>0.999735608334821</v>
      </c>
      <c r="O144" s="9">
        <v>1.05876928135346</v>
      </c>
      <c r="P144" s="9">
        <v>1.00462432356789</v>
      </c>
      <c r="Q144" s="9">
        <v>1.02299178917874</v>
      </c>
      <c r="T144" s="1">
        <v>23</v>
      </c>
      <c r="U144" s="1">
        <v>2015</v>
      </c>
      <c r="V144" s="1">
        <f t="shared" si="4"/>
        <v>1.00545637666461</v>
      </c>
      <c r="W144" s="1">
        <f t="shared" si="5"/>
        <v>1.36690275370063</v>
      </c>
      <c r="X144" s="1">
        <f t="shared" si="6"/>
        <v>1.04580591444599</v>
      </c>
      <c r="Y144" s="1">
        <f t="shared" si="7"/>
        <v>1.00140477928005</v>
      </c>
    </row>
    <row r="145" s="1" customFormat="1" spans="1:25">
      <c r="A145" s="2" t="s">
        <v>39</v>
      </c>
      <c r="B145" s="2">
        <v>24</v>
      </c>
      <c r="C145" s="2">
        <v>2015</v>
      </c>
      <c r="D145" s="7">
        <v>1946.65</v>
      </c>
      <c r="E145" s="7">
        <v>19919.5564368425</v>
      </c>
      <c r="F145" s="7">
        <v>9344</v>
      </c>
      <c r="G145" s="7">
        <v>10502.56</v>
      </c>
      <c r="H145" s="7">
        <v>29174</v>
      </c>
      <c r="I145" s="7">
        <v>59.8896</v>
      </c>
      <c r="J145" s="7">
        <v>7055</v>
      </c>
      <c r="L145" s="1">
        <v>24</v>
      </c>
      <c r="M145" s="1">
        <v>2015</v>
      </c>
      <c r="N145" s="9">
        <v>0.99867216563513</v>
      </c>
      <c r="O145" s="9">
        <v>1.0112066560845</v>
      </c>
      <c r="P145" s="9">
        <v>1.01306675440927</v>
      </c>
      <c r="Q145" s="9">
        <v>1.03599098283661</v>
      </c>
      <c r="T145" s="1">
        <v>24</v>
      </c>
      <c r="U145" s="1">
        <v>2015</v>
      </c>
      <c r="V145" s="1">
        <f t="shared" si="4"/>
        <v>0.956145298417175</v>
      </c>
      <c r="W145" s="1">
        <f t="shared" si="5"/>
        <v>1.04537287016901</v>
      </c>
      <c r="X145" s="1">
        <f t="shared" si="6"/>
        <v>1.08079945278081</v>
      </c>
      <c r="Y145" s="1">
        <f t="shared" si="7"/>
        <v>1.18201991126508</v>
      </c>
    </row>
    <row r="146" s="1" customFormat="1" spans="1:25">
      <c r="A146" s="2" t="s">
        <v>40</v>
      </c>
      <c r="B146" s="2">
        <v>25</v>
      </c>
      <c r="C146" s="2">
        <v>2015</v>
      </c>
      <c r="D146" s="7">
        <v>2823</v>
      </c>
      <c r="E146" s="7">
        <v>34595.7736638467</v>
      </c>
      <c r="F146" s="7">
        <v>10425</v>
      </c>
      <c r="G146" s="7">
        <v>13619.17</v>
      </c>
      <c r="H146" s="7">
        <v>45933</v>
      </c>
      <c r="I146" s="7">
        <v>52.3765</v>
      </c>
      <c r="J146" s="7">
        <v>14109</v>
      </c>
      <c r="L146" s="1">
        <v>25</v>
      </c>
      <c r="M146" s="1">
        <v>2015</v>
      </c>
      <c r="N146" s="9">
        <v>0.963063215142322</v>
      </c>
      <c r="O146" s="9">
        <v>0.972016925817466</v>
      </c>
      <c r="P146" s="9">
        <v>0.965132301748058</v>
      </c>
      <c r="Q146" s="9">
        <v>0.982632076916571</v>
      </c>
      <c r="T146" s="1">
        <v>25</v>
      </c>
      <c r="U146" s="1">
        <v>2015</v>
      </c>
      <c r="V146" s="1">
        <f t="shared" si="4"/>
        <v>0.883431582172799</v>
      </c>
      <c r="W146" s="1">
        <f t="shared" si="5"/>
        <v>0.963070266296422</v>
      </c>
      <c r="X146" s="1">
        <f t="shared" si="6"/>
        <v>0.922685965385365</v>
      </c>
      <c r="Y146" s="1">
        <f t="shared" si="7"/>
        <v>1.02242065725785</v>
      </c>
    </row>
    <row r="147" s="1" customFormat="1" spans="1:25">
      <c r="A147" s="2" t="s">
        <v>41</v>
      </c>
      <c r="B147" s="2">
        <v>26</v>
      </c>
      <c r="C147" s="2">
        <v>2015</v>
      </c>
      <c r="D147" s="7">
        <v>2107</v>
      </c>
      <c r="E147" s="7">
        <v>37685.9527985098</v>
      </c>
      <c r="F147" s="7">
        <v>11746</v>
      </c>
      <c r="G147" s="7">
        <v>18021.86</v>
      </c>
      <c r="H147" s="7">
        <v>37730</v>
      </c>
      <c r="I147" s="7">
        <v>59.9321</v>
      </c>
      <c r="J147" s="7">
        <v>9330</v>
      </c>
      <c r="L147" s="1">
        <v>26</v>
      </c>
      <c r="M147" s="1">
        <v>2015</v>
      </c>
      <c r="N147" s="9">
        <v>0.949637222647843</v>
      </c>
      <c r="O147" s="9">
        <v>0.953770638310859</v>
      </c>
      <c r="P147" s="9">
        <v>0.948082496009816</v>
      </c>
      <c r="Q147" s="9">
        <v>0.956783632602338</v>
      </c>
      <c r="T147" s="1">
        <v>26</v>
      </c>
      <c r="U147" s="1">
        <v>2015</v>
      </c>
      <c r="V147" s="1">
        <f t="shared" si="4"/>
        <v>0.929394125609856</v>
      </c>
      <c r="W147" s="1">
        <f t="shared" si="5"/>
        <v>1.00692625304177</v>
      </c>
      <c r="X147" s="1">
        <f t="shared" si="6"/>
        <v>0.983097302068348</v>
      </c>
      <c r="Y147" s="1">
        <f t="shared" si="7"/>
        <v>1.06852243512729</v>
      </c>
    </row>
    <row r="148" s="1" customFormat="1" spans="1:25">
      <c r="A148" s="2" t="s">
        <v>42</v>
      </c>
      <c r="B148" s="2">
        <v>27</v>
      </c>
      <c r="C148" s="2">
        <v>2015</v>
      </c>
      <c r="D148" s="7">
        <v>1346</v>
      </c>
      <c r="E148" s="7">
        <v>14315.1613426041</v>
      </c>
      <c r="F148" s="7">
        <v>7489</v>
      </c>
      <c r="G148" s="7">
        <v>6790.32</v>
      </c>
      <c r="H148" s="7">
        <v>18760</v>
      </c>
      <c r="I148" s="7">
        <v>46.6984</v>
      </c>
      <c r="J148" s="7">
        <v>5824</v>
      </c>
      <c r="L148" s="1">
        <v>27</v>
      </c>
      <c r="M148" s="1">
        <v>2015</v>
      </c>
      <c r="N148" s="9">
        <v>0.937846561305429</v>
      </c>
      <c r="O148" s="9">
        <v>0.934879870118331</v>
      </c>
      <c r="P148" s="9">
        <v>0.909031324057434</v>
      </c>
      <c r="Q148" s="9">
        <v>0.921815920722595</v>
      </c>
      <c r="T148" s="1">
        <v>27</v>
      </c>
      <c r="U148" s="1">
        <v>2015</v>
      </c>
      <c r="V148" s="1">
        <f t="shared" si="4"/>
        <v>0.870358896022605</v>
      </c>
      <c r="W148" s="1">
        <f t="shared" si="5"/>
        <v>0.541177721692953</v>
      </c>
      <c r="X148" s="1">
        <f t="shared" si="6"/>
        <v>0.882224356127834</v>
      </c>
      <c r="Y148" s="1">
        <f t="shared" si="7"/>
        <v>0.947415207669965</v>
      </c>
    </row>
    <row r="149" s="1" customFormat="1" spans="1:25">
      <c r="A149" s="2" t="s">
        <v>43</v>
      </c>
      <c r="B149" s="2">
        <v>28</v>
      </c>
      <c r="C149" s="2">
        <v>2015</v>
      </c>
      <c r="D149" s="7">
        <v>321.41</v>
      </c>
      <c r="E149" s="7">
        <v>8377.732104506</v>
      </c>
      <c r="F149" s="7">
        <v>4125</v>
      </c>
      <c r="G149" s="7">
        <v>2417.05</v>
      </c>
      <c r="H149" s="7">
        <v>8546</v>
      </c>
      <c r="I149" s="7">
        <v>11.6365</v>
      </c>
      <c r="J149" s="7">
        <v>14868</v>
      </c>
      <c r="L149" s="1">
        <v>28</v>
      </c>
      <c r="M149" s="1">
        <v>2015</v>
      </c>
      <c r="N149" s="9">
        <v>0.787635517770059</v>
      </c>
      <c r="O149" s="9">
        <v>0.940929738269566</v>
      </c>
      <c r="P149" s="9">
        <v>0.933826836715811</v>
      </c>
      <c r="Q149" s="9">
        <v>0.952455171691133</v>
      </c>
      <c r="T149" s="1">
        <v>28</v>
      </c>
      <c r="U149" s="1">
        <v>2015</v>
      </c>
      <c r="V149" s="1">
        <f t="shared" si="4"/>
        <v>0.715960662174398</v>
      </c>
      <c r="W149" s="1">
        <f t="shared" si="5"/>
        <v>0.827968734733129</v>
      </c>
      <c r="X149" s="1">
        <f t="shared" si="6"/>
        <v>0.816125587117586</v>
      </c>
      <c r="Y149" s="1">
        <f t="shared" si="7"/>
        <v>0.910329679146992</v>
      </c>
    </row>
    <row r="150" s="1" customFormat="1" spans="1:25">
      <c r="A150" s="2" t="s">
        <v>44</v>
      </c>
      <c r="B150" s="2">
        <v>29</v>
      </c>
      <c r="C150" s="2">
        <v>2015</v>
      </c>
      <c r="D150" s="7">
        <v>343</v>
      </c>
      <c r="E150" s="7">
        <v>9475.33155474554</v>
      </c>
      <c r="F150" s="7">
        <v>5438</v>
      </c>
      <c r="G150" s="7">
        <v>2911.77</v>
      </c>
      <c r="H150" s="7">
        <v>16443</v>
      </c>
      <c r="I150" s="7">
        <v>30.3795</v>
      </c>
      <c r="J150" s="7">
        <v>3430</v>
      </c>
      <c r="L150" s="1">
        <v>29</v>
      </c>
      <c r="M150" s="1">
        <v>2015</v>
      </c>
      <c r="N150" s="9">
        <v>1.03780402619323</v>
      </c>
      <c r="O150" s="9">
        <v>0.982684705938495</v>
      </c>
      <c r="P150" s="9">
        <v>0.940519240962311</v>
      </c>
      <c r="Q150" s="9">
        <v>0.959771715950713</v>
      </c>
      <c r="T150" s="1">
        <v>29</v>
      </c>
      <c r="U150" s="1">
        <v>2015</v>
      </c>
      <c r="V150" s="1">
        <f t="shared" si="4"/>
        <v>0.975744233153394</v>
      </c>
      <c r="W150" s="1">
        <f t="shared" si="5"/>
        <v>0.930357146141966</v>
      </c>
      <c r="X150" s="1">
        <f t="shared" si="6"/>
        <v>0.88485368088823</v>
      </c>
      <c r="Y150" s="1">
        <f t="shared" si="7"/>
        <v>0.972394929965254</v>
      </c>
    </row>
    <row r="151" s="1" customFormat="1" spans="1:25">
      <c r="A151" s="2" t="s">
        <v>45</v>
      </c>
      <c r="B151" s="2">
        <v>30</v>
      </c>
      <c r="C151" s="2">
        <v>2015</v>
      </c>
      <c r="D151" s="7">
        <v>1292</v>
      </c>
      <c r="E151" s="7">
        <v>24582.9747875991</v>
      </c>
      <c r="F151" s="7">
        <v>15666</v>
      </c>
      <c r="G151" s="7">
        <v>9324.8</v>
      </c>
      <c r="H151" s="7">
        <v>28402</v>
      </c>
      <c r="I151" s="7">
        <v>62.2123</v>
      </c>
      <c r="J151" s="7">
        <v>7263</v>
      </c>
      <c r="L151" s="1">
        <v>30</v>
      </c>
      <c r="M151" s="1">
        <v>2015</v>
      </c>
      <c r="N151" s="9">
        <v>0.923399547756795</v>
      </c>
      <c r="O151" s="9">
        <v>0.924262219495289</v>
      </c>
      <c r="P151" s="9">
        <v>0.89966860316755</v>
      </c>
      <c r="Q151" s="9">
        <v>0.91507347229404</v>
      </c>
      <c r="T151" s="1">
        <v>30</v>
      </c>
      <c r="U151" s="1">
        <v>2015</v>
      </c>
      <c r="V151" s="1">
        <f t="shared" si="4"/>
        <v>0.786754645330884</v>
      </c>
      <c r="W151" s="1">
        <f t="shared" si="5"/>
        <v>0.829169429942153</v>
      </c>
      <c r="X151" s="1">
        <f t="shared" si="6"/>
        <v>0.810276534078593</v>
      </c>
      <c r="Y151" s="1">
        <f t="shared" si="7"/>
        <v>0.873405740312795</v>
      </c>
    </row>
    <row r="152" s="1" customFormat="1" spans="1:25">
      <c r="A152" s="2" t="s">
        <v>16</v>
      </c>
      <c r="B152" s="2">
        <v>1</v>
      </c>
      <c r="C152" s="2">
        <v>2016</v>
      </c>
      <c r="D152" s="7">
        <v>1220.1</v>
      </c>
      <c r="E152" s="7">
        <v>39788.7154976584</v>
      </c>
      <c r="F152" s="7">
        <v>6917</v>
      </c>
      <c r="G152" s="7">
        <v>25669.13</v>
      </c>
      <c r="H152" s="7">
        <v>8515</v>
      </c>
      <c r="I152" s="7">
        <v>0.761</v>
      </c>
      <c r="J152" s="7">
        <v>604</v>
      </c>
      <c r="L152" s="1">
        <v>1</v>
      </c>
      <c r="M152" s="1">
        <v>2016</v>
      </c>
      <c r="N152" s="9">
        <v>1.10717803635298</v>
      </c>
      <c r="O152" s="9">
        <v>1.60265604827067</v>
      </c>
      <c r="P152" s="9">
        <v>1.07956680084546</v>
      </c>
      <c r="Q152" s="9">
        <v>1.27100270640278</v>
      </c>
      <c r="T152" s="1">
        <v>1</v>
      </c>
      <c r="U152" s="1">
        <v>2016</v>
      </c>
      <c r="V152" s="1">
        <f t="shared" si="4"/>
        <v>1.2178993416738</v>
      </c>
      <c r="W152" s="1">
        <f t="shared" si="5"/>
        <v>2.25798653937059</v>
      </c>
      <c r="X152" s="1">
        <f t="shared" si="6"/>
        <v>1.28942052994302</v>
      </c>
      <c r="Y152" s="1">
        <f t="shared" si="7"/>
        <v>1.60836187750674</v>
      </c>
    </row>
    <row r="153" s="1" customFormat="1" spans="1:25">
      <c r="A153" s="2" t="s">
        <v>17</v>
      </c>
      <c r="B153" s="2">
        <v>2</v>
      </c>
      <c r="C153" s="2">
        <v>2016</v>
      </c>
      <c r="D153" s="7">
        <v>902.42</v>
      </c>
      <c r="E153" s="7">
        <v>43838.1249980635</v>
      </c>
      <c r="F153" s="7">
        <v>8078</v>
      </c>
      <c r="G153" s="7">
        <v>17885.39</v>
      </c>
      <c r="H153" s="7">
        <v>18022</v>
      </c>
      <c r="I153" s="7">
        <v>2.2048</v>
      </c>
      <c r="J153" s="7">
        <v>1567</v>
      </c>
      <c r="L153" s="1">
        <v>2</v>
      </c>
      <c r="M153" s="1">
        <v>2016</v>
      </c>
      <c r="N153" s="9">
        <v>1.08549039825971</v>
      </c>
      <c r="O153" s="9">
        <v>1.38308641351277</v>
      </c>
      <c r="P153" s="9">
        <v>1.06138979048276</v>
      </c>
      <c r="Q153" s="9">
        <v>1.54649156649577</v>
      </c>
      <c r="T153" s="1">
        <v>2</v>
      </c>
      <c r="U153" s="1">
        <v>2016</v>
      </c>
      <c r="V153" s="1">
        <f t="shared" si="4"/>
        <v>1.01810028587417</v>
      </c>
      <c r="W153" s="1">
        <f t="shared" si="5"/>
        <v>2.06007574438461</v>
      </c>
      <c r="X153" s="1">
        <f t="shared" si="6"/>
        <v>1.10424820845115</v>
      </c>
      <c r="Y153" s="1">
        <f t="shared" si="7"/>
        <v>4.07051854667343</v>
      </c>
    </row>
    <row r="154" s="1" customFormat="1" spans="1:25">
      <c r="A154" s="2" t="s">
        <v>18</v>
      </c>
      <c r="B154" s="2">
        <v>3</v>
      </c>
      <c r="C154" s="2">
        <v>2016</v>
      </c>
      <c r="D154" s="7">
        <v>3871</v>
      </c>
      <c r="E154" s="7">
        <v>74213.5608656015</v>
      </c>
      <c r="F154" s="7">
        <v>31458</v>
      </c>
      <c r="G154" s="7">
        <v>32070.45</v>
      </c>
      <c r="H154" s="7">
        <v>87692</v>
      </c>
      <c r="I154" s="7">
        <v>47.2855</v>
      </c>
      <c r="J154" s="7">
        <v>34671</v>
      </c>
      <c r="L154" s="1">
        <v>3</v>
      </c>
      <c r="M154" s="1">
        <v>2016</v>
      </c>
      <c r="N154" s="9">
        <v>1.01048950822261</v>
      </c>
      <c r="O154" s="9">
        <v>1.09160390581579</v>
      </c>
      <c r="P154" s="9">
        <v>1.01990317343904</v>
      </c>
      <c r="Q154" s="9">
        <v>1.0339617016375</v>
      </c>
      <c r="T154" s="1">
        <v>3</v>
      </c>
      <c r="U154" s="1">
        <v>2016</v>
      </c>
      <c r="V154" s="1">
        <f t="shared" si="4"/>
        <v>0.880777369288165</v>
      </c>
      <c r="W154" s="1">
        <f t="shared" si="5"/>
        <v>1.18384114833869</v>
      </c>
      <c r="X154" s="1">
        <f t="shared" si="6"/>
        <v>0.9017167858021</v>
      </c>
      <c r="Y154" s="1">
        <f t="shared" si="7"/>
        <v>0.991024901456678</v>
      </c>
    </row>
    <row r="155" s="1" customFormat="1" spans="1:25">
      <c r="A155" s="2" t="s">
        <v>19</v>
      </c>
      <c r="B155" s="2">
        <v>4</v>
      </c>
      <c r="C155" s="2">
        <v>2016</v>
      </c>
      <c r="D155" s="7">
        <v>1832</v>
      </c>
      <c r="E155" s="7">
        <v>33922.6277992884</v>
      </c>
      <c r="F155" s="7">
        <v>18974</v>
      </c>
      <c r="G155" s="7">
        <v>13050.41</v>
      </c>
      <c r="H155" s="7">
        <v>28513.436558</v>
      </c>
      <c r="I155" s="7">
        <v>45.2866</v>
      </c>
      <c r="J155" s="7">
        <v>40823</v>
      </c>
      <c r="L155" s="1">
        <v>4</v>
      </c>
      <c r="M155" s="1">
        <v>2016</v>
      </c>
      <c r="N155" s="9">
        <v>0.994464302598547</v>
      </c>
      <c r="O155" s="9">
        <v>0.995748164567694</v>
      </c>
      <c r="P155" s="9">
        <v>0.982401440609581</v>
      </c>
      <c r="Q155" s="9">
        <v>0.993630576092272</v>
      </c>
      <c r="T155" s="1">
        <v>4</v>
      </c>
      <c r="U155" s="1">
        <v>2016</v>
      </c>
      <c r="V155" s="1">
        <f t="shared" si="4"/>
        <v>0.813824273985283</v>
      </c>
      <c r="W155" s="1">
        <f t="shared" si="5"/>
        <v>0.844092043056864</v>
      </c>
      <c r="X155" s="1">
        <f t="shared" si="6"/>
        <v>0.786269072639645</v>
      </c>
      <c r="Y155" s="1">
        <f t="shared" si="7"/>
        <v>0.85066963156115</v>
      </c>
    </row>
    <row r="156" s="1" customFormat="1" spans="1:25">
      <c r="A156" s="2" t="s">
        <v>20</v>
      </c>
      <c r="B156" s="2">
        <v>5</v>
      </c>
      <c r="C156" s="2">
        <v>2016</v>
      </c>
      <c r="D156" s="7">
        <v>1326</v>
      </c>
      <c r="E156" s="7">
        <v>52854.4142115008</v>
      </c>
      <c r="F156" s="7">
        <v>19310</v>
      </c>
      <c r="G156" s="7">
        <v>18128.1</v>
      </c>
      <c r="H156" s="7">
        <v>24200</v>
      </c>
      <c r="I156" s="7">
        <v>51.6434</v>
      </c>
      <c r="J156" s="7">
        <v>30986</v>
      </c>
      <c r="L156" s="1">
        <v>5</v>
      </c>
      <c r="M156" s="1">
        <v>2016</v>
      </c>
      <c r="N156" s="9">
        <v>1.00740118279306</v>
      </c>
      <c r="O156" s="9">
        <v>1.01158331146521</v>
      </c>
      <c r="P156" s="9">
        <v>0.995229716288102</v>
      </c>
      <c r="Q156" s="9">
        <v>1.01102666085051</v>
      </c>
      <c r="T156" s="1">
        <v>5</v>
      </c>
      <c r="U156" s="1">
        <v>2016</v>
      </c>
      <c r="V156" s="1">
        <f t="shared" si="4"/>
        <v>0.9099802536045</v>
      </c>
      <c r="W156" s="1">
        <f t="shared" si="5"/>
        <v>0.979196829421036</v>
      </c>
      <c r="X156" s="1">
        <f t="shared" si="6"/>
        <v>0.90851272040545</v>
      </c>
      <c r="Y156" s="1">
        <f t="shared" si="7"/>
        <v>1.01895937942723</v>
      </c>
    </row>
    <row r="157" s="1" customFormat="1" spans="1:25">
      <c r="A157" s="2" t="s">
        <v>21</v>
      </c>
      <c r="B157" s="2">
        <v>6</v>
      </c>
      <c r="C157" s="2">
        <v>2016</v>
      </c>
      <c r="D157" s="7">
        <v>2301.2</v>
      </c>
      <c r="E157" s="7">
        <v>61342.0401535393</v>
      </c>
      <c r="F157" s="7">
        <v>20847</v>
      </c>
      <c r="G157" s="7">
        <v>22246.9</v>
      </c>
      <c r="H157" s="7">
        <v>57639.21</v>
      </c>
      <c r="I157" s="7">
        <v>38.1803</v>
      </c>
      <c r="J157" s="7">
        <v>20912</v>
      </c>
      <c r="L157" s="1">
        <v>6</v>
      </c>
      <c r="M157" s="1">
        <v>2016</v>
      </c>
      <c r="N157" s="9">
        <v>0.849672726777211</v>
      </c>
      <c r="O157" s="9">
        <v>0.741314750945451</v>
      </c>
      <c r="P157" s="9">
        <v>0.790531064298189</v>
      </c>
      <c r="Q157" s="9">
        <v>0.796881065730578</v>
      </c>
      <c r="T157" s="1">
        <v>6</v>
      </c>
      <c r="U157" s="1">
        <v>2016</v>
      </c>
      <c r="V157" s="1">
        <f t="shared" si="4"/>
        <v>0.824543492039031</v>
      </c>
      <c r="W157" s="1">
        <f t="shared" si="5"/>
        <v>0.940814203323702</v>
      </c>
      <c r="X157" s="1">
        <f t="shared" si="6"/>
        <v>0.795606399550091</v>
      </c>
      <c r="Y157" s="1">
        <f t="shared" si="7"/>
        <v>0.866093604555304</v>
      </c>
    </row>
    <row r="158" s="1" customFormat="1" spans="1:25">
      <c r="A158" s="2" t="s">
        <v>22</v>
      </c>
      <c r="B158" s="2">
        <v>7</v>
      </c>
      <c r="C158" s="2">
        <v>2016</v>
      </c>
      <c r="D158" s="7">
        <v>1367.99</v>
      </c>
      <c r="E158" s="7">
        <v>44743.0765655558</v>
      </c>
      <c r="F158" s="7">
        <v>6886</v>
      </c>
      <c r="G158" s="7">
        <v>14776.8</v>
      </c>
      <c r="H158" s="7">
        <v>19237</v>
      </c>
      <c r="I158" s="7">
        <v>11.6967</v>
      </c>
      <c r="J158" s="7">
        <v>6210</v>
      </c>
      <c r="L158" s="1">
        <v>7</v>
      </c>
      <c r="M158" s="1">
        <v>2016</v>
      </c>
      <c r="N158" s="9">
        <v>1.06872891028909</v>
      </c>
      <c r="O158" s="9">
        <v>1.07402465477902</v>
      </c>
      <c r="P158" s="9">
        <v>1.04259243893958</v>
      </c>
      <c r="Q158" s="9">
        <v>1.07009963091253</v>
      </c>
      <c r="T158" s="1">
        <v>7</v>
      </c>
      <c r="U158" s="1">
        <v>2016</v>
      </c>
      <c r="V158" s="1">
        <f t="shared" si="4"/>
        <v>1.17315011750473</v>
      </c>
      <c r="W158" s="1">
        <f t="shared" si="5"/>
        <v>1.28688339665186</v>
      </c>
      <c r="X158" s="1">
        <f t="shared" si="6"/>
        <v>1.18680736993221</v>
      </c>
      <c r="Y158" s="1">
        <f t="shared" si="7"/>
        <v>1.35387138013677</v>
      </c>
    </row>
    <row r="159" s="1" customFormat="1" spans="1:25">
      <c r="A159" s="2" t="s">
        <v>23</v>
      </c>
      <c r="B159" s="2">
        <v>8</v>
      </c>
      <c r="C159" s="2">
        <v>2016</v>
      </c>
      <c r="D159" s="7">
        <v>1776</v>
      </c>
      <c r="E159" s="7">
        <v>36822.9623049518</v>
      </c>
      <c r="F159" s="7">
        <v>11070</v>
      </c>
      <c r="G159" s="7">
        <v>15386.09</v>
      </c>
      <c r="H159" s="7">
        <v>23934.675301</v>
      </c>
      <c r="I159" s="7">
        <v>16.2739</v>
      </c>
      <c r="J159" s="7">
        <v>8205</v>
      </c>
      <c r="L159" s="1">
        <v>8</v>
      </c>
      <c r="M159" s="1">
        <v>2016</v>
      </c>
      <c r="N159" s="9">
        <v>1.01082498234333</v>
      </c>
      <c r="O159" s="9">
        <v>1.01320662166914</v>
      </c>
      <c r="P159" s="9">
        <v>0.989650409597346</v>
      </c>
      <c r="Q159" s="9">
        <v>1.00823508156129</v>
      </c>
      <c r="T159" s="1">
        <v>8</v>
      </c>
      <c r="U159" s="1">
        <v>2016</v>
      </c>
      <c r="V159" s="1">
        <f t="shared" si="4"/>
        <v>0.905156783747926</v>
      </c>
      <c r="W159" s="1">
        <f t="shared" si="5"/>
        <v>0.965555345087714</v>
      </c>
      <c r="X159" s="1">
        <f t="shared" si="6"/>
        <v>0.872509819789103</v>
      </c>
      <c r="Y159" s="1">
        <f t="shared" si="7"/>
        <v>0.980719934287453</v>
      </c>
    </row>
    <row r="160" s="1" customFormat="1" spans="1:25">
      <c r="A160" s="2" t="s">
        <v>24</v>
      </c>
      <c r="B160" s="2">
        <v>9</v>
      </c>
      <c r="C160" s="2">
        <v>2016</v>
      </c>
      <c r="D160" s="7">
        <v>1365.24</v>
      </c>
      <c r="E160" s="7">
        <v>43428.8406781303</v>
      </c>
      <c r="F160" s="7">
        <v>11242</v>
      </c>
      <c r="G160" s="7">
        <v>28178.65</v>
      </c>
      <c r="H160" s="7">
        <v>36600</v>
      </c>
      <c r="I160" s="7">
        <v>6.3573</v>
      </c>
      <c r="J160" s="7">
        <v>1797</v>
      </c>
      <c r="L160" s="1">
        <v>9</v>
      </c>
      <c r="M160" s="1">
        <v>2016</v>
      </c>
      <c r="N160" s="9">
        <v>1.05426186670852</v>
      </c>
      <c r="O160" s="9">
        <v>1.74297350514378</v>
      </c>
      <c r="P160" s="9">
        <v>1.07310107300676</v>
      </c>
      <c r="Q160" s="9">
        <v>1.86350412977819</v>
      </c>
      <c r="T160" s="1">
        <v>9</v>
      </c>
      <c r="U160" s="1">
        <v>2016</v>
      </c>
      <c r="V160" s="1">
        <f t="shared" si="4"/>
        <v>1.07628990297376</v>
      </c>
      <c r="W160" s="1">
        <f t="shared" si="5"/>
        <v>1.68739952781151</v>
      </c>
      <c r="X160" s="1">
        <f t="shared" si="6"/>
        <v>1.16868674541062</v>
      </c>
      <c r="Y160" s="1">
        <f t="shared" si="7"/>
        <v>1.96939011465294</v>
      </c>
    </row>
    <row r="161" s="1" customFormat="1" spans="1:25">
      <c r="A161" s="2" t="s">
        <v>25</v>
      </c>
      <c r="B161" s="2">
        <v>10</v>
      </c>
      <c r="C161" s="2">
        <v>2016</v>
      </c>
      <c r="D161" s="7">
        <v>4850.22</v>
      </c>
      <c r="E161" s="7">
        <v>119910.227318155</v>
      </c>
      <c r="F161" s="7">
        <v>31210</v>
      </c>
      <c r="G161" s="7">
        <v>77388.28</v>
      </c>
      <c r="H161" s="7">
        <v>179400</v>
      </c>
      <c r="I161" s="7">
        <v>56.4845</v>
      </c>
      <c r="J161" s="7">
        <v>13087</v>
      </c>
      <c r="L161" s="1">
        <v>10</v>
      </c>
      <c r="M161" s="1">
        <v>2016</v>
      </c>
      <c r="N161" s="9">
        <v>1.09552283675357</v>
      </c>
      <c r="O161" s="9">
        <v>1.16725681194285</v>
      </c>
      <c r="P161" s="9">
        <v>1.04865223348788</v>
      </c>
      <c r="Q161" s="9">
        <v>1.12528059289515</v>
      </c>
      <c r="T161" s="1">
        <v>10</v>
      </c>
      <c r="U161" s="1">
        <v>2016</v>
      </c>
      <c r="V161" s="1">
        <f t="shared" ref="V161:V224" si="8">V131*N161</f>
        <v>1.4586544317466</v>
      </c>
      <c r="W161" s="1">
        <f t="shared" ref="W161:W224" si="9">W131*O161</f>
        <v>1.77470153906109</v>
      </c>
      <c r="X161" s="1">
        <f t="shared" ref="X161:X224" si="10">X131*P161</f>
        <v>1.15464018785614</v>
      </c>
      <c r="Y161" s="1">
        <f t="shared" ref="Y161:Y224" si="11">Y131*Q161</f>
        <v>1.00440766187225</v>
      </c>
    </row>
    <row r="162" s="1" customFormat="1" spans="1:25">
      <c r="A162" s="2" t="s">
        <v>26</v>
      </c>
      <c r="B162" s="2">
        <v>11</v>
      </c>
      <c r="C162" s="2">
        <v>2016</v>
      </c>
      <c r="D162" s="7">
        <v>3552</v>
      </c>
      <c r="E162" s="7">
        <v>78783.766114174</v>
      </c>
      <c r="F162" s="7">
        <v>20276</v>
      </c>
      <c r="G162" s="7">
        <v>47251.36</v>
      </c>
      <c r="H162" s="7">
        <v>129913</v>
      </c>
      <c r="I162" s="7">
        <v>12.3811</v>
      </c>
      <c r="J162" s="7">
        <v>5562</v>
      </c>
      <c r="L162" s="1">
        <v>11</v>
      </c>
      <c r="M162" s="1">
        <v>2016</v>
      </c>
      <c r="N162" s="9">
        <v>1.06597682807817</v>
      </c>
      <c r="O162" s="9">
        <v>1.42754761890897</v>
      </c>
      <c r="P162" s="9">
        <v>1.03664365896051</v>
      </c>
      <c r="Q162" s="9">
        <v>1.07253299712219</v>
      </c>
      <c r="T162" s="1">
        <v>11</v>
      </c>
      <c r="U162" s="1">
        <v>2016</v>
      </c>
      <c r="V162" s="1">
        <f t="shared" si="8"/>
        <v>1.06106027032695</v>
      </c>
      <c r="W162" s="1">
        <f t="shared" si="9"/>
        <v>2.67692117710531</v>
      </c>
      <c r="X162" s="1">
        <f t="shared" si="10"/>
        <v>1.0781294094877</v>
      </c>
      <c r="Y162" s="1">
        <f t="shared" si="11"/>
        <v>1.16770874683796</v>
      </c>
    </row>
    <row r="163" s="1" customFormat="1" spans="1:25">
      <c r="A163" s="2" t="s">
        <v>27</v>
      </c>
      <c r="B163" s="2">
        <v>12</v>
      </c>
      <c r="C163" s="2">
        <v>2016</v>
      </c>
      <c r="D163" s="7">
        <v>4361.6</v>
      </c>
      <c r="E163" s="7">
        <v>42352.8434717987</v>
      </c>
      <c r="F163" s="7">
        <v>12663</v>
      </c>
      <c r="G163" s="7">
        <v>24407.62</v>
      </c>
      <c r="H163" s="7">
        <v>49624</v>
      </c>
      <c r="I163" s="7">
        <v>25.5128</v>
      </c>
      <c r="J163" s="7">
        <v>14242</v>
      </c>
      <c r="L163" s="1">
        <v>12</v>
      </c>
      <c r="M163" s="1">
        <v>2016</v>
      </c>
      <c r="N163" s="9">
        <v>1.01840444367671</v>
      </c>
      <c r="O163" s="9">
        <v>1.0553947183527</v>
      </c>
      <c r="P163" s="9">
        <v>1.02817119941746</v>
      </c>
      <c r="Q163" s="9">
        <v>1.04612342043603</v>
      </c>
      <c r="T163" s="1">
        <v>12</v>
      </c>
      <c r="U163" s="1">
        <v>2016</v>
      </c>
      <c r="V163" s="1">
        <f t="shared" si="8"/>
        <v>0.930598566572928</v>
      </c>
      <c r="W163" s="1">
        <f t="shared" si="9"/>
        <v>0.746578406809715</v>
      </c>
      <c r="X163" s="1">
        <f t="shared" si="10"/>
        <v>0.983862144558501</v>
      </c>
      <c r="Y163" s="1">
        <f t="shared" si="11"/>
        <v>0.905595986643828</v>
      </c>
    </row>
    <row r="164" s="1" customFormat="1" spans="1:25">
      <c r="A164" s="2" t="s">
        <v>28</v>
      </c>
      <c r="B164" s="2">
        <v>13</v>
      </c>
      <c r="C164" s="2">
        <v>2016</v>
      </c>
      <c r="D164" s="7">
        <v>2248</v>
      </c>
      <c r="E164" s="7">
        <v>57766.0976868485</v>
      </c>
      <c r="F164" s="7">
        <v>12036</v>
      </c>
      <c r="G164" s="7">
        <v>28810.58</v>
      </c>
      <c r="H164" s="7">
        <v>68872</v>
      </c>
      <c r="I164" s="7">
        <v>23.5686</v>
      </c>
      <c r="J164" s="7">
        <v>6925</v>
      </c>
      <c r="L164" s="1">
        <v>13</v>
      </c>
      <c r="M164" s="1">
        <v>2016</v>
      </c>
      <c r="N164" s="9">
        <v>1.02692716795777</v>
      </c>
      <c r="O164" s="9">
        <v>1.15687256763016</v>
      </c>
      <c r="P164" s="9">
        <v>1.04669604282903</v>
      </c>
      <c r="Q164" s="9">
        <v>1.06132003203705</v>
      </c>
      <c r="T164" s="1">
        <v>13</v>
      </c>
      <c r="U164" s="1">
        <v>2016</v>
      </c>
      <c r="V164" s="1">
        <f t="shared" si="8"/>
        <v>1.01768601159722</v>
      </c>
      <c r="W164" s="1">
        <f t="shared" si="9"/>
        <v>1.72707859809797</v>
      </c>
      <c r="X164" s="1">
        <f t="shared" si="10"/>
        <v>1.10846669905633</v>
      </c>
      <c r="Y164" s="1">
        <f t="shared" si="11"/>
        <v>1.23609611431565</v>
      </c>
    </row>
    <row r="165" s="1" customFormat="1" spans="1:25">
      <c r="A165" s="2" t="s">
        <v>29</v>
      </c>
      <c r="B165" s="2">
        <v>14</v>
      </c>
      <c r="C165" s="2">
        <v>2016</v>
      </c>
      <c r="D165" s="7">
        <v>2332</v>
      </c>
      <c r="E165" s="7">
        <v>30194.6406649397</v>
      </c>
      <c r="F165" s="7">
        <v>8730</v>
      </c>
      <c r="G165" s="7">
        <v>18499</v>
      </c>
      <c r="H165" s="7">
        <v>85526.594905</v>
      </c>
      <c r="I165" s="7">
        <v>44.1392</v>
      </c>
      <c r="J165" s="7">
        <v>12535</v>
      </c>
      <c r="L165" s="1">
        <v>14</v>
      </c>
      <c r="M165" s="1">
        <v>2016</v>
      </c>
      <c r="N165" s="9">
        <v>1.00554923521981</v>
      </c>
      <c r="O165" s="9">
        <v>0.629177167774412</v>
      </c>
      <c r="P165" s="9">
        <v>1.02411146530068</v>
      </c>
      <c r="Q165" s="9">
        <v>1.03339029299554</v>
      </c>
      <c r="T165" s="1">
        <v>14</v>
      </c>
      <c r="U165" s="1">
        <v>2016</v>
      </c>
      <c r="V165" s="1">
        <f t="shared" si="8"/>
        <v>0.977680367272045</v>
      </c>
      <c r="W165" s="1">
        <f t="shared" si="9"/>
        <v>0.227736515206794</v>
      </c>
      <c r="X165" s="1">
        <f t="shared" si="10"/>
        <v>1.05777717116179</v>
      </c>
      <c r="Y165" s="1">
        <f t="shared" si="11"/>
        <v>0.997229712937275</v>
      </c>
    </row>
    <row r="166" s="1" customFormat="1" spans="1:25">
      <c r="A166" s="2" t="s">
        <v>30</v>
      </c>
      <c r="B166" s="2">
        <v>15</v>
      </c>
      <c r="C166" s="2">
        <v>2016</v>
      </c>
      <c r="D166" s="7">
        <v>5728</v>
      </c>
      <c r="E166" s="7">
        <v>130503.636853429</v>
      </c>
      <c r="F166" s="7">
        <v>40138</v>
      </c>
      <c r="G166" s="7">
        <v>68024.49</v>
      </c>
      <c r="H166" s="7">
        <v>160579.789086</v>
      </c>
      <c r="I166" s="7">
        <v>66.3871</v>
      </c>
      <c r="J166" s="7">
        <v>26350</v>
      </c>
      <c r="L166" s="1">
        <v>15</v>
      </c>
      <c r="M166" s="1">
        <v>2016</v>
      </c>
      <c r="N166" s="9">
        <v>1.06496842565892</v>
      </c>
      <c r="O166" s="9">
        <v>1.15814818399993</v>
      </c>
      <c r="P166" s="9">
        <v>1.03020054121694</v>
      </c>
      <c r="Q166" s="9">
        <v>1.04348496261535</v>
      </c>
      <c r="T166" s="1">
        <v>15</v>
      </c>
      <c r="U166" s="1">
        <v>2016</v>
      </c>
      <c r="V166" s="1">
        <f t="shared" si="8"/>
        <v>1.31009474815982</v>
      </c>
      <c r="W166" s="1">
        <f t="shared" si="9"/>
        <v>2.04393072512827</v>
      </c>
      <c r="X166" s="1">
        <f t="shared" si="10"/>
        <v>1.08253376264794</v>
      </c>
      <c r="Y166" s="1">
        <f t="shared" si="11"/>
        <v>1.19469277659231</v>
      </c>
    </row>
    <row r="167" s="1" customFormat="1" spans="1:25">
      <c r="A167" s="2" t="s">
        <v>31</v>
      </c>
      <c r="B167" s="2">
        <v>16</v>
      </c>
      <c r="C167" s="2">
        <v>2016</v>
      </c>
      <c r="D167" s="7">
        <v>5052</v>
      </c>
      <c r="E167" s="7">
        <v>103678.781449908</v>
      </c>
      <c r="F167" s="7">
        <v>22323</v>
      </c>
      <c r="G167" s="7">
        <v>40471.79</v>
      </c>
      <c r="H167" s="7">
        <v>69500</v>
      </c>
      <c r="I167" s="7">
        <v>37.0878</v>
      </c>
      <c r="J167" s="7">
        <v>17372</v>
      </c>
      <c r="L167" s="1">
        <v>16</v>
      </c>
      <c r="M167" s="1">
        <v>2016</v>
      </c>
      <c r="N167" s="9">
        <v>1.02949941013436</v>
      </c>
      <c r="O167" s="9">
        <v>1.21295710696516</v>
      </c>
      <c r="P167" s="9">
        <v>1.04257319078649</v>
      </c>
      <c r="Q167" s="9">
        <v>1.06792133523042</v>
      </c>
      <c r="T167" s="1">
        <v>16</v>
      </c>
      <c r="U167" s="1">
        <v>2016</v>
      </c>
      <c r="V167" s="1">
        <f t="shared" si="8"/>
        <v>0.972897014359389</v>
      </c>
      <c r="W167" s="1">
        <f t="shared" si="9"/>
        <v>1.583910114061</v>
      </c>
      <c r="X167" s="1">
        <f t="shared" si="10"/>
        <v>1.02412415055359</v>
      </c>
      <c r="Y167" s="1">
        <f t="shared" si="11"/>
        <v>1.15992952574085</v>
      </c>
    </row>
    <row r="168" s="1" customFormat="1" spans="1:25">
      <c r="A168" s="2" t="s">
        <v>32</v>
      </c>
      <c r="B168" s="2">
        <v>17</v>
      </c>
      <c r="C168" s="2">
        <v>2016</v>
      </c>
      <c r="D168" s="7">
        <v>3385</v>
      </c>
      <c r="E168" s="7">
        <v>59333.8167677972</v>
      </c>
      <c r="F168" s="7">
        <v>15897</v>
      </c>
      <c r="G168" s="7">
        <v>32665.38</v>
      </c>
      <c r="H168" s="7">
        <v>49090</v>
      </c>
      <c r="I168" s="7">
        <v>15.5107</v>
      </c>
      <c r="J168" s="7">
        <v>10473</v>
      </c>
      <c r="L168" s="1">
        <v>17</v>
      </c>
      <c r="M168" s="1">
        <v>2016</v>
      </c>
      <c r="N168" s="9">
        <v>1.02652244344636</v>
      </c>
      <c r="O168" s="9">
        <v>1.23203958939042</v>
      </c>
      <c r="P168" s="9">
        <v>1.03581261373836</v>
      </c>
      <c r="Q168" s="9">
        <v>1.06717186606115</v>
      </c>
      <c r="T168" s="1">
        <v>17</v>
      </c>
      <c r="U168" s="1">
        <v>2016</v>
      </c>
      <c r="V168" s="1">
        <f t="shared" si="8"/>
        <v>1.0459128983366</v>
      </c>
      <c r="W168" s="1">
        <f t="shared" si="9"/>
        <v>1.88383436579419</v>
      </c>
      <c r="X168" s="1">
        <f t="shared" si="10"/>
        <v>1.11262060903233</v>
      </c>
      <c r="Y168" s="1">
        <f t="shared" si="11"/>
        <v>1.27645879536286</v>
      </c>
    </row>
    <row r="169" s="1" customFormat="1" spans="1:25">
      <c r="A169" s="2" t="s">
        <v>33</v>
      </c>
      <c r="B169" s="2">
        <v>18</v>
      </c>
      <c r="C169" s="2">
        <v>2016</v>
      </c>
      <c r="D169" s="7">
        <v>3920.41</v>
      </c>
      <c r="E169" s="7">
        <v>52493.3021130349</v>
      </c>
      <c r="F169" s="7">
        <v>14845</v>
      </c>
      <c r="G169" s="7">
        <v>31551.37</v>
      </c>
      <c r="H169" s="7">
        <v>48692.86447</v>
      </c>
      <c r="I169" s="7">
        <v>21.6435</v>
      </c>
      <c r="J169" s="7">
        <v>6156</v>
      </c>
      <c r="L169" s="1">
        <v>18</v>
      </c>
      <c r="M169" s="1">
        <v>2016</v>
      </c>
      <c r="N169" s="9">
        <v>1.02634207274687</v>
      </c>
      <c r="O169" s="9">
        <v>1.18457269767311</v>
      </c>
      <c r="P169" s="9">
        <v>1.03304733301515</v>
      </c>
      <c r="Q169" s="9">
        <v>1.0630773358782</v>
      </c>
      <c r="T169" s="1">
        <v>18</v>
      </c>
      <c r="U169" s="1">
        <v>2016</v>
      </c>
      <c r="V169" s="1">
        <f t="shared" si="8"/>
        <v>1.03216786757122</v>
      </c>
      <c r="W169" s="1">
        <f t="shared" si="9"/>
        <v>1.25420853151458</v>
      </c>
      <c r="X169" s="1">
        <f t="shared" si="10"/>
        <v>1.08402525858098</v>
      </c>
      <c r="Y169" s="1">
        <f t="shared" si="11"/>
        <v>0.980636317366722</v>
      </c>
    </row>
    <row r="170" s="1" customFormat="1" spans="1:25">
      <c r="A170" s="2" t="s">
        <v>34</v>
      </c>
      <c r="B170" s="2">
        <v>19</v>
      </c>
      <c r="C170" s="2">
        <v>2016</v>
      </c>
      <c r="D170" s="7">
        <v>6703</v>
      </c>
      <c r="E170" s="7">
        <v>121169.566935423</v>
      </c>
      <c r="F170" s="7">
        <v>31211</v>
      </c>
      <c r="G170" s="7">
        <v>80854.91</v>
      </c>
      <c r="H170" s="7">
        <v>134000</v>
      </c>
      <c r="I170" s="7">
        <v>24.7505</v>
      </c>
      <c r="J170" s="7">
        <v>8270</v>
      </c>
      <c r="L170" s="1">
        <v>19</v>
      </c>
      <c r="M170" s="1">
        <v>2016</v>
      </c>
      <c r="N170" s="9">
        <v>1.07740791755383</v>
      </c>
      <c r="O170" s="9">
        <v>1.04509375684198</v>
      </c>
      <c r="P170" s="9">
        <v>1.03447579421532</v>
      </c>
      <c r="Q170" s="9">
        <v>0.995859997836756</v>
      </c>
      <c r="T170" s="1">
        <v>19</v>
      </c>
      <c r="U170" s="1">
        <v>2016</v>
      </c>
      <c r="V170" s="1">
        <f t="shared" si="8"/>
        <v>0.428451620930523</v>
      </c>
      <c r="W170" s="1">
        <f t="shared" si="9"/>
        <v>1.08853048073357</v>
      </c>
      <c r="X170" s="1">
        <f t="shared" si="10"/>
        <v>1.03369705246032</v>
      </c>
      <c r="Y170" s="1">
        <f t="shared" si="11"/>
        <v>0.722992387097489</v>
      </c>
    </row>
    <row r="171" s="1" customFormat="1" spans="1:25">
      <c r="A171" s="2" t="s">
        <v>35</v>
      </c>
      <c r="B171" s="2">
        <v>20</v>
      </c>
      <c r="C171" s="2">
        <v>2016</v>
      </c>
      <c r="D171" s="7">
        <v>2583</v>
      </c>
      <c r="E171" s="7">
        <v>46458.303551541</v>
      </c>
      <c r="F171" s="7">
        <v>10110</v>
      </c>
      <c r="G171" s="7">
        <v>18317.64</v>
      </c>
      <c r="H171" s="7">
        <v>32554</v>
      </c>
      <c r="I171" s="7">
        <v>13.6812</v>
      </c>
      <c r="J171" s="7">
        <v>9427</v>
      </c>
      <c r="L171" s="1">
        <v>20</v>
      </c>
      <c r="M171" s="1">
        <v>2016</v>
      </c>
      <c r="N171" s="9">
        <v>1.03722488231461</v>
      </c>
      <c r="O171" s="9">
        <v>1.04558416958833</v>
      </c>
      <c r="P171" s="9">
        <v>1.03343587520504</v>
      </c>
      <c r="Q171" s="9">
        <v>1.05738324696627</v>
      </c>
      <c r="T171" s="1">
        <v>20</v>
      </c>
      <c r="U171" s="1">
        <v>2016</v>
      </c>
      <c r="V171" s="1">
        <f t="shared" si="8"/>
        <v>1.01763615364123</v>
      </c>
      <c r="W171" s="1">
        <f t="shared" si="9"/>
        <v>1.11582528006152</v>
      </c>
      <c r="X171" s="1">
        <f t="shared" si="10"/>
        <v>1.05935226206362</v>
      </c>
      <c r="Y171" s="1">
        <f t="shared" si="11"/>
        <v>1.18889376355956</v>
      </c>
    </row>
    <row r="172" s="1" customFormat="1" spans="1:25">
      <c r="A172" s="2" t="s">
        <v>36</v>
      </c>
      <c r="B172" s="2">
        <v>21</v>
      </c>
      <c r="C172" s="2">
        <v>2016</v>
      </c>
      <c r="D172" s="7">
        <v>513.14</v>
      </c>
      <c r="E172" s="7">
        <v>8702.38522328077</v>
      </c>
      <c r="F172" s="7">
        <v>1984</v>
      </c>
      <c r="G172" s="7">
        <v>4053.2</v>
      </c>
      <c r="H172" s="7">
        <v>5066</v>
      </c>
      <c r="I172" s="7">
        <v>1.3361</v>
      </c>
      <c r="J172" s="7">
        <v>333</v>
      </c>
      <c r="L172" s="1">
        <v>21</v>
      </c>
      <c r="M172" s="1">
        <v>2016</v>
      </c>
      <c r="N172" s="9">
        <v>1.44968244834181</v>
      </c>
      <c r="O172" s="9">
        <v>1.52156391520836</v>
      </c>
      <c r="P172" s="9">
        <v>1.03363442444596</v>
      </c>
      <c r="Q172" s="9">
        <v>1.08333091083793</v>
      </c>
      <c r="T172" s="1">
        <v>21</v>
      </c>
      <c r="U172" s="1">
        <v>2016</v>
      </c>
      <c r="V172" s="1">
        <f t="shared" si="8"/>
        <v>1.03443858520681</v>
      </c>
      <c r="W172" s="1">
        <f t="shared" si="9"/>
        <v>0.720141837463878</v>
      </c>
      <c r="X172" s="1">
        <f t="shared" si="10"/>
        <v>0.972064904013512</v>
      </c>
      <c r="Y172" s="1">
        <f t="shared" si="11"/>
        <v>1.14634466093996</v>
      </c>
    </row>
    <row r="173" s="1" customFormat="1" spans="1:25">
      <c r="A173" s="2" t="s">
        <v>37</v>
      </c>
      <c r="B173" s="2">
        <v>22</v>
      </c>
      <c r="C173" s="2">
        <v>2016</v>
      </c>
      <c r="D173" s="7">
        <v>1658.32</v>
      </c>
      <c r="E173" s="7">
        <v>30618.0094894727</v>
      </c>
      <c r="F173" s="7">
        <v>7982</v>
      </c>
      <c r="G173" s="7">
        <v>17740.59</v>
      </c>
      <c r="H173" s="7">
        <v>19303</v>
      </c>
      <c r="I173" s="7">
        <v>11.1358</v>
      </c>
      <c r="J173" s="7">
        <v>2520</v>
      </c>
      <c r="L173" s="1">
        <v>22</v>
      </c>
      <c r="M173" s="1">
        <v>2016</v>
      </c>
      <c r="N173" s="9">
        <v>1.07087246814722</v>
      </c>
      <c r="O173" s="9">
        <v>1.0883903359766</v>
      </c>
      <c r="P173" s="9">
        <v>1.06044552995124</v>
      </c>
      <c r="Q173" s="9">
        <v>1.10457141545758</v>
      </c>
      <c r="T173" s="1">
        <v>22</v>
      </c>
      <c r="U173" s="1">
        <v>2016</v>
      </c>
      <c r="V173" s="1">
        <f t="shared" si="8"/>
        <v>1.15277608935903</v>
      </c>
      <c r="W173" s="1">
        <f t="shared" si="9"/>
        <v>1.30115715461991</v>
      </c>
      <c r="X173" s="1">
        <f t="shared" si="10"/>
        <v>1.24319705916033</v>
      </c>
      <c r="Y173" s="1">
        <f t="shared" si="11"/>
        <v>1.44079358978228</v>
      </c>
    </row>
    <row r="174" s="1" customFormat="1" spans="1:25">
      <c r="A174" s="2" t="s">
        <v>38</v>
      </c>
      <c r="B174" s="2">
        <v>23</v>
      </c>
      <c r="C174" s="2">
        <v>2016</v>
      </c>
      <c r="D174" s="7">
        <v>4657</v>
      </c>
      <c r="E174" s="7">
        <v>55070.5792988659</v>
      </c>
      <c r="F174" s="7">
        <v>18756</v>
      </c>
      <c r="G174" s="7">
        <v>32934.54</v>
      </c>
      <c r="H174" s="7">
        <v>50788.612966</v>
      </c>
      <c r="I174" s="7">
        <v>29.2393</v>
      </c>
      <c r="J174" s="7">
        <v>13620</v>
      </c>
      <c r="L174" s="1">
        <v>23</v>
      </c>
      <c r="M174" s="1">
        <v>2016</v>
      </c>
      <c r="N174" s="9">
        <v>1.02115688648505</v>
      </c>
      <c r="O174" s="9">
        <v>1.15352716810145</v>
      </c>
      <c r="P174" s="9">
        <v>1.03056246776763</v>
      </c>
      <c r="Q174" s="9">
        <v>1.05114406924259</v>
      </c>
      <c r="T174" s="1">
        <v>23</v>
      </c>
      <c r="U174" s="1">
        <v>2016</v>
      </c>
      <c r="V174" s="1">
        <f t="shared" si="8"/>
        <v>1.02672870309138</v>
      </c>
      <c r="W174" s="1">
        <f t="shared" si="9"/>
        <v>1.57675946254636</v>
      </c>
      <c r="X174" s="1">
        <f t="shared" si="10"/>
        <v>1.07776832399744</v>
      </c>
      <c r="Y174" s="1">
        <f t="shared" si="11"/>
        <v>1.05262069465141</v>
      </c>
    </row>
    <row r="175" s="1" customFormat="1" spans="1:25">
      <c r="A175" s="2" t="s">
        <v>39</v>
      </c>
      <c r="B175" s="2">
        <v>24</v>
      </c>
      <c r="C175" s="2">
        <v>2016</v>
      </c>
      <c r="D175" s="7">
        <v>1859</v>
      </c>
      <c r="E175" s="7">
        <v>23586.8326523429</v>
      </c>
      <c r="F175" s="7">
        <v>9606</v>
      </c>
      <c r="G175" s="7">
        <v>11776.73</v>
      </c>
      <c r="H175" s="7">
        <v>16400</v>
      </c>
      <c r="I175" s="7">
        <v>28.7586</v>
      </c>
      <c r="J175" s="7">
        <v>9077</v>
      </c>
      <c r="L175" s="1">
        <v>24</v>
      </c>
      <c r="M175" s="1">
        <v>2016</v>
      </c>
      <c r="N175" s="9">
        <v>1.02905882790889</v>
      </c>
      <c r="O175" s="9">
        <v>1.03422659467337</v>
      </c>
      <c r="P175" s="9">
        <v>1.01593013141001</v>
      </c>
      <c r="Q175" s="9">
        <v>1.04388940215932</v>
      </c>
      <c r="T175" s="1">
        <v>24</v>
      </c>
      <c r="U175" s="1">
        <v>2016</v>
      </c>
      <c r="V175" s="1">
        <f t="shared" si="8"/>
        <v>0.983929760099774</v>
      </c>
      <c r="W175" s="1">
        <f t="shared" si="9"/>
        <v>1.08115242367882</v>
      </c>
      <c r="X175" s="1">
        <f t="shared" si="10"/>
        <v>1.09801673009147</v>
      </c>
      <c r="Y175" s="1">
        <f t="shared" si="11"/>
        <v>1.23389805851092</v>
      </c>
    </row>
    <row r="176" s="1" customFormat="1" spans="1:25">
      <c r="A176" s="2" t="s">
        <v>40</v>
      </c>
      <c r="B176" s="2">
        <v>25</v>
      </c>
      <c r="C176" s="2">
        <v>2016</v>
      </c>
      <c r="D176" s="7">
        <v>2855</v>
      </c>
      <c r="E176" s="7">
        <v>40068.1980409095</v>
      </c>
      <c r="F176" s="7">
        <v>10726</v>
      </c>
      <c r="G176" s="7">
        <v>14788.42</v>
      </c>
      <c r="H176" s="7">
        <v>48800</v>
      </c>
      <c r="I176" s="7">
        <v>41.4795</v>
      </c>
      <c r="J176" s="7">
        <v>17289</v>
      </c>
      <c r="L176" s="1">
        <v>25</v>
      </c>
      <c r="M176" s="1">
        <v>2016</v>
      </c>
      <c r="N176" s="9">
        <v>0.97707606385149</v>
      </c>
      <c r="O176" s="9">
        <v>0.984074421585656</v>
      </c>
      <c r="P176" s="9">
        <v>0.98919826153597</v>
      </c>
      <c r="Q176" s="9">
        <v>1.00059378926343</v>
      </c>
      <c r="T176" s="1">
        <v>25</v>
      </c>
      <c r="U176" s="1">
        <v>2016</v>
      </c>
      <c r="V176" s="1">
        <f t="shared" si="8"/>
        <v>0.863179852991493</v>
      </c>
      <c r="W176" s="1">
        <f t="shared" si="9"/>
        <v>0.947732815251995</v>
      </c>
      <c r="X176" s="1">
        <f t="shared" si="10"/>
        <v>0.912719352902841</v>
      </c>
      <c r="Y176" s="1">
        <f t="shared" si="11"/>
        <v>1.02302775966684</v>
      </c>
    </row>
    <row r="177" s="1" customFormat="1" spans="1:25">
      <c r="A177" s="2" t="s">
        <v>41</v>
      </c>
      <c r="B177" s="2">
        <v>26</v>
      </c>
      <c r="C177" s="2">
        <v>2016</v>
      </c>
      <c r="D177" s="7">
        <v>2111</v>
      </c>
      <c r="E177" s="7">
        <v>41684.8167080864</v>
      </c>
      <c r="F177" s="7">
        <v>12146</v>
      </c>
      <c r="G177" s="7">
        <v>19399.59</v>
      </c>
      <c r="H177" s="7">
        <v>28416.76</v>
      </c>
      <c r="I177" s="7">
        <v>22.8334</v>
      </c>
      <c r="J177" s="7">
        <v>10792</v>
      </c>
      <c r="L177" s="1">
        <v>26</v>
      </c>
      <c r="M177" s="1">
        <v>2016</v>
      </c>
      <c r="N177" s="9">
        <v>1.013676373975</v>
      </c>
      <c r="O177" s="9">
        <v>1.021957759623</v>
      </c>
      <c r="P177" s="9">
        <v>1.01561862085056</v>
      </c>
      <c r="Q177" s="9">
        <v>1.0343722394014</v>
      </c>
      <c r="T177" s="1">
        <v>26</v>
      </c>
      <c r="U177" s="1">
        <v>2016</v>
      </c>
      <c r="V177" s="1">
        <f t="shared" si="8"/>
        <v>0.942104867241864</v>
      </c>
      <c r="W177" s="1">
        <f t="shared" si="9"/>
        <v>1.02903609766415</v>
      </c>
      <c r="X177" s="1">
        <f t="shared" si="10"/>
        <v>0.998451926088562</v>
      </c>
      <c r="Y177" s="1">
        <f t="shared" si="11"/>
        <v>1.10524994407325</v>
      </c>
    </row>
    <row r="178" s="1" customFormat="1" spans="1:25">
      <c r="A178" s="2" t="s">
        <v>42</v>
      </c>
      <c r="B178" s="2">
        <v>27</v>
      </c>
      <c r="C178" s="2">
        <v>2016</v>
      </c>
      <c r="D178" s="7">
        <v>1341</v>
      </c>
      <c r="E178" s="7">
        <v>16260.2616933555</v>
      </c>
      <c r="F178" s="7">
        <v>7300</v>
      </c>
      <c r="G178" s="7">
        <v>7200.37</v>
      </c>
      <c r="H178" s="7">
        <v>13022.132975</v>
      </c>
      <c r="I178" s="7">
        <v>12.6851</v>
      </c>
      <c r="J178" s="7">
        <v>6706</v>
      </c>
      <c r="L178" s="1">
        <v>27</v>
      </c>
      <c r="M178" s="1">
        <v>2016</v>
      </c>
      <c r="N178" s="9">
        <v>1.03085653357312</v>
      </c>
      <c r="O178" s="9">
        <v>1.0221076363597</v>
      </c>
      <c r="P178" s="9">
        <v>0.984956872886049</v>
      </c>
      <c r="Q178" s="9">
        <v>1.00524342801215</v>
      </c>
      <c r="T178" s="1">
        <v>27</v>
      </c>
      <c r="U178" s="1">
        <v>2016</v>
      </c>
      <c r="V178" s="1">
        <f t="shared" si="8"/>
        <v>0.89721515451839</v>
      </c>
      <c r="W178" s="1">
        <f t="shared" si="9"/>
        <v>0.553141881970112</v>
      </c>
      <c r="X178" s="1">
        <f t="shared" si="10"/>
        <v>0.868952942995579</v>
      </c>
      <c r="Y178" s="1">
        <f t="shared" si="11"/>
        <v>0.952382911108999</v>
      </c>
    </row>
    <row r="179" s="1" customFormat="1" spans="1:25">
      <c r="A179" s="2" t="s">
        <v>43</v>
      </c>
      <c r="B179" s="2">
        <v>28</v>
      </c>
      <c r="C179" s="2">
        <v>2016</v>
      </c>
      <c r="D179" s="7">
        <v>324.28</v>
      </c>
      <c r="E179" s="7">
        <v>9840.28412792189</v>
      </c>
      <c r="F179" s="7">
        <v>4101</v>
      </c>
      <c r="G179" s="7">
        <v>2572.49</v>
      </c>
      <c r="H179" s="7">
        <v>8432</v>
      </c>
      <c r="I179" s="7">
        <v>5.2018</v>
      </c>
      <c r="J179" s="7">
        <v>17560</v>
      </c>
      <c r="L179" s="1">
        <v>28</v>
      </c>
      <c r="M179" s="1">
        <v>2016</v>
      </c>
      <c r="N179" s="9">
        <v>1.274847242809</v>
      </c>
      <c r="O179" s="9">
        <v>1.02533811351233</v>
      </c>
      <c r="P179" s="9">
        <v>0.975947123895982</v>
      </c>
      <c r="Q179" s="9">
        <v>0.993508760109838</v>
      </c>
      <c r="T179" s="1">
        <v>28</v>
      </c>
      <c r="U179" s="1">
        <v>2016</v>
      </c>
      <c r="V179" s="1">
        <f t="shared" si="8"/>
        <v>0.912740476132738</v>
      </c>
      <c r="W179" s="1">
        <f t="shared" si="9"/>
        <v>0.848947900518457</v>
      </c>
      <c r="X179" s="1">
        <f t="shared" si="10"/>
        <v>0.796495419485327</v>
      </c>
      <c r="Y179" s="1">
        <f t="shared" si="11"/>
        <v>0.904420510820515</v>
      </c>
    </row>
    <row r="180" s="1" customFormat="1" spans="1:25">
      <c r="A180" s="2" t="s">
        <v>44</v>
      </c>
      <c r="B180" s="2">
        <v>29</v>
      </c>
      <c r="C180" s="2">
        <v>2016</v>
      </c>
      <c r="D180" s="7">
        <v>343</v>
      </c>
      <c r="E180" s="7">
        <v>11082.2794238655</v>
      </c>
      <c r="F180" s="7">
        <v>5591</v>
      </c>
      <c r="G180" s="7">
        <v>3168.59</v>
      </c>
      <c r="H180" s="7">
        <v>12194.23</v>
      </c>
      <c r="I180" s="7">
        <v>19.2771</v>
      </c>
      <c r="J180" s="7">
        <v>4483</v>
      </c>
      <c r="L180" s="1">
        <v>29</v>
      </c>
      <c r="M180" s="1">
        <v>2016</v>
      </c>
      <c r="N180" s="9">
        <v>1.00159720192025</v>
      </c>
      <c r="O180" s="9">
        <v>0.985392086048996</v>
      </c>
      <c r="P180" s="9">
        <v>0.999039779081861</v>
      </c>
      <c r="Q180" s="9">
        <v>1.01647220907061</v>
      </c>
      <c r="T180" s="1">
        <v>29</v>
      </c>
      <c r="U180" s="1">
        <v>2016</v>
      </c>
      <c r="V180" s="1">
        <f t="shared" si="8"/>
        <v>0.977302693716259</v>
      </c>
      <c r="W180" s="1">
        <f t="shared" si="9"/>
        <v>0.916766569007422</v>
      </c>
      <c r="X180" s="1">
        <f t="shared" si="10"/>
        <v>0.884004025874349</v>
      </c>
      <c r="Y180" s="1">
        <f t="shared" si="11"/>
        <v>0.988412422550843</v>
      </c>
    </row>
    <row r="181" s="1" customFormat="1" spans="1:25">
      <c r="A181" s="2" t="s">
        <v>45</v>
      </c>
      <c r="B181" s="2">
        <v>30</v>
      </c>
      <c r="C181" s="2">
        <v>2016</v>
      </c>
      <c r="D181" s="7">
        <v>1320</v>
      </c>
      <c r="E181" s="7">
        <v>27737.4524608152</v>
      </c>
      <c r="F181" s="7">
        <v>16302</v>
      </c>
      <c r="G181" s="7">
        <v>9649.7</v>
      </c>
      <c r="H181" s="7">
        <v>15900</v>
      </c>
      <c r="I181" s="7">
        <v>37.4893</v>
      </c>
      <c r="J181" s="7">
        <v>11836</v>
      </c>
      <c r="L181" s="1">
        <v>30</v>
      </c>
      <c r="M181" s="1">
        <v>2016</v>
      </c>
      <c r="N181" s="9">
        <v>0.982846333933752</v>
      </c>
      <c r="O181" s="9">
        <v>0.981661702449981</v>
      </c>
      <c r="P181" s="9">
        <v>0.957390676734002</v>
      </c>
      <c r="Q181" s="9">
        <v>0.972916092967183</v>
      </c>
      <c r="T181" s="1">
        <v>30</v>
      </c>
      <c r="U181" s="1">
        <v>2016</v>
      </c>
      <c r="V181" s="1">
        <f t="shared" si="8"/>
        <v>0.773258918868808</v>
      </c>
      <c r="W181" s="1">
        <f t="shared" si="9"/>
        <v>0.813963874216495</v>
      </c>
      <c r="X181" s="1">
        <f t="shared" si="10"/>
        <v>0.775751199303186</v>
      </c>
      <c r="Y181" s="1">
        <f t="shared" si="11"/>
        <v>0.849750500440234</v>
      </c>
    </row>
    <row r="182" s="1" customFormat="1" spans="1:25">
      <c r="A182" s="2" t="s">
        <v>16</v>
      </c>
      <c r="B182" s="2">
        <v>1</v>
      </c>
      <c r="C182" s="2">
        <v>2017</v>
      </c>
      <c r="D182" s="7">
        <v>1246.8</v>
      </c>
      <c r="E182" s="7">
        <v>43357.8647847541</v>
      </c>
      <c r="F182" s="7">
        <v>7088</v>
      </c>
      <c r="G182" s="7">
        <v>28014.94</v>
      </c>
      <c r="H182" s="7">
        <v>8494</v>
      </c>
      <c r="I182" s="7">
        <v>0.177</v>
      </c>
      <c r="J182" s="7">
        <v>702</v>
      </c>
      <c r="L182" s="1">
        <v>1</v>
      </c>
      <c r="M182" s="1">
        <v>2017</v>
      </c>
      <c r="N182" s="9">
        <v>1.14263875712607</v>
      </c>
      <c r="O182" s="9">
        <v>1.60265604827067</v>
      </c>
      <c r="P182" s="9">
        <v>1.07490035834156</v>
      </c>
      <c r="Q182" s="9">
        <v>1.12423557564002</v>
      </c>
      <c r="T182" s="1">
        <v>1</v>
      </c>
      <c r="U182" s="1">
        <v>2017</v>
      </c>
      <c r="V182" s="1">
        <f t="shared" si="8"/>
        <v>1.39161899007481</v>
      </c>
      <c r="W182" s="1">
        <f t="shared" si="9"/>
        <v>3.61877578423603</v>
      </c>
      <c r="X182" s="1">
        <f t="shared" si="10"/>
        <v>1.38599858968872</v>
      </c>
      <c r="Y182" s="1">
        <f t="shared" si="11"/>
        <v>1.80817764119625</v>
      </c>
    </row>
    <row r="183" s="1" customFormat="1" spans="1:25">
      <c r="A183" s="2" t="s">
        <v>17</v>
      </c>
      <c r="B183" s="2">
        <v>2</v>
      </c>
      <c r="C183" s="2">
        <v>2017</v>
      </c>
      <c r="D183" s="7">
        <v>894.83</v>
      </c>
      <c r="E183" s="7">
        <v>46449.7506335444</v>
      </c>
      <c r="F183" s="7">
        <v>7832</v>
      </c>
      <c r="G183" s="7">
        <v>18549.19</v>
      </c>
      <c r="H183" s="7">
        <v>18106</v>
      </c>
      <c r="I183" s="7">
        <v>2.1793</v>
      </c>
      <c r="J183" s="7">
        <v>1602</v>
      </c>
      <c r="L183" s="1">
        <v>2</v>
      </c>
      <c r="M183" s="1">
        <v>2017</v>
      </c>
      <c r="N183" s="9">
        <v>1.01423003026353</v>
      </c>
      <c r="O183" s="9">
        <v>1.17715783706477</v>
      </c>
      <c r="P183" s="9">
        <v>1.02891241867053</v>
      </c>
      <c r="Q183" s="9">
        <v>1.03594860313968</v>
      </c>
      <c r="T183" s="1">
        <v>2</v>
      </c>
      <c r="U183" s="1">
        <v>2017</v>
      </c>
      <c r="V183" s="1">
        <f t="shared" si="8"/>
        <v>1.03258788375347</v>
      </c>
      <c r="W183" s="1">
        <f t="shared" si="9"/>
        <v>2.42503430744938</v>
      </c>
      <c r="X183" s="1">
        <f t="shared" si="10"/>
        <v>1.13617469497007</v>
      </c>
      <c r="Y183" s="1">
        <f t="shared" si="11"/>
        <v>4.2168480024805</v>
      </c>
    </row>
    <row r="184" s="1" customFormat="1" spans="1:25">
      <c r="A184" s="2" t="s">
        <v>18</v>
      </c>
      <c r="B184" s="2">
        <v>3</v>
      </c>
      <c r="C184" s="2">
        <v>2017</v>
      </c>
      <c r="D184" s="7">
        <v>3795</v>
      </c>
      <c r="E184" s="7">
        <v>79548.9572402134</v>
      </c>
      <c r="F184" s="7">
        <v>32083</v>
      </c>
      <c r="G184" s="7">
        <v>34016.32</v>
      </c>
      <c r="H184" s="7">
        <v>90032</v>
      </c>
      <c r="I184" s="7">
        <v>35.1423</v>
      </c>
      <c r="J184" s="7">
        <v>33981</v>
      </c>
      <c r="L184" s="1">
        <v>3</v>
      </c>
      <c r="M184" s="1">
        <v>2017</v>
      </c>
      <c r="N184" s="9">
        <v>1.01212419600777</v>
      </c>
      <c r="O184" s="9">
        <v>1.06243063026634</v>
      </c>
      <c r="P184" s="9">
        <v>1.02068723989602</v>
      </c>
      <c r="Q184" s="9">
        <v>1.02811575427861</v>
      </c>
      <c r="T184" s="1">
        <v>3</v>
      </c>
      <c r="U184" s="1">
        <v>2017</v>
      </c>
      <c r="V184" s="1">
        <f t="shared" si="8"/>
        <v>0.891456086752622</v>
      </c>
      <c r="W184" s="1">
        <f t="shared" si="9"/>
        <v>1.2577490973647</v>
      </c>
      <c r="X184" s="1">
        <f t="shared" si="10"/>
        <v>0.920370817268256</v>
      </c>
      <c r="Y184" s="1">
        <f t="shared" si="11"/>
        <v>1.01888831407002</v>
      </c>
    </row>
    <row r="185" s="1" customFormat="1" spans="1:25">
      <c r="A185" s="2" t="s">
        <v>19</v>
      </c>
      <c r="B185" s="2">
        <v>4</v>
      </c>
      <c r="C185" s="2">
        <v>2017</v>
      </c>
      <c r="D185" s="7">
        <v>1812</v>
      </c>
      <c r="E185" s="7">
        <v>34532.1144858667</v>
      </c>
      <c r="F185" s="7">
        <v>19581</v>
      </c>
      <c r="G185" s="7">
        <v>15528.42</v>
      </c>
      <c r="H185" s="7">
        <v>24040.958975</v>
      </c>
      <c r="I185" s="7">
        <v>29.602</v>
      </c>
      <c r="J185" s="7">
        <v>43475</v>
      </c>
      <c r="L185" s="1">
        <v>4</v>
      </c>
      <c r="M185" s="1">
        <v>2017</v>
      </c>
      <c r="N185" s="9">
        <v>1.12685018159596</v>
      </c>
      <c r="O185" s="9">
        <v>1.1362771128706</v>
      </c>
      <c r="P185" s="9">
        <v>1.18018837599675</v>
      </c>
      <c r="Q185" s="9">
        <v>1.18770204336343</v>
      </c>
      <c r="T185" s="1">
        <v>4</v>
      </c>
      <c r="U185" s="1">
        <v>2017</v>
      </c>
      <c r="V185" s="1">
        <f t="shared" si="8"/>
        <v>0.917058030927516</v>
      </c>
      <c r="W185" s="1">
        <f t="shared" si="9"/>
        <v>0.959122469681699</v>
      </c>
      <c r="X185" s="1">
        <f t="shared" si="10"/>
        <v>0.927945619935054</v>
      </c>
      <c r="Y185" s="1">
        <f t="shared" si="11"/>
        <v>1.01034205963239</v>
      </c>
    </row>
    <row r="186" s="1" customFormat="1" spans="1:25">
      <c r="A186" s="2" t="s">
        <v>20</v>
      </c>
      <c r="B186" s="2">
        <v>5</v>
      </c>
      <c r="C186" s="2">
        <v>2017</v>
      </c>
      <c r="D186" s="7">
        <v>1317</v>
      </c>
      <c r="E186" s="7">
        <v>54076.299114551</v>
      </c>
      <c r="F186" s="7">
        <v>19763</v>
      </c>
      <c r="G186" s="7">
        <v>16096.21</v>
      </c>
      <c r="H186" s="7">
        <v>21600</v>
      </c>
      <c r="I186" s="7">
        <v>32.2239</v>
      </c>
      <c r="J186" s="7">
        <v>34841</v>
      </c>
      <c r="L186" s="1">
        <v>5</v>
      </c>
      <c r="M186" s="1">
        <v>2017</v>
      </c>
      <c r="N186" s="9">
        <v>0.927607213743576</v>
      </c>
      <c r="O186" s="9">
        <v>0.913947117612622</v>
      </c>
      <c r="P186" s="9">
        <v>0.877468575203998</v>
      </c>
      <c r="Q186" s="9">
        <v>0.87929154848062</v>
      </c>
      <c r="T186" s="1">
        <v>5</v>
      </c>
      <c r="U186" s="1">
        <v>2017</v>
      </c>
      <c r="V186" s="1">
        <f t="shared" si="8"/>
        <v>0.844104247607743</v>
      </c>
      <c r="W186" s="1">
        <f t="shared" si="9"/>
        <v>0.894934119824774</v>
      </c>
      <c r="X186" s="1">
        <f t="shared" si="10"/>
        <v>0.797191362328878</v>
      </c>
      <c r="Y186" s="1">
        <f t="shared" si="11"/>
        <v>0.895962370575418</v>
      </c>
    </row>
    <row r="187" s="1" customFormat="1" spans="1:25">
      <c r="A187" s="2" t="s">
        <v>21</v>
      </c>
      <c r="B187" s="2">
        <v>6</v>
      </c>
      <c r="C187" s="2">
        <v>2017</v>
      </c>
      <c r="D187" s="7">
        <v>2284.7</v>
      </c>
      <c r="E187" s="7">
        <v>61459.3854816713</v>
      </c>
      <c r="F187" s="7">
        <v>21365</v>
      </c>
      <c r="G187" s="7">
        <v>23409.24</v>
      </c>
      <c r="H187" s="7">
        <v>51284.110889</v>
      </c>
      <c r="I187" s="7">
        <v>32.0693</v>
      </c>
      <c r="J187" s="7">
        <v>23262</v>
      </c>
      <c r="L187" s="1">
        <v>6</v>
      </c>
      <c r="M187" s="1">
        <v>2017</v>
      </c>
      <c r="N187" s="9">
        <v>1.03788030472868</v>
      </c>
      <c r="O187" s="9">
        <v>1.04101092312142</v>
      </c>
      <c r="P187" s="9">
        <v>1.0499627204341</v>
      </c>
      <c r="Q187" s="9">
        <v>1.0521015697267</v>
      </c>
      <c r="T187" s="1">
        <v>6</v>
      </c>
      <c r="U187" s="1">
        <v>2017</v>
      </c>
      <c r="V187" s="1">
        <f t="shared" si="8"/>
        <v>0.855777450779519</v>
      </c>
      <c r="W187" s="1">
        <f t="shared" si="9"/>
        <v>0.97939786228775</v>
      </c>
      <c r="X187" s="1">
        <f t="shared" si="10"/>
        <v>0.835357059666394</v>
      </c>
      <c r="Y187" s="1">
        <f t="shared" si="11"/>
        <v>0.911218440882891</v>
      </c>
    </row>
    <row r="188" s="1" customFormat="1" spans="1:25">
      <c r="A188" s="2" t="s">
        <v>22</v>
      </c>
      <c r="B188" s="2">
        <v>7</v>
      </c>
      <c r="C188" s="2">
        <v>2017</v>
      </c>
      <c r="D188" s="7">
        <v>1339</v>
      </c>
      <c r="E188" s="7">
        <v>47176.5647349615</v>
      </c>
      <c r="F188" s="7">
        <v>6881</v>
      </c>
      <c r="G188" s="7">
        <v>14944.53</v>
      </c>
      <c r="H188" s="7">
        <v>20050</v>
      </c>
      <c r="I188" s="7">
        <v>10.3156</v>
      </c>
      <c r="J188" s="7">
        <v>6222</v>
      </c>
      <c r="L188" s="1">
        <v>7</v>
      </c>
      <c r="M188" s="1">
        <v>2017</v>
      </c>
      <c r="N188" s="9">
        <v>1.00056803559009</v>
      </c>
      <c r="O188" s="9">
        <v>0.999581725373971</v>
      </c>
      <c r="P188" s="9">
        <v>0.996490754313381</v>
      </c>
      <c r="Q188" s="9">
        <v>1.00103214348444</v>
      </c>
      <c r="T188" s="1">
        <v>7</v>
      </c>
      <c r="U188" s="1">
        <v>2017</v>
      </c>
      <c r="V188" s="1">
        <f t="shared" si="8"/>
        <v>1.17381650852399</v>
      </c>
      <c r="W188" s="1">
        <f t="shared" si="9"/>
        <v>1.28634512598038</v>
      </c>
      <c r="X188" s="1">
        <f t="shared" si="10"/>
        <v>1.18264257128842</v>
      </c>
      <c r="Y188" s="1">
        <f t="shared" si="11"/>
        <v>1.35526876966055</v>
      </c>
    </row>
    <row r="189" s="1" customFormat="1" spans="1:25">
      <c r="A189" s="2" t="s">
        <v>23</v>
      </c>
      <c r="B189" s="2">
        <v>8</v>
      </c>
      <c r="C189" s="2">
        <v>2017</v>
      </c>
      <c r="D189" s="7">
        <v>1699</v>
      </c>
      <c r="E189" s="7">
        <v>39438.2370071893</v>
      </c>
      <c r="F189" s="7">
        <v>11258</v>
      </c>
      <c r="G189" s="7">
        <v>15902.68</v>
      </c>
      <c r="H189" s="7">
        <v>18058.968529</v>
      </c>
      <c r="I189" s="7">
        <v>13.2421</v>
      </c>
      <c r="J189" s="7">
        <v>8754</v>
      </c>
      <c r="L189" s="1">
        <v>8</v>
      </c>
      <c r="M189" s="1">
        <v>2017</v>
      </c>
      <c r="N189" s="9">
        <v>1.02226766960717</v>
      </c>
      <c r="O189" s="9">
        <v>1.02199769319029</v>
      </c>
      <c r="P189" s="9">
        <v>1.00976229234952</v>
      </c>
      <c r="Q189" s="9">
        <v>1.02283734245688</v>
      </c>
      <c r="T189" s="1">
        <v>8</v>
      </c>
      <c r="U189" s="1">
        <v>2017</v>
      </c>
      <c r="V189" s="1">
        <f t="shared" si="8"/>
        <v>0.925312515951113</v>
      </c>
      <c r="W189" s="1">
        <f t="shared" si="9"/>
        <v>0.986795335327198</v>
      </c>
      <c r="X189" s="1">
        <f t="shared" si="10"/>
        <v>0.881027515727711</v>
      </c>
      <c r="Y189" s="1">
        <f t="shared" si="11"/>
        <v>1.00311697128106</v>
      </c>
    </row>
    <row r="190" s="1" customFormat="1" spans="1:25">
      <c r="A190" s="2" t="s">
        <v>24</v>
      </c>
      <c r="B190" s="2">
        <v>9</v>
      </c>
      <c r="C190" s="2">
        <v>2017</v>
      </c>
      <c r="D190" s="7">
        <v>1372.65</v>
      </c>
      <c r="E190" s="7">
        <v>47032.4566178106</v>
      </c>
      <c r="F190" s="7">
        <v>11382</v>
      </c>
      <c r="G190" s="7">
        <v>30632.99</v>
      </c>
      <c r="H190" s="7">
        <v>31600</v>
      </c>
      <c r="I190" s="7">
        <v>1.3524</v>
      </c>
      <c r="J190" s="7">
        <v>1789</v>
      </c>
      <c r="L190" s="1">
        <v>9</v>
      </c>
      <c r="M190" s="1">
        <v>2017</v>
      </c>
      <c r="N190" s="9">
        <v>1.04148370507312</v>
      </c>
      <c r="O190" s="9">
        <v>1.01535465237363</v>
      </c>
      <c r="P190" s="9">
        <v>1.05380112646703</v>
      </c>
      <c r="Q190" s="9">
        <v>1.28900242580355</v>
      </c>
      <c r="T190" s="1">
        <v>9</v>
      </c>
      <c r="U190" s="1">
        <v>2017</v>
      </c>
      <c r="V190" s="1">
        <f t="shared" si="8"/>
        <v>1.1209383958819</v>
      </c>
      <c r="W190" s="1">
        <f t="shared" si="9"/>
        <v>1.71330896097649</v>
      </c>
      <c r="X190" s="1">
        <f t="shared" si="10"/>
        <v>1.2315634088008</v>
      </c>
      <c r="Y190" s="1">
        <f t="shared" si="11"/>
        <v>2.53854863514118</v>
      </c>
    </row>
    <row r="191" s="1" customFormat="1" spans="1:25">
      <c r="A191" s="2" t="s">
        <v>25</v>
      </c>
      <c r="B191" s="2">
        <v>10</v>
      </c>
      <c r="C191" s="2">
        <v>2017</v>
      </c>
      <c r="D191" s="7">
        <v>4872.8</v>
      </c>
      <c r="E191" s="7">
        <v>130284.515292313</v>
      </c>
      <c r="F191" s="7">
        <v>31602</v>
      </c>
      <c r="G191" s="7">
        <v>85869.76</v>
      </c>
      <c r="H191" s="7">
        <v>165213</v>
      </c>
      <c r="I191" s="7">
        <v>36.9622</v>
      </c>
      <c r="J191" s="7">
        <v>13610</v>
      </c>
      <c r="L191" s="1">
        <v>10</v>
      </c>
      <c r="M191" s="1">
        <v>2017</v>
      </c>
      <c r="N191" s="9">
        <v>1.12665150936614</v>
      </c>
      <c r="O191" s="9">
        <v>1.18115728750609</v>
      </c>
      <c r="P191" s="9">
        <v>1.06413052441715</v>
      </c>
      <c r="Q191" s="9">
        <v>2.11257775314712</v>
      </c>
      <c r="T191" s="1">
        <v>10</v>
      </c>
      <c r="U191" s="1">
        <v>2017</v>
      </c>
      <c r="V191" s="1">
        <f t="shared" si="8"/>
        <v>1.64339521717092</v>
      </c>
      <c r="W191" s="1">
        <f t="shared" si="9"/>
        <v>2.09620165601028</v>
      </c>
      <c r="X191" s="1">
        <f t="shared" si="10"/>
        <v>1.22868786861647</v>
      </c>
      <c r="Y191" s="1">
        <f t="shared" si="11"/>
        <v>2.12188928156183</v>
      </c>
    </row>
    <row r="192" s="1" customFormat="1" spans="1:25">
      <c r="A192" s="2" t="s">
        <v>26</v>
      </c>
      <c r="B192" s="2">
        <v>11</v>
      </c>
      <c r="C192" s="2">
        <v>2017</v>
      </c>
      <c r="D192" s="7">
        <v>3613</v>
      </c>
      <c r="E192" s="7">
        <v>85428.1682087957</v>
      </c>
      <c r="F192" s="7">
        <v>21030</v>
      </c>
      <c r="G192" s="7">
        <v>51768.26</v>
      </c>
      <c r="H192" s="7">
        <v>122917</v>
      </c>
      <c r="I192" s="7">
        <v>10.5135</v>
      </c>
      <c r="J192" s="7">
        <v>5652</v>
      </c>
      <c r="L192" s="1">
        <v>11</v>
      </c>
      <c r="M192" s="1">
        <v>2017</v>
      </c>
      <c r="N192" s="9">
        <v>1.11410634588065</v>
      </c>
      <c r="O192" s="9">
        <v>1.29308385853765</v>
      </c>
      <c r="P192" s="9">
        <v>1.04006547100958</v>
      </c>
      <c r="Q192" s="9">
        <v>1.05102353403836</v>
      </c>
      <c r="T192" s="1">
        <v>11</v>
      </c>
      <c r="U192" s="1">
        <v>2017</v>
      </c>
      <c r="V192" s="1">
        <f t="shared" si="8"/>
        <v>1.1821339805331</v>
      </c>
      <c r="W192" s="1">
        <f t="shared" si="9"/>
        <v>3.46148356469248</v>
      </c>
      <c r="X192" s="1">
        <f t="shared" si="10"/>
        <v>1.12132517208811</v>
      </c>
      <c r="Y192" s="1">
        <f t="shared" si="11"/>
        <v>1.22728937382913</v>
      </c>
    </row>
    <row r="193" s="1" customFormat="1" spans="1:25">
      <c r="A193" s="2" t="s">
        <v>27</v>
      </c>
      <c r="B193" s="2">
        <v>12</v>
      </c>
      <c r="C193" s="2">
        <v>2017</v>
      </c>
      <c r="D193" s="7">
        <v>4377.9</v>
      </c>
      <c r="E193" s="7">
        <v>46741.2657446418</v>
      </c>
      <c r="F193" s="7">
        <v>13019</v>
      </c>
      <c r="G193" s="7">
        <v>27018</v>
      </c>
      <c r="H193" s="7">
        <v>56100</v>
      </c>
      <c r="I193" s="7">
        <v>18.2149</v>
      </c>
      <c r="J193" s="7">
        <v>14068</v>
      </c>
      <c r="L193" s="1">
        <v>12</v>
      </c>
      <c r="M193" s="1">
        <v>2017</v>
      </c>
      <c r="N193" s="9">
        <v>1.02023026729218</v>
      </c>
      <c r="O193" s="9">
        <v>1.04557404397026</v>
      </c>
      <c r="P193" s="9">
        <v>1.03535509518201</v>
      </c>
      <c r="Q193" s="9">
        <v>1.04271248247617</v>
      </c>
      <c r="T193" s="1">
        <v>12</v>
      </c>
      <c r="U193" s="1">
        <v>2017</v>
      </c>
      <c r="V193" s="1">
        <f t="shared" si="8"/>
        <v>0.949424824316418</v>
      </c>
      <c r="W193" s="1">
        <f t="shared" si="9"/>
        <v>0.780603003948908</v>
      </c>
      <c r="X193" s="1">
        <f t="shared" si="10"/>
        <v>1.01864668432534</v>
      </c>
      <c r="Y193" s="1">
        <f t="shared" si="11"/>
        <v>0.944276239353843</v>
      </c>
    </row>
    <row r="194" s="1" customFormat="1" spans="1:25">
      <c r="A194" s="2" t="s">
        <v>28</v>
      </c>
      <c r="B194" s="2">
        <v>13</v>
      </c>
      <c r="C194" s="2">
        <v>2017</v>
      </c>
      <c r="D194" s="7">
        <v>2236</v>
      </c>
      <c r="E194" s="7">
        <v>64521.0494692423</v>
      </c>
      <c r="F194" s="7">
        <v>12555</v>
      </c>
      <c r="G194" s="7">
        <v>32182.09</v>
      </c>
      <c r="H194" s="7">
        <v>69900</v>
      </c>
      <c r="I194" s="7">
        <v>11.332</v>
      </c>
      <c r="J194" s="7">
        <v>7132</v>
      </c>
      <c r="L194" s="1">
        <v>13</v>
      </c>
      <c r="M194" s="1">
        <v>2017</v>
      </c>
      <c r="N194" s="9">
        <v>1.0344644994907</v>
      </c>
      <c r="O194" s="9">
        <v>1.16964804115643</v>
      </c>
      <c r="P194" s="9">
        <v>1.05275465717945</v>
      </c>
      <c r="Q194" s="9">
        <v>1.06688778386608</v>
      </c>
      <c r="T194" s="1">
        <v>13</v>
      </c>
      <c r="U194" s="1">
        <v>2017</v>
      </c>
      <c r="V194" s="1">
        <f t="shared" si="8"/>
        <v>1.0527600506256</v>
      </c>
      <c r="W194" s="1">
        <f t="shared" si="9"/>
        <v>2.02007409918848</v>
      </c>
      <c r="X194" s="1">
        <f t="shared" si="10"/>
        <v>1.16694347975989</v>
      </c>
      <c r="Y194" s="1">
        <f t="shared" si="11"/>
        <v>1.31877584404769</v>
      </c>
    </row>
    <row r="195" s="1" customFormat="1" spans="1:25">
      <c r="A195" s="2" t="s">
        <v>29</v>
      </c>
      <c r="B195" s="2">
        <v>14</v>
      </c>
      <c r="C195" s="2">
        <v>2017</v>
      </c>
      <c r="D195" s="7">
        <v>2317</v>
      </c>
      <c r="E195" s="7">
        <v>33236.2108321538</v>
      </c>
      <c r="F195" s="7">
        <v>8972</v>
      </c>
      <c r="G195" s="7">
        <v>20006.31</v>
      </c>
      <c r="H195" s="7">
        <v>41206.557856</v>
      </c>
      <c r="I195" s="7">
        <v>29.9639</v>
      </c>
      <c r="J195" s="7">
        <v>12405</v>
      </c>
      <c r="L195" s="1">
        <v>14</v>
      </c>
      <c r="M195" s="1">
        <v>2017</v>
      </c>
      <c r="N195" s="9">
        <v>1.0212639309031</v>
      </c>
      <c r="O195" s="9">
        <v>1.02583958781024</v>
      </c>
      <c r="P195" s="9">
        <v>1.02480507323654</v>
      </c>
      <c r="Q195" s="9">
        <v>1.03795882652698</v>
      </c>
      <c r="T195" s="1">
        <v>14</v>
      </c>
      <c r="U195" s="1">
        <v>2017</v>
      </c>
      <c r="V195" s="1">
        <f t="shared" si="8"/>
        <v>0.998469695047035</v>
      </c>
      <c r="W195" s="1">
        <f t="shared" si="9"/>
        <v>0.233621132889078</v>
      </c>
      <c r="X195" s="1">
        <f t="shared" si="10"/>
        <v>1.0840154113604</v>
      </c>
      <c r="Y195" s="1">
        <f t="shared" si="11"/>
        <v>1.03508338261821</v>
      </c>
    </row>
    <row r="196" s="1" customFormat="1" spans="1:25">
      <c r="A196" s="2" t="s">
        <v>30</v>
      </c>
      <c r="B196" s="2">
        <v>15</v>
      </c>
      <c r="C196" s="2">
        <v>2017</v>
      </c>
      <c r="D196" s="7">
        <v>5693</v>
      </c>
      <c r="E196" s="7">
        <v>139618.683412137</v>
      </c>
      <c r="F196" s="7">
        <v>40098</v>
      </c>
      <c r="G196" s="7">
        <v>72634.15</v>
      </c>
      <c r="H196" s="7">
        <v>145686</v>
      </c>
      <c r="I196" s="7">
        <v>36.2859</v>
      </c>
      <c r="J196" s="7">
        <v>28484</v>
      </c>
      <c r="L196" s="1">
        <v>15</v>
      </c>
      <c r="M196" s="1">
        <v>2017</v>
      </c>
      <c r="N196" s="9">
        <v>1.07123173797999</v>
      </c>
      <c r="O196" s="9">
        <v>1.14204448815853</v>
      </c>
      <c r="P196" s="9">
        <v>1.03536073331624</v>
      </c>
      <c r="Q196" s="9">
        <v>1.04494678901879</v>
      </c>
      <c r="T196" s="1">
        <v>15</v>
      </c>
      <c r="U196" s="1">
        <v>2017</v>
      </c>
      <c r="V196" s="1">
        <f t="shared" si="8"/>
        <v>1.4034150739897</v>
      </c>
      <c r="W196" s="1">
        <f t="shared" si="9"/>
        <v>2.33425981881061</v>
      </c>
      <c r="X196" s="1">
        <f t="shared" si="10"/>
        <v>1.12081295033476</v>
      </c>
      <c r="Y196" s="1">
        <f t="shared" si="11"/>
        <v>1.24839038076407</v>
      </c>
    </row>
    <row r="197" s="1" customFormat="1" spans="1:25">
      <c r="A197" s="2" t="s">
        <v>31</v>
      </c>
      <c r="B197" s="2">
        <v>16</v>
      </c>
      <c r="C197" s="2">
        <v>2017</v>
      </c>
      <c r="D197" s="7">
        <v>5029</v>
      </c>
      <c r="E197" s="7">
        <v>112652.826098958</v>
      </c>
      <c r="F197" s="7">
        <v>22162</v>
      </c>
      <c r="G197" s="7">
        <v>44552.83</v>
      </c>
      <c r="H197" s="7">
        <v>58700</v>
      </c>
      <c r="I197" s="7">
        <v>13.065</v>
      </c>
      <c r="J197" s="7">
        <v>17579</v>
      </c>
      <c r="L197" s="1">
        <v>16</v>
      </c>
      <c r="M197" s="1">
        <v>2017</v>
      </c>
      <c r="N197" s="9">
        <v>1.04971160886794</v>
      </c>
      <c r="O197" s="9">
        <v>1.23430634361942</v>
      </c>
      <c r="P197" s="9">
        <v>1.06711145147799</v>
      </c>
      <c r="Q197" s="9">
        <v>1.08464183642153</v>
      </c>
      <c r="T197" s="1">
        <v>16</v>
      </c>
      <c r="U197" s="1">
        <v>2017</v>
      </c>
      <c r="V197" s="1">
        <f t="shared" si="8"/>
        <v>1.02126129020601</v>
      </c>
      <c r="W197" s="1">
        <f t="shared" si="9"/>
        <v>1.95503030150845</v>
      </c>
      <c r="X197" s="1">
        <f t="shared" si="10"/>
        <v>1.0928546087909</v>
      </c>
      <c r="Y197" s="1">
        <f t="shared" si="11"/>
        <v>1.25810809091911</v>
      </c>
    </row>
    <row r="198" s="1" customFormat="1" spans="1:25">
      <c r="A198" s="2" t="s">
        <v>32</v>
      </c>
      <c r="B198" s="2">
        <v>17</v>
      </c>
      <c r="C198" s="2">
        <v>2017</v>
      </c>
      <c r="D198" s="7">
        <v>3379</v>
      </c>
      <c r="E198" s="7">
        <v>65973.7004733533</v>
      </c>
      <c r="F198" s="7">
        <v>16180</v>
      </c>
      <c r="G198" s="7">
        <v>35478.09</v>
      </c>
      <c r="H198" s="7">
        <v>44158</v>
      </c>
      <c r="I198" s="7">
        <v>10.9009</v>
      </c>
      <c r="J198" s="7">
        <v>10744</v>
      </c>
      <c r="L198" s="1">
        <v>17</v>
      </c>
      <c r="M198" s="1">
        <v>2017</v>
      </c>
      <c r="N198" s="9">
        <v>1.01438442016019</v>
      </c>
      <c r="O198" s="9">
        <v>1.13095824685705</v>
      </c>
      <c r="P198" s="9">
        <v>1.02684058239429</v>
      </c>
      <c r="Q198" s="9">
        <v>1.04092502703062</v>
      </c>
      <c r="T198" s="1">
        <v>17</v>
      </c>
      <c r="U198" s="1">
        <v>2017</v>
      </c>
      <c r="V198" s="1">
        <f t="shared" si="8"/>
        <v>1.06095774891723</v>
      </c>
      <c r="W198" s="1">
        <f t="shared" si="9"/>
        <v>2.13053801170766</v>
      </c>
      <c r="X198" s="1">
        <f t="shared" si="10"/>
        <v>1.14248399416264</v>
      </c>
      <c r="Y198" s="1">
        <f t="shared" si="11"/>
        <v>1.32869790606655</v>
      </c>
    </row>
    <row r="199" s="1" customFormat="1" spans="1:25">
      <c r="A199" s="2" t="s">
        <v>33</v>
      </c>
      <c r="B199" s="2">
        <v>18</v>
      </c>
      <c r="C199" s="2">
        <v>2017</v>
      </c>
      <c r="D199" s="7">
        <v>3817.22</v>
      </c>
      <c r="E199" s="7">
        <v>56864.8085097207</v>
      </c>
      <c r="F199" s="7">
        <v>15200</v>
      </c>
      <c r="G199" s="7">
        <v>33902.96</v>
      </c>
      <c r="H199" s="7">
        <v>34773</v>
      </c>
      <c r="I199" s="7">
        <v>17.4714</v>
      </c>
      <c r="J199" s="7">
        <v>6016</v>
      </c>
      <c r="L199" s="1">
        <v>18</v>
      </c>
      <c r="M199" s="1">
        <v>2017</v>
      </c>
      <c r="N199" s="9">
        <v>1.02537543510379</v>
      </c>
      <c r="O199" s="9">
        <v>1.13462541540099</v>
      </c>
      <c r="P199" s="9">
        <v>1.03421586702744</v>
      </c>
      <c r="Q199" s="9">
        <v>1.05115543297109</v>
      </c>
      <c r="T199" s="1">
        <v>18</v>
      </c>
      <c r="U199" s="1">
        <v>2017</v>
      </c>
      <c r="V199" s="1">
        <f t="shared" si="8"/>
        <v>1.058359576311</v>
      </c>
      <c r="W199" s="1">
        <f t="shared" si="9"/>
        <v>1.4230568760692</v>
      </c>
      <c r="X199" s="1">
        <f t="shared" si="10"/>
        <v>1.12111612268297</v>
      </c>
      <c r="Y199" s="1">
        <f t="shared" si="11"/>
        <v>1.03080119276879</v>
      </c>
    </row>
    <row r="200" s="1" customFormat="1" spans="1:25">
      <c r="A200" s="2" t="s">
        <v>34</v>
      </c>
      <c r="B200" s="2">
        <v>19</v>
      </c>
      <c r="C200" s="2">
        <v>2017</v>
      </c>
      <c r="D200" s="7">
        <v>6858</v>
      </c>
      <c r="E200" s="7">
        <v>134951.929345932</v>
      </c>
      <c r="F200" s="7">
        <v>32309</v>
      </c>
      <c r="G200" s="7">
        <v>89705.23</v>
      </c>
      <c r="H200" s="7">
        <v>134000</v>
      </c>
      <c r="I200" s="7">
        <v>17.9442</v>
      </c>
      <c r="J200" s="7">
        <v>8214</v>
      </c>
      <c r="L200" s="1">
        <v>19</v>
      </c>
      <c r="M200" s="1">
        <v>2017</v>
      </c>
      <c r="N200" s="9">
        <v>1.12310668573982</v>
      </c>
      <c r="O200" s="9">
        <v>1.03404646367985</v>
      </c>
      <c r="P200" s="9">
        <v>1.0371878682039</v>
      </c>
      <c r="Q200" s="9">
        <v>0.999058984946835</v>
      </c>
      <c r="T200" s="1">
        <v>19</v>
      </c>
      <c r="U200" s="1">
        <v>2017</v>
      </c>
      <c r="V200" s="1">
        <f t="shared" si="8"/>
        <v>0.481196879983133</v>
      </c>
      <c r="W200" s="1">
        <f t="shared" si="9"/>
        <v>1.12559109421027</v>
      </c>
      <c r="X200" s="1">
        <f t="shared" si="10"/>
        <v>1.07213804220998</v>
      </c>
      <c r="Y200" s="1">
        <f t="shared" si="11"/>
        <v>0.722312040377907</v>
      </c>
    </row>
    <row r="201" s="1" customFormat="1" spans="1:25">
      <c r="A201" s="2" t="s">
        <v>35</v>
      </c>
      <c r="B201" s="2">
        <v>20</v>
      </c>
      <c r="C201" s="2">
        <v>2017</v>
      </c>
      <c r="D201" s="7">
        <v>2566</v>
      </c>
      <c r="E201" s="7">
        <v>47877.6460903545</v>
      </c>
      <c r="F201" s="7">
        <v>10456</v>
      </c>
      <c r="G201" s="7">
        <v>18523.26</v>
      </c>
      <c r="H201" s="7">
        <v>35949.79307</v>
      </c>
      <c r="I201" s="7">
        <v>10.4066</v>
      </c>
      <c r="J201" s="7">
        <v>9284</v>
      </c>
      <c r="L201" s="1">
        <v>20</v>
      </c>
      <c r="M201" s="1">
        <v>2017</v>
      </c>
      <c r="N201" s="9">
        <v>0.989459842593474</v>
      </c>
      <c r="O201" s="9">
        <v>0.986274647293148</v>
      </c>
      <c r="P201" s="9">
        <v>0.985876873814072</v>
      </c>
      <c r="Q201" s="9">
        <v>0.987707452618496</v>
      </c>
      <c r="T201" s="1">
        <v>20</v>
      </c>
      <c r="U201" s="1">
        <v>2017</v>
      </c>
      <c r="V201" s="1">
        <f t="shared" si="8"/>
        <v>1.00691010839928</v>
      </c>
      <c r="W201" s="1">
        <f t="shared" si="9"/>
        <v>1.10051018453346</v>
      </c>
      <c r="X201" s="1">
        <f t="shared" si="10"/>
        <v>1.04439089639114</v>
      </c>
      <c r="Y201" s="1">
        <f t="shared" si="11"/>
        <v>1.17427923063943</v>
      </c>
    </row>
    <row r="202" s="1" customFormat="1" spans="1:25">
      <c r="A202" s="2" t="s">
        <v>36</v>
      </c>
      <c r="B202" s="2">
        <v>21</v>
      </c>
      <c r="C202" s="2">
        <v>2017</v>
      </c>
      <c r="D202" s="7">
        <v>525.87</v>
      </c>
      <c r="E202" s="7">
        <v>9593.64185307012</v>
      </c>
      <c r="F202" s="7">
        <v>2080</v>
      </c>
      <c r="G202" s="7">
        <v>4462.54</v>
      </c>
      <c r="H202" s="7">
        <v>5978</v>
      </c>
      <c r="I202" s="7">
        <v>0.9654</v>
      </c>
      <c r="J202" s="7">
        <v>474</v>
      </c>
      <c r="L202" s="1">
        <v>21</v>
      </c>
      <c r="M202" s="1">
        <v>2017</v>
      </c>
      <c r="N202" s="9">
        <v>0.853956062835733</v>
      </c>
      <c r="O202" s="9">
        <v>0.840345872588984</v>
      </c>
      <c r="P202" s="9">
        <v>1.02565908667475</v>
      </c>
      <c r="Q202" s="9">
        <v>1.02380666748704</v>
      </c>
      <c r="T202" s="1">
        <v>21</v>
      </c>
      <c r="U202" s="1">
        <v>2017</v>
      </c>
      <c r="V202" s="1">
        <f t="shared" si="8"/>
        <v>0.883365101468572</v>
      </c>
      <c r="W202" s="1">
        <f t="shared" si="9"/>
        <v>0.605168220791417</v>
      </c>
      <c r="X202" s="1">
        <f t="shared" si="10"/>
        <v>0.997007201639077</v>
      </c>
      <c r="Y202" s="1">
        <f t="shared" si="11"/>
        <v>1.1736353071085</v>
      </c>
    </row>
    <row r="203" s="1" customFormat="1" spans="1:25">
      <c r="A203" s="2" t="s">
        <v>37</v>
      </c>
      <c r="B203" s="2">
        <v>22</v>
      </c>
      <c r="C203" s="2">
        <v>2017</v>
      </c>
      <c r="D203" s="7">
        <v>1659.33</v>
      </c>
      <c r="E203" s="7">
        <v>33985.9392416733</v>
      </c>
      <c r="F203" s="7">
        <v>8279</v>
      </c>
      <c r="G203" s="7">
        <v>19424.73</v>
      </c>
      <c r="H203" s="7">
        <v>25874</v>
      </c>
      <c r="I203" s="7">
        <v>10.4932</v>
      </c>
      <c r="J203" s="7">
        <v>2496</v>
      </c>
      <c r="L203" s="1">
        <v>22</v>
      </c>
      <c r="M203" s="1">
        <v>2017</v>
      </c>
      <c r="N203" s="9">
        <v>0.993672973209177</v>
      </c>
      <c r="O203" s="9">
        <v>1.00301910207307</v>
      </c>
      <c r="P203" s="9">
        <v>1.0230511434108</v>
      </c>
      <c r="Q203" s="9">
        <v>1.02889485175727</v>
      </c>
      <c r="T203" s="1">
        <v>22</v>
      </c>
      <c r="U203" s="1">
        <v>2017</v>
      </c>
      <c r="V203" s="1">
        <f t="shared" si="8"/>
        <v>1.14548244415784</v>
      </c>
      <c r="W203" s="1">
        <f t="shared" si="9"/>
        <v>1.30508548088281</v>
      </c>
      <c r="X203" s="1">
        <f t="shared" si="10"/>
        <v>1.27185417285892</v>
      </c>
      <c r="Y203" s="1">
        <f t="shared" si="11"/>
        <v>1.48242510697187</v>
      </c>
    </row>
    <row r="204" s="1" customFormat="1" spans="1:25">
      <c r="A204" s="2" t="s">
        <v>38</v>
      </c>
      <c r="B204" s="2">
        <v>23</v>
      </c>
      <c r="C204" s="2">
        <v>2017</v>
      </c>
      <c r="D204" s="7">
        <v>4667</v>
      </c>
      <c r="E204" s="7">
        <v>60133.8486967863</v>
      </c>
      <c r="F204" s="7">
        <v>19229</v>
      </c>
      <c r="G204" s="7">
        <v>36980.22</v>
      </c>
      <c r="H204" s="7">
        <v>53216</v>
      </c>
      <c r="I204" s="7">
        <v>21.123</v>
      </c>
      <c r="J204" s="7">
        <v>15221</v>
      </c>
      <c r="L204" s="1">
        <v>23</v>
      </c>
      <c r="M204" s="1">
        <v>2017</v>
      </c>
      <c r="N204" s="9">
        <v>1.04123327834319</v>
      </c>
      <c r="O204" s="9">
        <v>1.14853761340408</v>
      </c>
      <c r="P204" s="9">
        <v>1.05967959479842</v>
      </c>
      <c r="Q204" s="9">
        <v>1.06794547987837</v>
      </c>
      <c r="T204" s="1">
        <v>23</v>
      </c>
      <c r="U204" s="1">
        <v>2017</v>
      </c>
      <c r="V204" s="1">
        <f t="shared" si="8"/>
        <v>1.06906409348889</v>
      </c>
      <c r="W204" s="1">
        <f t="shared" si="9"/>
        <v>1.8109675500253</v>
      </c>
      <c r="X204" s="1">
        <f t="shared" si="10"/>
        <v>1.14208910086018</v>
      </c>
      <c r="Y204" s="1">
        <f t="shared" si="11"/>
        <v>1.1241415128794</v>
      </c>
    </row>
    <row r="205" s="1" customFormat="1" spans="1:25">
      <c r="A205" s="2" t="s">
        <v>39</v>
      </c>
      <c r="B205" s="2">
        <v>24</v>
      </c>
      <c r="C205" s="2">
        <v>2017</v>
      </c>
      <c r="D205" s="7">
        <v>1881</v>
      </c>
      <c r="E205" s="7">
        <v>27283.4690962843</v>
      </c>
      <c r="F205" s="7">
        <v>9846</v>
      </c>
      <c r="G205" s="7">
        <v>13540.83</v>
      </c>
      <c r="H205" s="7">
        <v>17380</v>
      </c>
      <c r="I205" s="7">
        <v>29.6704</v>
      </c>
      <c r="J205" s="7">
        <v>10671</v>
      </c>
      <c r="L205" s="1">
        <v>24</v>
      </c>
      <c r="M205" s="1">
        <v>2017</v>
      </c>
      <c r="N205" s="9">
        <v>1.00914355635061</v>
      </c>
      <c r="O205" s="9">
        <v>1.0175495515339</v>
      </c>
      <c r="P205" s="9">
        <v>1.04582105723485</v>
      </c>
      <c r="Q205" s="9">
        <v>1.05655523707257</v>
      </c>
      <c r="T205" s="1">
        <v>24</v>
      </c>
      <c r="U205" s="1">
        <v>2017</v>
      </c>
      <c r="V205" s="1">
        <f t="shared" si="8"/>
        <v>0.992926377306288</v>
      </c>
      <c r="W205" s="1">
        <f t="shared" si="9"/>
        <v>1.10012616385417</v>
      </c>
      <c r="X205" s="1">
        <f t="shared" si="10"/>
        <v>1.14832901752582</v>
      </c>
      <c r="Y205" s="1">
        <f t="shared" si="11"/>
        <v>1.30368145573339</v>
      </c>
    </row>
    <row r="206" s="1" customFormat="1" spans="1:25">
      <c r="A206" s="2" t="s">
        <v>40</v>
      </c>
      <c r="B206" s="2">
        <v>25</v>
      </c>
      <c r="C206" s="2">
        <v>2017</v>
      </c>
      <c r="D206" s="7">
        <v>2831</v>
      </c>
      <c r="E206" s="7">
        <v>45505.4315914133</v>
      </c>
      <c r="F206" s="7">
        <v>11164</v>
      </c>
      <c r="G206" s="7">
        <v>16376.34</v>
      </c>
      <c r="H206" s="7">
        <v>20492</v>
      </c>
      <c r="I206" s="7">
        <v>22.5082</v>
      </c>
      <c r="J206" s="7">
        <v>17115</v>
      </c>
      <c r="L206" s="1">
        <v>25</v>
      </c>
      <c r="M206" s="1">
        <v>2017</v>
      </c>
      <c r="N206" s="9">
        <v>1.04157917226042</v>
      </c>
      <c r="O206" s="9">
        <v>1.04441396137119</v>
      </c>
      <c r="P206" s="9">
        <v>1.0361364479409</v>
      </c>
      <c r="Q206" s="9">
        <v>1.0568773211957</v>
      </c>
      <c r="T206" s="1">
        <v>25</v>
      </c>
      <c r="U206" s="1">
        <v>2017</v>
      </c>
      <c r="V206" s="1">
        <f t="shared" si="8"/>
        <v>0.89907015679075</v>
      </c>
      <c r="W206" s="1">
        <f t="shared" si="9"/>
        <v>0.989825383898806</v>
      </c>
      <c r="X206" s="1">
        <f t="shared" si="10"/>
        <v>0.945701788283667</v>
      </c>
      <c r="Y206" s="1">
        <f t="shared" si="11"/>
        <v>1.08121483814553</v>
      </c>
    </row>
    <row r="207" s="1" customFormat="1" spans="1:25">
      <c r="A207" s="2" t="s">
        <v>41</v>
      </c>
      <c r="B207" s="2">
        <v>26</v>
      </c>
      <c r="C207" s="2">
        <v>2017</v>
      </c>
      <c r="D207" s="7">
        <v>2111</v>
      </c>
      <c r="E207" s="7">
        <v>45792.7593036389</v>
      </c>
      <c r="F207" s="7">
        <v>12549</v>
      </c>
      <c r="G207" s="7">
        <v>21898.81</v>
      </c>
      <c r="H207" s="7">
        <v>30875.523008</v>
      </c>
      <c r="I207" s="7">
        <v>16.6795</v>
      </c>
      <c r="J207" s="7">
        <v>12894</v>
      </c>
      <c r="L207" s="1">
        <v>26</v>
      </c>
      <c r="M207" s="1">
        <v>2017</v>
      </c>
      <c r="N207" s="9">
        <v>1.03826973679206</v>
      </c>
      <c r="O207" s="9">
        <v>1.04613146043523</v>
      </c>
      <c r="P207" s="9">
        <v>1.0665753455721</v>
      </c>
      <c r="Q207" s="9">
        <v>1.07466278423212</v>
      </c>
      <c r="T207" s="1">
        <v>26</v>
      </c>
      <c r="U207" s="1">
        <v>2017</v>
      </c>
      <c r="V207" s="1">
        <f t="shared" si="8"/>
        <v>0.978158972541729</v>
      </c>
      <c r="W207" s="1">
        <f t="shared" si="9"/>
        <v>1.07650703568996</v>
      </c>
      <c r="X207" s="1">
        <f t="shared" si="10"/>
        <v>1.06492420810504</v>
      </c>
      <c r="Y207" s="1">
        <f t="shared" si="11"/>
        <v>1.18777098217015</v>
      </c>
    </row>
    <row r="208" s="1" customFormat="1" spans="1:25">
      <c r="A208" s="2" t="s">
        <v>42</v>
      </c>
      <c r="B208" s="2">
        <v>27</v>
      </c>
      <c r="C208" s="2">
        <v>2017</v>
      </c>
      <c r="D208" s="7">
        <v>1337</v>
      </c>
      <c r="E208" s="7">
        <v>16889.910090312</v>
      </c>
      <c r="F208" s="7">
        <v>7504</v>
      </c>
      <c r="G208" s="7">
        <v>7459.9</v>
      </c>
      <c r="H208" s="7">
        <v>10425.567524</v>
      </c>
      <c r="I208" s="7">
        <v>10.1872</v>
      </c>
      <c r="J208" s="7">
        <v>6094</v>
      </c>
      <c r="L208" s="1">
        <v>27</v>
      </c>
      <c r="M208" s="1">
        <v>2017</v>
      </c>
      <c r="N208" s="9">
        <v>1.02927114845435</v>
      </c>
      <c r="O208" s="9">
        <v>1.0207793584602</v>
      </c>
      <c r="P208" s="9">
        <v>1.01044849789131</v>
      </c>
      <c r="Q208" s="9">
        <v>1.01706672121976</v>
      </c>
      <c r="T208" s="1">
        <v>27</v>
      </c>
      <c r="U208" s="1">
        <v>2017</v>
      </c>
      <c r="V208" s="1">
        <f t="shared" si="8"/>
        <v>0.923477672501791</v>
      </c>
      <c r="W208" s="1">
        <f t="shared" si="9"/>
        <v>0.564635815414919</v>
      </c>
      <c r="X208" s="1">
        <f t="shared" si="10"/>
        <v>0.878032195988116</v>
      </c>
      <c r="Y208" s="1">
        <f t="shared" si="11"/>
        <v>0.96863696474736</v>
      </c>
    </row>
    <row r="209" s="1" customFormat="1" spans="1:25">
      <c r="A209" s="2" t="s">
        <v>43</v>
      </c>
      <c r="B209" s="2">
        <v>28</v>
      </c>
      <c r="C209" s="2">
        <v>2017</v>
      </c>
      <c r="D209" s="7">
        <v>326.97</v>
      </c>
      <c r="E209" s="7">
        <v>11237.158645728</v>
      </c>
      <c r="F209" s="7">
        <v>4193</v>
      </c>
      <c r="G209" s="7">
        <v>2624.83</v>
      </c>
      <c r="H209" s="7">
        <v>8666</v>
      </c>
      <c r="I209" s="7">
        <v>4.611</v>
      </c>
      <c r="J209" s="7">
        <v>16082</v>
      </c>
      <c r="L209" s="1">
        <v>28</v>
      </c>
      <c r="M209" s="1">
        <v>2017</v>
      </c>
      <c r="N209" s="9">
        <v>0.813765736390185</v>
      </c>
      <c r="O209" s="9">
        <v>0.982381822422093</v>
      </c>
      <c r="P209" s="9">
        <v>0.948968080317081</v>
      </c>
      <c r="Q209" s="9">
        <v>0.95826874299038</v>
      </c>
      <c r="T209" s="1">
        <v>28</v>
      </c>
      <c r="U209" s="1">
        <v>2017</v>
      </c>
      <c r="V209" s="1">
        <f t="shared" si="8"/>
        <v>0.742756925693285</v>
      </c>
      <c r="W209" s="1">
        <f t="shared" si="9"/>
        <v>0.833990985652732</v>
      </c>
      <c r="X209" s="1">
        <f t="shared" si="10"/>
        <v>0.755848729210339</v>
      </c>
      <c r="Y209" s="1">
        <f t="shared" si="11"/>
        <v>0.866677906038692</v>
      </c>
    </row>
    <row r="210" s="1" customFormat="1" spans="1:25">
      <c r="A210" s="2" t="s">
        <v>44</v>
      </c>
      <c r="B210" s="2">
        <v>29</v>
      </c>
      <c r="C210" s="2">
        <v>2017</v>
      </c>
      <c r="D210" s="7">
        <v>344</v>
      </c>
      <c r="E210" s="7">
        <v>12417.9675469623</v>
      </c>
      <c r="F210" s="7">
        <v>6461</v>
      </c>
      <c r="G210" s="7">
        <v>3443.56</v>
      </c>
      <c r="H210" s="7">
        <v>10892</v>
      </c>
      <c r="I210" s="7">
        <v>14.4206</v>
      </c>
      <c r="J210" s="7">
        <v>5291</v>
      </c>
      <c r="L210" s="1">
        <v>29</v>
      </c>
      <c r="M210" s="1">
        <v>2017</v>
      </c>
      <c r="N210" s="9">
        <v>0.99292401044636</v>
      </c>
      <c r="O210" s="9">
        <v>0.985360296247683</v>
      </c>
      <c r="P210" s="9">
        <v>1.00629248202773</v>
      </c>
      <c r="Q210" s="9">
        <v>1.01580094712792</v>
      </c>
      <c r="T210" s="1">
        <v>29</v>
      </c>
      <c r="U210" s="1">
        <v>2017</v>
      </c>
      <c r="V210" s="1">
        <f t="shared" si="8"/>
        <v>0.970387310064778</v>
      </c>
      <c r="W210" s="1">
        <f t="shared" si="9"/>
        <v>0.903345378027125</v>
      </c>
      <c r="X210" s="1">
        <f t="shared" si="10"/>
        <v>0.889566605319604</v>
      </c>
      <c r="Y210" s="1">
        <f t="shared" si="11"/>
        <v>1.00403027498015</v>
      </c>
    </row>
    <row r="211" s="1" customFormat="1" spans="1:25">
      <c r="A211" s="2" t="s">
        <v>45</v>
      </c>
      <c r="B211" s="2">
        <v>30</v>
      </c>
      <c r="C211" s="2">
        <v>2017</v>
      </c>
      <c r="D211" s="7">
        <v>1336</v>
      </c>
      <c r="E211" s="7">
        <v>31680.4216199168</v>
      </c>
      <c r="F211" s="7">
        <v>17386</v>
      </c>
      <c r="G211" s="7">
        <v>10881.96</v>
      </c>
      <c r="H211" s="7">
        <v>16000</v>
      </c>
      <c r="I211" s="7">
        <v>29.669</v>
      </c>
      <c r="J211" s="7">
        <v>11794</v>
      </c>
      <c r="L211" s="1">
        <v>30</v>
      </c>
      <c r="M211" s="1">
        <v>2017</v>
      </c>
      <c r="N211" s="9">
        <v>1.00127927735619</v>
      </c>
      <c r="O211" s="9">
        <v>1.00701079409979</v>
      </c>
      <c r="P211" s="9">
        <v>1.03212438837</v>
      </c>
      <c r="Q211" s="9">
        <v>1.04356364980177</v>
      </c>
      <c r="T211" s="1">
        <v>30</v>
      </c>
      <c r="U211" s="1">
        <v>2017</v>
      </c>
      <c r="V211" s="1">
        <f t="shared" si="8"/>
        <v>0.774248131494189</v>
      </c>
      <c r="W211" s="1">
        <f t="shared" si="9"/>
        <v>0.819670407343294</v>
      </c>
      <c r="X211" s="1">
        <f t="shared" si="10"/>
        <v>0.800671732108094</v>
      </c>
      <c r="Y211" s="1">
        <f t="shared" si="11"/>
        <v>0.886768733660292</v>
      </c>
    </row>
    <row r="212" s="1" customFormat="1" spans="1:25">
      <c r="A212" s="2" t="s">
        <v>16</v>
      </c>
      <c r="B212" s="2">
        <v>1</v>
      </c>
      <c r="C212" s="2">
        <v>2018</v>
      </c>
      <c r="D212" s="7">
        <v>1237.8</v>
      </c>
      <c r="E212" s="7">
        <v>45825.3446519643</v>
      </c>
      <c r="F212" s="7">
        <v>7270</v>
      </c>
      <c r="G212" s="7">
        <v>30319.98</v>
      </c>
      <c r="H212" s="7">
        <v>8422</v>
      </c>
      <c r="I212" s="7">
        <v>0.1047</v>
      </c>
      <c r="J212" s="7">
        <v>694</v>
      </c>
      <c r="L212" s="1">
        <v>1</v>
      </c>
      <c r="M212" s="1">
        <v>2018</v>
      </c>
      <c r="N212" s="9">
        <v>1.23868937499048</v>
      </c>
      <c r="O212" s="9">
        <v>1.60265604827067</v>
      </c>
      <c r="P212" s="9">
        <v>1.0954508224012</v>
      </c>
      <c r="Q212" s="9">
        <v>1.18052474727177</v>
      </c>
      <c r="T212" s="1">
        <v>1</v>
      </c>
      <c r="U212" s="1">
        <v>2018</v>
      </c>
      <c r="V212" s="1">
        <f t="shared" si="8"/>
        <v>1.72378365704065</v>
      </c>
      <c r="W212" s="1">
        <f t="shared" si="9"/>
        <v>5.79965289794131</v>
      </c>
      <c r="X212" s="1">
        <f t="shared" si="10"/>
        <v>1.51829329492141</v>
      </c>
      <c r="Y212" s="1">
        <f t="shared" si="11"/>
        <v>2.13459845289567</v>
      </c>
    </row>
    <row r="213" s="1" customFormat="1" spans="1:25">
      <c r="A213" s="2" t="s">
        <v>17</v>
      </c>
      <c r="B213" s="2">
        <v>2</v>
      </c>
      <c r="C213" s="2">
        <v>2018</v>
      </c>
      <c r="D213" s="7">
        <v>896.56</v>
      </c>
      <c r="E213" s="7">
        <v>48058.352915011</v>
      </c>
      <c r="F213" s="7">
        <v>7973</v>
      </c>
      <c r="G213" s="7">
        <v>18809.64</v>
      </c>
      <c r="H213" s="7">
        <v>17729</v>
      </c>
      <c r="I213" s="7">
        <v>1.6609</v>
      </c>
      <c r="J213" s="7">
        <v>1874</v>
      </c>
      <c r="L213" s="1">
        <v>2</v>
      </c>
      <c r="M213" s="1">
        <v>2018</v>
      </c>
      <c r="N213" s="9">
        <v>0.991925673664772</v>
      </c>
      <c r="O213" s="9">
        <v>1.25230443194497</v>
      </c>
      <c r="P213" s="9">
        <v>0.997221970981323</v>
      </c>
      <c r="Q213" s="9">
        <v>0.996229606658434</v>
      </c>
      <c r="T213" s="1">
        <v>2</v>
      </c>
      <c r="U213" s="1">
        <v>2018</v>
      </c>
      <c r="V213" s="1">
        <f t="shared" si="8"/>
        <v>1.02425043221024</v>
      </c>
      <c r="W213" s="1">
        <f t="shared" si="9"/>
        <v>3.03688121083746</v>
      </c>
      <c r="X213" s="1">
        <f t="shared" si="10"/>
        <v>1.13301836869716</v>
      </c>
      <c r="Y213" s="1">
        <f t="shared" si="11"/>
        <v>4.20094882684956</v>
      </c>
    </row>
    <row r="214" s="1" customFormat="1" spans="1:25">
      <c r="A214" s="2" t="s">
        <v>18</v>
      </c>
      <c r="B214" s="2">
        <v>3</v>
      </c>
      <c r="C214" s="2">
        <v>2018</v>
      </c>
      <c r="D214" s="7">
        <v>3739</v>
      </c>
      <c r="E214" s="7">
        <v>84427.8722926009</v>
      </c>
      <c r="F214" s="7">
        <v>32185</v>
      </c>
      <c r="G214" s="7">
        <v>36010.27</v>
      </c>
      <c r="H214" s="7">
        <v>38000</v>
      </c>
      <c r="I214" s="7">
        <v>26.8124</v>
      </c>
      <c r="J214" s="7">
        <v>32100</v>
      </c>
      <c r="L214" s="1">
        <v>3</v>
      </c>
      <c r="M214" s="1">
        <v>2018</v>
      </c>
      <c r="N214" s="9">
        <v>1.03667594685263</v>
      </c>
      <c r="O214" s="9">
        <v>1.13111860100785</v>
      </c>
      <c r="P214" s="9">
        <v>1.04243132955549</v>
      </c>
      <c r="Q214" s="9">
        <v>1.05802460438524</v>
      </c>
      <c r="T214" s="1">
        <v>3</v>
      </c>
      <c r="U214" s="1">
        <v>2018</v>
      </c>
      <c r="V214" s="1">
        <f t="shared" si="8"/>
        <v>0.924151082811815</v>
      </c>
      <c r="W214" s="1">
        <f t="shared" si="9"/>
        <v>1.42266339943005</v>
      </c>
      <c r="X214" s="1">
        <f t="shared" si="10"/>
        <v>0.959423374729021</v>
      </c>
      <c r="Y214" s="1">
        <f t="shared" si="11"/>
        <v>1.07800890540667</v>
      </c>
    </row>
    <row r="215" s="1" customFormat="1" spans="1:25">
      <c r="A215" s="2" t="s">
        <v>19</v>
      </c>
      <c r="B215" s="2">
        <v>4</v>
      </c>
      <c r="C215" s="2">
        <v>2018</v>
      </c>
      <c r="D215" s="7">
        <v>1789</v>
      </c>
      <c r="E215" s="7">
        <v>35124.4941400368</v>
      </c>
      <c r="F215" s="7">
        <v>20199</v>
      </c>
      <c r="G215" s="7">
        <v>16818.11</v>
      </c>
      <c r="H215" s="7">
        <v>21872</v>
      </c>
      <c r="I215" s="7">
        <v>23.9358</v>
      </c>
      <c r="J215" s="7">
        <v>48294</v>
      </c>
      <c r="L215" s="1">
        <v>4</v>
      </c>
      <c r="M215" s="1">
        <v>2018</v>
      </c>
      <c r="N215" s="9">
        <v>1.0553691564565</v>
      </c>
      <c r="O215" s="9">
        <v>1.05719429924831</v>
      </c>
      <c r="P215" s="9">
        <v>1.07371737762571</v>
      </c>
      <c r="Q215" s="9">
        <v>1.07764765222681</v>
      </c>
      <c r="T215" s="1">
        <v>4</v>
      </c>
      <c r="U215" s="1">
        <v>2018</v>
      </c>
      <c r="V215" s="1">
        <f t="shared" si="8"/>
        <v>0.967834760521631</v>
      </c>
      <c r="W215" s="1">
        <f t="shared" si="9"/>
        <v>1.01397880722845</v>
      </c>
      <c r="X215" s="1">
        <f t="shared" si="10"/>
        <v>0.99635133761593</v>
      </c>
      <c r="Y215" s="1">
        <f t="shared" si="11"/>
        <v>1.08879274850885</v>
      </c>
    </row>
    <row r="216" s="1" customFormat="1" spans="1:25">
      <c r="A216" s="2" t="s">
        <v>20</v>
      </c>
      <c r="B216" s="2">
        <v>5</v>
      </c>
      <c r="C216" s="2">
        <v>2018</v>
      </c>
      <c r="D216" s="7">
        <v>1304</v>
      </c>
      <c r="E216" s="7">
        <v>53004.3248381137</v>
      </c>
      <c r="F216" s="7">
        <v>23068</v>
      </c>
      <c r="G216" s="7">
        <v>17289.22</v>
      </c>
      <c r="H216" s="7">
        <v>22400</v>
      </c>
      <c r="I216" s="7">
        <v>30.9433</v>
      </c>
      <c r="J216" s="7">
        <v>36671</v>
      </c>
      <c r="L216" s="1">
        <v>5</v>
      </c>
      <c r="M216" s="1">
        <v>2018</v>
      </c>
      <c r="N216" s="9">
        <v>1.03179822876531</v>
      </c>
      <c r="O216" s="9">
        <v>1.03761134610076</v>
      </c>
      <c r="P216" s="9">
        <v>1.06276683101327</v>
      </c>
      <c r="Q216" s="9">
        <v>1.06232702285308</v>
      </c>
      <c r="T216" s="1">
        <v>5</v>
      </c>
      <c r="U216" s="1">
        <v>2018</v>
      </c>
      <c r="V216" s="1">
        <f t="shared" si="8"/>
        <v>0.870945267574944</v>
      </c>
      <c r="W216" s="1">
        <f t="shared" si="9"/>
        <v>0.928593796742883</v>
      </c>
      <c r="X216" s="1">
        <f t="shared" si="10"/>
        <v>0.847228537853414</v>
      </c>
      <c r="Y216" s="1">
        <f t="shared" si="11"/>
        <v>0.951805037721772</v>
      </c>
    </row>
    <row r="217" s="1" customFormat="1" spans="1:25">
      <c r="A217" s="2" t="s">
        <v>21</v>
      </c>
      <c r="B217" s="2">
        <v>6</v>
      </c>
      <c r="C217" s="2">
        <v>2018</v>
      </c>
      <c r="D217" s="7">
        <v>2260.6</v>
      </c>
      <c r="E217" s="7">
        <v>61577.087989722</v>
      </c>
      <c r="F217" s="7">
        <v>22321</v>
      </c>
      <c r="G217" s="7">
        <v>25315.35</v>
      </c>
      <c r="H217" s="7">
        <v>39554.7</v>
      </c>
      <c r="I217" s="7">
        <v>29.3548</v>
      </c>
      <c r="J217" s="7">
        <v>22717</v>
      </c>
      <c r="L217" s="1">
        <v>6</v>
      </c>
      <c r="M217" s="1">
        <v>2018</v>
      </c>
      <c r="N217" s="9">
        <v>1.06092362474431</v>
      </c>
      <c r="O217" s="9">
        <v>1.06587259006338</v>
      </c>
      <c r="P217" s="9">
        <v>1.07937590494023</v>
      </c>
      <c r="Q217" s="9">
        <v>1.08366333117029</v>
      </c>
      <c r="T217" s="1">
        <v>6</v>
      </c>
      <c r="U217" s="1">
        <v>2018</v>
      </c>
      <c r="V217" s="1">
        <f t="shared" si="8"/>
        <v>0.907914515055453</v>
      </c>
      <c r="W217" s="1">
        <f t="shared" si="9"/>
        <v>1.04391333617918</v>
      </c>
      <c r="X217" s="1">
        <f t="shared" si="10"/>
        <v>0.901664282225623</v>
      </c>
      <c r="Y217" s="1">
        <f t="shared" si="11"/>
        <v>0.987454011070952</v>
      </c>
    </row>
    <row r="218" s="1" customFormat="1" spans="1:25">
      <c r="A218" s="2" t="s">
        <v>22</v>
      </c>
      <c r="B218" s="2">
        <v>7</v>
      </c>
      <c r="C218" s="2">
        <v>2018</v>
      </c>
      <c r="D218" s="7">
        <v>1314.01</v>
      </c>
      <c r="E218" s="7">
        <v>49132.9029443755</v>
      </c>
      <c r="F218" s="7">
        <v>7000</v>
      </c>
      <c r="G218" s="7">
        <v>15074.62</v>
      </c>
      <c r="H218" s="7">
        <v>20049</v>
      </c>
      <c r="I218" s="7">
        <v>8.1387</v>
      </c>
      <c r="J218" s="7">
        <v>6419</v>
      </c>
      <c r="L218" s="1">
        <v>7</v>
      </c>
      <c r="M218" s="1">
        <v>2018</v>
      </c>
      <c r="N218" s="9">
        <v>1.00315200730043</v>
      </c>
      <c r="O218" s="9">
        <v>0.996846511600978</v>
      </c>
      <c r="P218" s="9">
        <v>0.993045111893345</v>
      </c>
      <c r="Q218" s="9">
        <v>0.996042732513212</v>
      </c>
      <c r="T218" s="1">
        <v>7</v>
      </c>
      <c r="U218" s="1">
        <v>2018</v>
      </c>
      <c r="V218" s="1">
        <f t="shared" si="8"/>
        <v>1.17751638672823</v>
      </c>
      <c r="W218" s="1">
        <f t="shared" si="9"/>
        <v>1.28228865154847</v>
      </c>
      <c r="X218" s="1">
        <f t="shared" si="10"/>
        <v>1.17441742453495</v>
      </c>
      <c r="Y218" s="1">
        <f t="shared" si="11"/>
        <v>1.34990560862251</v>
      </c>
    </row>
    <row r="219" s="1" customFormat="1" spans="1:25">
      <c r="A219" s="2" t="s">
        <v>23</v>
      </c>
      <c r="B219" s="2">
        <v>8</v>
      </c>
      <c r="C219" s="2">
        <v>2018</v>
      </c>
      <c r="D219" s="7">
        <v>1635</v>
      </c>
      <c r="E219" s="7">
        <v>41251.7897901847</v>
      </c>
      <c r="F219" s="7">
        <v>11436</v>
      </c>
      <c r="G219" s="7">
        <v>16361.62</v>
      </c>
      <c r="H219" s="7">
        <v>19965.66</v>
      </c>
      <c r="I219" s="7">
        <v>10.3909</v>
      </c>
      <c r="J219" s="7">
        <v>10371</v>
      </c>
      <c r="L219" s="1">
        <v>8</v>
      </c>
      <c r="M219" s="1">
        <v>2018</v>
      </c>
      <c r="N219" s="9">
        <v>1.00927604081979</v>
      </c>
      <c r="O219" s="9">
        <v>1.00551393408248</v>
      </c>
      <c r="P219" s="9">
        <v>1.01006810037198</v>
      </c>
      <c r="Q219" s="9">
        <v>1.01282501976682</v>
      </c>
      <c r="T219" s="1">
        <v>8</v>
      </c>
      <c r="U219" s="1">
        <v>2018</v>
      </c>
      <c r="V219" s="1">
        <f t="shared" si="8"/>
        <v>0.933895752620138</v>
      </c>
      <c r="W219" s="1">
        <f t="shared" si="9"/>
        <v>0.992236459759091</v>
      </c>
      <c r="X219" s="1">
        <f t="shared" si="10"/>
        <v>0.889897789186534</v>
      </c>
      <c r="Y219" s="1">
        <f t="shared" si="11"/>
        <v>1.01598196626618</v>
      </c>
    </row>
    <row r="220" s="1" customFormat="1" spans="1:25">
      <c r="A220" s="2" t="s">
        <v>24</v>
      </c>
      <c r="B220" s="2">
        <v>9</v>
      </c>
      <c r="C220" s="2">
        <v>2018</v>
      </c>
      <c r="D220" s="7">
        <v>1375.66</v>
      </c>
      <c r="E220" s="7">
        <v>50209.4366411156</v>
      </c>
      <c r="F220" s="7">
        <v>11454</v>
      </c>
      <c r="G220" s="7">
        <v>32679.87</v>
      </c>
      <c r="H220" s="7">
        <v>29100</v>
      </c>
      <c r="I220" s="7">
        <v>1.0815</v>
      </c>
      <c r="J220" s="7">
        <v>1792</v>
      </c>
      <c r="L220" s="1">
        <v>9</v>
      </c>
      <c r="M220" s="1">
        <v>2018</v>
      </c>
      <c r="N220" s="9">
        <v>1.02238281711859</v>
      </c>
      <c r="O220" s="9">
        <v>1.35673377779801</v>
      </c>
      <c r="P220" s="9">
        <v>1.04095754025226</v>
      </c>
      <c r="Q220" s="9">
        <v>1.03270817528671</v>
      </c>
      <c r="T220" s="1">
        <v>9</v>
      </c>
      <c r="U220" s="1">
        <v>2018</v>
      </c>
      <c r="V220" s="1">
        <f t="shared" si="8"/>
        <v>1.14602815499813</v>
      </c>
      <c r="W220" s="1">
        <f t="shared" si="9"/>
        <v>2.32450413916081</v>
      </c>
      <c r="X220" s="1">
        <f t="shared" si="10"/>
        <v>1.28200521668997</v>
      </c>
      <c r="Y220" s="1">
        <f t="shared" si="11"/>
        <v>2.62157992887321</v>
      </c>
    </row>
    <row r="221" s="1" customFormat="1" spans="1:25">
      <c r="A221" s="2" t="s">
        <v>25</v>
      </c>
      <c r="B221" s="2">
        <v>10</v>
      </c>
      <c r="C221" s="2">
        <v>2018</v>
      </c>
      <c r="D221" s="7">
        <v>4886.9</v>
      </c>
      <c r="E221" s="7">
        <v>139410.854658805</v>
      </c>
      <c r="F221" s="7">
        <v>31635</v>
      </c>
      <c r="G221" s="7">
        <v>92595.4</v>
      </c>
      <c r="H221" s="7">
        <v>143600</v>
      </c>
      <c r="I221" s="7">
        <v>30.417</v>
      </c>
      <c r="J221" s="7">
        <v>13023</v>
      </c>
      <c r="L221" s="1">
        <v>10</v>
      </c>
      <c r="M221" s="1">
        <v>2018</v>
      </c>
      <c r="N221" s="9">
        <v>1.10706444369408</v>
      </c>
      <c r="O221" s="9">
        <v>1.13589583241106</v>
      </c>
      <c r="P221" s="9">
        <v>1.04772245544697</v>
      </c>
      <c r="Q221" s="9">
        <v>1.45942820826955</v>
      </c>
      <c r="T221" s="1">
        <v>10</v>
      </c>
      <c r="U221" s="1">
        <v>2018</v>
      </c>
      <c r="V221" s="1">
        <f t="shared" si="8"/>
        <v>1.81934441186684</v>
      </c>
      <c r="W221" s="1">
        <f t="shared" si="9"/>
        <v>2.38106672495524</v>
      </c>
      <c r="X221" s="1">
        <f t="shared" si="10"/>
        <v>1.28732387068475</v>
      </c>
      <c r="Y221" s="1">
        <f t="shared" si="11"/>
        <v>3.09674507233615</v>
      </c>
    </row>
    <row r="222" s="1" customFormat="1" spans="1:25">
      <c r="A222" s="2" t="s">
        <v>26</v>
      </c>
      <c r="B222" s="2">
        <v>11</v>
      </c>
      <c r="C222" s="2">
        <v>2018</v>
      </c>
      <c r="D222" s="7">
        <v>3691</v>
      </c>
      <c r="E222" s="7">
        <v>91546.7160571679</v>
      </c>
      <c r="F222" s="7">
        <v>21675</v>
      </c>
      <c r="G222" s="7">
        <v>56197.15</v>
      </c>
      <c r="H222" s="7">
        <v>119936</v>
      </c>
      <c r="I222" s="7">
        <v>8.1952</v>
      </c>
      <c r="J222" s="7">
        <v>5720</v>
      </c>
      <c r="L222" s="1">
        <v>11</v>
      </c>
      <c r="M222" s="1">
        <v>2018</v>
      </c>
      <c r="N222" s="9">
        <v>1.10634691004177</v>
      </c>
      <c r="O222" s="9">
        <v>1.30127846815661</v>
      </c>
      <c r="P222" s="9">
        <v>1.03774928498871</v>
      </c>
      <c r="Q222" s="9">
        <v>1.04468587855459</v>
      </c>
      <c r="T222" s="1">
        <v>11</v>
      </c>
      <c r="U222" s="1">
        <v>2018</v>
      </c>
      <c r="V222" s="1">
        <f t="shared" si="8"/>
        <v>1.30785027661817</v>
      </c>
      <c r="W222" s="1">
        <f t="shared" si="9"/>
        <v>4.50435403061231</v>
      </c>
      <c r="X222" s="1">
        <f t="shared" si="10"/>
        <v>1.16365439557428</v>
      </c>
      <c r="Y222" s="1">
        <f t="shared" si="11"/>
        <v>1.2821318777394</v>
      </c>
    </row>
    <row r="223" s="1" customFormat="1" spans="1:25">
      <c r="A223" s="2" t="s">
        <v>27</v>
      </c>
      <c r="B223" s="2">
        <v>12</v>
      </c>
      <c r="C223" s="2">
        <v>2018</v>
      </c>
      <c r="D223" s="7">
        <v>4385.3</v>
      </c>
      <c r="E223" s="7">
        <v>51160.8319033388</v>
      </c>
      <c r="F223" s="7">
        <v>13295</v>
      </c>
      <c r="G223" s="7">
        <v>30006.82</v>
      </c>
      <c r="H223" s="7">
        <v>42587</v>
      </c>
      <c r="I223" s="7">
        <v>15.5618</v>
      </c>
      <c r="J223" s="7">
        <v>15470</v>
      </c>
      <c r="L223" s="1">
        <v>12</v>
      </c>
      <c r="M223" s="1">
        <v>2018</v>
      </c>
      <c r="N223" s="9">
        <v>1.03840014314806</v>
      </c>
      <c r="O223" s="9">
        <v>1.07251524103137</v>
      </c>
      <c r="P223" s="9">
        <v>1.05375654729967</v>
      </c>
      <c r="Q223" s="9">
        <v>1.06259563065298</v>
      </c>
      <c r="T223" s="1">
        <v>12</v>
      </c>
      <c r="U223" s="1">
        <v>2018</v>
      </c>
      <c r="V223" s="1">
        <f t="shared" si="8"/>
        <v>0.98588287347849</v>
      </c>
      <c r="W223" s="1">
        <f t="shared" si="9"/>
        <v>0.837208618930074</v>
      </c>
      <c r="X223" s="1">
        <f t="shared" si="10"/>
        <v>1.07340561299293</v>
      </c>
      <c r="Y223" s="1">
        <f t="shared" si="11"/>
        <v>1.00338380606682</v>
      </c>
    </row>
    <row r="224" s="1" customFormat="1" spans="1:25">
      <c r="A224" s="2" t="s">
        <v>28</v>
      </c>
      <c r="B224" s="2">
        <v>13</v>
      </c>
      <c r="C224" s="2">
        <v>2018</v>
      </c>
      <c r="D224" s="7">
        <v>2222</v>
      </c>
      <c r="E224" s="7">
        <v>71358.9985380642</v>
      </c>
      <c r="F224" s="7">
        <v>13131</v>
      </c>
      <c r="G224" s="7">
        <v>35804.04</v>
      </c>
      <c r="H224" s="7">
        <v>147007.37</v>
      </c>
      <c r="I224" s="7">
        <v>10.2433</v>
      </c>
      <c r="J224" s="7">
        <v>8254</v>
      </c>
      <c r="L224" s="1">
        <v>13</v>
      </c>
      <c r="M224" s="1">
        <v>2018</v>
      </c>
      <c r="N224" s="9">
        <v>1.02064086251523</v>
      </c>
      <c r="O224" s="9">
        <v>1.12247163276745</v>
      </c>
      <c r="P224" s="9">
        <v>1.04734127166653</v>
      </c>
      <c r="Q224" s="9">
        <v>1.04888330651167</v>
      </c>
      <c r="T224" s="1">
        <v>13</v>
      </c>
      <c r="U224" s="1">
        <v>2018</v>
      </c>
      <c r="V224" s="1">
        <f t="shared" si="8"/>
        <v>1.07448992609209</v>
      </c>
      <c r="W224" s="1">
        <f t="shared" si="9"/>
        <v>2.26747587242733</v>
      </c>
      <c r="X224" s="1">
        <f t="shared" si="10"/>
        <v>1.22218806805469</v>
      </c>
      <c r="Y224" s="1">
        <f t="shared" si="11"/>
        <v>1.38324196785246</v>
      </c>
    </row>
    <row r="225" s="1" customFormat="1" spans="1:25">
      <c r="A225" s="2" t="s">
        <v>29</v>
      </c>
      <c r="B225" s="2">
        <v>14</v>
      </c>
      <c r="C225" s="2">
        <v>2018</v>
      </c>
      <c r="D225" s="7">
        <v>2295</v>
      </c>
      <c r="E225" s="7">
        <v>36224.9629079626</v>
      </c>
      <c r="F225" s="7">
        <v>9286</v>
      </c>
      <c r="G225" s="7">
        <v>21984.78</v>
      </c>
      <c r="H225" s="7">
        <v>39556.67</v>
      </c>
      <c r="I225" s="7">
        <v>23.1065</v>
      </c>
      <c r="J225" s="7">
        <v>12129</v>
      </c>
      <c r="L225" s="1">
        <v>14</v>
      </c>
      <c r="M225" s="1">
        <v>2018</v>
      </c>
      <c r="N225" s="9">
        <v>1.02560988173552</v>
      </c>
      <c r="O225" s="9">
        <v>1.02908410734895</v>
      </c>
      <c r="P225" s="9">
        <v>1.0418933116006</v>
      </c>
      <c r="Q225" s="9">
        <v>1.04857437320257</v>
      </c>
      <c r="T225" s="1">
        <v>14</v>
      </c>
      <c r="U225" s="1">
        <v>2018</v>
      </c>
      <c r="V225" s="1">
        <f t="shared" ref="V225:V288" si="12">V195*N225</f>
        <v>1.02404038585369</v>
      </c>
      <c r="W225" s="1">
        <f t="shared" ref="W225:W288" si="13">W195*O225</f>
        <v>0.240415794997007</v>
      </c>
      <c r="X225" s="1">
        <f t="shared" ref="X225:X288" si="14">X195*P225</f>
        <v>1.12942840676838</v>
      </c>
      <c r="Y225" s="1">
        <f t="shared" ref="Y225:Y288" si="15">Y195*Q225</f>
        <v>1.08536190914129</v>
      </c>
    </row>
    <row r="226" s="1" customFormat="1" spans="1:25">
      <c r="A226" s="2" t="s">
        <v>30</v>
      </c>
      <c r="B226" s="2">
        <v>15</v>
      </c>
      <c r="C226" s="2">
        <v>2018</v>
      </c>
      <c r="D226" s="7">
        <v>5621</v>
      </c>
      <c r="E226" s="7">
        <v>147293.283636006</v>
      </c>
      <c r="F226" s="7">
        <v>40581</v>
      </c>
      <c r="G226" s="7">
        <v>76469.67</v>
      </c>
      <c r="H226" s="7">
        <v>135365.01</v>
      </c>
      <c r="I226" s="7">
        <v>29.5709</v>
      </c>
      <c r="J226" s="7">
        <v>29995</v>
      </c>
      <c r="L226" s="1">
        <v>15</v>
      </c>
      <c r="M226" s="1">
        <v>2018</v>
      </c>
      <c r="N226" s="9">
        <v>1.05531915060916</v>
      </c>
      <c r="O226" s="9">
        <v>1.08314507860606</v>
      </c>
      <c r="P226" s="9">
        <v>1.02740567631778</v>
      </c>
      <c r="Q226" s="9">
        <v>1.03270658062377</v>
      </c>
      <c r="T226" s="1">
        <v>15</v>
      </c>
      <c r="U226" s="1">
        <v>2018</v>
      </c>
      <c r="V226" s="1">
        <f t="shared" si="12"/>
        <v>1.48105080383491</v>
      </c>
      <c r="W226" s="1">
        <f t="shared" si="13"/>
        <v>2.52834203493258</v>
      </c>
      <c r="X226" s="1">
        <f t="shared" si="14"/>
        <v>1.15152958726441</v>
      </c>
      <c r="Y226" s="1">
        <f t="shared" si="15"/>
        <v>1.28922096140247</v>
      </c>
    </row>
    <row r="227" s="1" customFormat="1" spans="1:25">
      <c r="A227" s="2" t="s">
        <v>31</v>
      </c>
      <c r="B227" s="2">
        <v>16</v>
      </c>
      <c r="C227" s="2">
        <v>2018</v>
      </c>
      <c r="D227" s="7">
        <v>4992</v>
      </c>
      <c r="E227" s="7">
        <v>121164.28837249</v>
      </c>
      <c r="F227" s="7">
        <v>22659</v>
      </c>
      <c r="G227" s="7">
        <v>48055.86</v>
      </c>
      <c r="H227" s="7">
        <v>55444</v>
      </c>
      <c r="I227" s="7">
        <v>11.3707</v>
      </c>
      <c r="J227" s="7">
        <v>20362</v>
      </c>
      <c r="L227" s="1">
        <v>16</v>
      </c>
      <c r="M227" s="1">
        <v>2018</v>
      </c>
      <c r="N227" s="9">
        <v>1.08874794384518</v>
      </c>
      <c r="O227" s="9">
        <v>1.12052604317752</v>
      </c>
      <c r="P227" s="9">
        <v>1.04053125176543</v>
      </c>
      <c r="Q227" s="9">
        <v>1.04658453101312</v>
      </c>
      <c r="T227" s="1">
        <v>16</v>
      </c>
      <c r="U227" s="1">
        <v>2018</v>
      </c>
      <c r="V227" s="1">
        <f t="shared" si="12"/>
        <v>1.11189612984047</v>
      </c>
      <c r="W227" s="1">
        <f t="shared" si="13"/>
        <v>2.19066236804142</v>
      </c>
      <c r="X227" s="1">
        <f t="shared" si="14"/>
        <v>1.13714937408282</v>
      </c>
      <c r="Y227" s="1">
        <f t="shared" si="15"/>
        <v>1.31671646629839</v>
      </c>
    </row>
    <row r="228" s="1" customFormat="1" spans="1:25">
      <c r="A228" s="2" t="s">
        <v>32</v>
      </c>
      <c r="B228" s="2">
        <v>17</v>
      </c>
      <c r="C228" s="2">
        <v>2018</v>
      </c>
      <c r="D228" s="7">
        <v>3377</v>
      </c>
      <c r="E228" s="7">
        <v>72428.3353647669</v>
      </c>
      <c r="F228" s="7">
        <v>16682</v>
      </c>
      <c r="G228" s="7">
        <v>39366.55</v>
      </c>
      <c r="H228" s="7">
        <v>45849</v>
      </c>
      <c r="I228" s="7">
        <v>9.7072</v>
      </c>
      <c r="J228" s="7">
        <v>11528</v>
      </c>
      <c r="L228" s="1">
        <v>17</v>
      </c>
      <c r="M228" s="1">
        <v>2018</v>
      </c>
      <c r="N228" s="9">
        <v>1.02795695381291</v>
      </c>
      <c r="O228" s="9">
        <v>1.14899291838816</v>
      </c>
      <c r="P228" s="9">
        <v>1.05150552125155</v>
      </c>
      <c r="Q228" s="9">
        <v>1.05846445301115</v>
      </c>
      <c r="T228" s="1">
        <v>17</v>
      </c>
      <c r="U228" s="1">
        <v>2018</v>
      </c>
      <c r="V228" s="1">
        <f t="shared" si="12"/>
        <v>1.09061889570116</v>
      </c>
      <c r="W228" s="1">
        <f t="shared" si="13"/>
        <v>2.44797308780889</v>
      </c>
      <c r="X228" s="1">
        <f t="shared" si="14"/>
        <v>1.20132822780354</v>
      </c>
      <c r="Y228" s="1">
        <f t="shared" si="15"/>
        <v>1.40637950236179</v>
      </c>
    </row>
    <row r="229" s="1" customFormat="1" spans="1:25">
      <c r="A229" s="2" t="s">
        <v>33</v>
      </c>
      <c r="B229" s="2">
        <v>18</v>
      </c>
      <c r="C229" s="2">
        <v>2018</v>
      </c>
      <c r="D229" s="7">
        <v>3738.58</v>
      </c>
      <c r="E229" s="7">
        <v>61259.5720038318</v>
      </c>
      <c r="F229" s="7">
        <v>15544</v>
      </c>
      <c r="G229" s="7">
        <v>36425.78</v>
      </c>
      <c r="H229" s="7">
        <v>32704.58</v>
      </c>
      <c r="I229" s="7">
        <v>11.8263</v>
      </c>
      <c r="J229" s="7">
        <v>6127</v>
      </c>
      <c r="L229" s="1">
        <v>18</v>
      </c>
      <c r="M229" s="1">
        <v>2018</v>
      </c>
      <c r="N229" s="9">
        <v>1.02239405028445</v>
      </c>
      <c r="O229" s="9">
        <v>1.1170527828832</v>
      </c>
      <c r="P229" s="9">
        <v>1.03323625447449</v>
      </c>
      <c r="Q229" s="9">
        <v>1.0422192095724</v>
      </c>
      <c r="T229" s="1">
        <v>18</v>
      </c>
      <c r="U229" s="1">
        <v>2018</v>
      </c>
      <c r="V229" s="1">
        <f t="shared" si="12"/>
        <v>1.08206053388193</v>
      </c>
      <c r="W229" s="1">
        <f t="shared" si="13"/>
        <v>1.58962964361417</v>
      </c>
      <c r="X229" s="1">
        <f t="shared" si="14"/>
        <v>1.15837782343192</v>
      </c>
      <c r="Y229" s="1">
        <f t="shared" si="15"/>
        <v>1.07432080435378</v>
      </c>
    </row>
    <row r="230" s="1" customFormat="1" spans="1:25">
      <c r="A230" s="2" t="s">
        <v>34</v>
      </c>
      <c r="B230" s="2">
        <v>19</v>
      </c>
      <c r="C230" s="2">
        <v>2018</v>
      </c>
      <c r="D230" s="7">
        <v>6960</v>
      </c>
      <c r="E230" s="7">
        <v>148370.462927209</v>
      </c>
      <c r="F230" s="7">
        <v>33330</v>
      </c>
      <c r="G230" s="7">
        <v>97277.77</v>
      </c>
      <c r="H230" s="7">
        <v>122500</v>
      </c>
      <c r="I230" s="7">
        <v>14.3536</v>
      </c>
      <c r="J230" s="7">
        <v>9112</v>
      </c>
      <c r="L230" s="1">
        <v>19</v>
      </c>
      <c r="M230" s="1">
        <v>2018</v>
      </c>
      <c r="N230" s="9">
        <v>1.0977916398827</v>
      </c>
      <c r="O230" s="9">
        <v>1.0260054387688</v>
      </c>
      <c r="P230" s="9">
        <v>1.02545478850597</v>
      </c>
      <c r="Q230" s="9">
        <v>0.585466483202661</v>
      </c>
      <c r="T230" s="1">
        <v>19</v>
      </c>
      <c r="U230" s="1">
        <v>2018</v>
      </c>
      <c r="V230" s="1">
        <f t="shared" si="12"/>
        <v>0.528253911983122</v>
      </c>
      <c r="W230" s="1">
        <f t="shared" si="13"/>
        <v>1.15486258448947</v>
      </c>
      <c r="X230" s="1">
        <f t="shared" si="14"/>
        <v>1.09942908932364</v>
      </c>
      <c r="Y230" s="1">
        <f t="shared" si="15"/>
        <v>0.422889490054992</v>
      </c>
    </row>
    <row r="231" s="1" customFormat="1" spans="1:25">
      <c r="A231" s="2" t="s">
        <v>35</v>
      </c>
      <c r="B231" s="2">
        <v>20</v>
      </c>
      <c r="C231" s="2">
        <v>2018</v>
      </c>
      <c r="D231" s="7">
        <v>2562</v>
      </c>
      <c r="E231" s="7">
        <v>49533.9682795532</v>
      </c>
      <c r="F231" s="7">
        <v>10823</v>
      </c>
      <c r="G231" s="7">
        <v>20352.51</v>
      </c>
      <c r="H231" s="7">
        <v>34255</v>
      </c>
      <c r="I231" s="7">
        <v>10.0049</v>
      </c>
      <c r="J231" s="7">
        <v>9769</v>
      </c>
      <c r="L231" s="1">
        <v>20</v>
      </c>
      <c r="M231" s="1">
        <v>2018</v>
      </c>
      <c r="N231" s="9">
        <v>1.04522783238544</v>
      </c>
      <c r="O231" s="9">
        <v>1.05084080917566</v>
      </c>
      <c r="P231" s="9">
        <v>1.0714474774498</v>
      </c>
      <c r="Q231" s="9">
        <v>1.07486161032775</v>
      </c>
      <c r="T231" s="1">
        <v>20</v>
      </c>
      <c r="U231" s="1">
        <v>2018</v>
      </c>
      <c r="V231" s="1">
        <f t="shared" si="12"/>
        <v>1.05245047000917</v>
      </c>
      <c r="W231" s="1">
        <f t="shared" si="13"/>
        <v>1.15646101282119</v>
      </c>
      <c r="X231" s="1">
        <f t="shared" si="14"/>
        <v>1.11900999140983</v>
      </c>
      <c r="Y231" s="1">
        <f t="shared" si="15"/>
        <v>1.26218766481953</v>
      </c>
    </row>
    <row r="232" s="1" customFormat="1" spans="1:25">
      <c r="A232" s="2" t="s">
        <v>36</v>
      </c>
      <c r="B232" s="2">
        <v>21</v>
      </c>
      <c r="C232" s="2">
        <v>2018</v>
      </c>
      <c r="D232" s="7">
        <v>535.5</v>
      </c>
      <c r="E232" s="7">
        <v>10062.3371748798</v>
      </c>
      <c r="F232" s="7">
        <v>2170</v>
      </c>
      <c r="G232" s="7">
        <v>4832.05</v>
      </c>
      <c r="H232" s="7">
        <v>5978</v>
      </c>
      <c r="I232" s="7">
        <v>0.8086</v>
      </c>
      <c r="J232" s="7">
        <v>490</v>
      </c>
      <c r="L232" s="1">
        <v>21</v>
      </c>
      <c r="M232" s="1">
        <v>2018</v>
      </c>
      <c r="N232" s="9">
        <v>1.01764372684384</v>
      </c>
      <c r="O232" s="9">
        <v>0.986648733327861</v>
      </c>
      <c r="P232" s="9">
        <v>1.04205057316485</v>
      </c>
      <c r="Q232" s="9">
        <v>1.04683731790251</v>
      </c>
      <c r="T232" s="1">
        <v>21</v>
      </c>
      <c r="U232" s="1">
        <v>2018</v>
      </c>
      <c r="V232" s="1">
        <f t="shared" si="12"/>
        <v>0.898950954022264</v>
      </c>
      <c r="W232" s="1">
        <f t="shared" si="13"/>
        <v>0.597088458494127</v>
      </c>
      <c r="X232" s="1">
        <f t="shared" si="14"/>
        <v>1.03893192591748</v>
      </c>
      <c r="Y232" s="1">
        <f t="shared" si="15"/>
        <v>1.22860523708915</v>
      </c>
    </row>
    <row r="233" s="1" customFormat="1" spans="1:25">
      <c r="A233" s="2" t="s">
        <v>37</v>
      </c>
      <c r="B233" s="2">
        <v>22</v>
      </c>
      <c r="C233" s="2">
        <v>2018</v>
      </c>
      <c r="D233" s="7">
        <v>1663.23</v>
      </c>
      <c r="E233" s="7">
        <v>37112.8136757422</v>
      </c>
      <c r="F233" s="7">
        <v>8557</v>
      </c>
      <c r="G233" s="7">
        <v>20363.19</v>
      </c>
      <c r="H233" s="7">
        <v>20780</v>
      </c>
      <c r="I233" s="7">
        <v>8.58</v>
      </c>
      <c r="J233" s="7">
        <v>2658</v>
      </c>
      <c r="L233" s="1">
        <v>22</v>
      </c>
      <c r="M233" s="1">
        <v>2018</v>
      </c>
      <c r="N233" s="9">
        <v>1.0006400112633</v>
      </c>
      <c r="O233" s="9">
        <v>0.999861201700581</v>
      </c>
      <c r="P233" s="9">
        <v>0.999531918016597</v>
      </c>
      <c r="Q233" s="9">
        <v>1.00816249919889</v>
      </c>
      <c r="T233" s="1">
        <v>22</v>
      </c>
      <c r="U233" s="1">
        <v>2018</v>
      </c>
      <c r="V233" s="1">
        <f t="shared" si="12"/>
        <v>1.14621556582401</v>
      </c>
      <c r="W233" s="1">
        <f t="shared" si="13"/>
        <v>1.30490433723747</v>
      </c>
      <c r="X233" s="1">
        <f t="shared" si="14"/>
        <v>1.27125884083509</v>
      </c>
      <c r="Y233" s="1">
        <f t="shared" si="15"/>
        <v>1.49452540071994</v>
      </c>
    </row>
    <row r="234" s="1" customFormat="1" spans="1:25">
      <c r="A234" s="2" t="s">
        <v>38</v>
      </c>
      <c r="B234" s="2">
        <v>23</v>
      </c>
      <c r="C234" s="2">
        <v>2018</v>
      </c>
      <c r="D234" s="7">
        <v>4690</v>
      </c>
      <c r="E234" s="7">
        <v>65038.5768004473</v>
      </c>
      <c r="F234" s="7">
        <v>19916</v>
      </c>
      <c r="G234" s="7">
        <v>40678.13</v>
      </c>
      <c r="H234" s="7">
        <v>42064.955607</v>
      </c>
      <c r="I234" s="7">
        <v>17.9023</v>
      </c>
      <c r="J234" s="7">
        <v>16708</v>
      </c>
      <c r="L234" s="1">
        <v>23</v>
      </c>
      <c r="M234" s="1">
        <v>2018</v>
      </c>
      <c r="N234" s="9">
        <v>1.03260972633031</v>
      </c>
      <c r="O234" s="9">
        <v>1.13939844858915</v>
      </c>
      <c r="P234" s="9">
        <v>1.04795172451203</v>
      </c>
      <c r="Q234" s="9">
        <v>1.05699946264515</v>
      </c>
      <c r="T234" s="1">
        <v>23</v>
      </c>
      <c r="U234" s="1">
        <v>2018</v>
      </c>
      <c r="V234" s="1">
        <f t="shared" si="12"/>
        <v>1.10392598100712</v>
      </c>
      <c r="W234" s="1">
        <f t="shared" si="13"/>
        <v>2.06341361694411</v>
      </c>
      <c r="X234" s="1">
        <f t="shared" si="14"/>
        <v>1.19685424279282</v>
      </c>
      <c r="Y234" s="1">
        <f t="shared" si="15"/>
        <v>1.18821697505063</v>
      </c>
    </row>
    <row r="235" s="1" customFormat="1" spans="1:25">
      <c r="A235" s="2" t="s">
        <v>39</v>
      </c>
      <c r="B235" s="2">
        <v>24</v>
      </c>
      <c r="C235" s="2">
        <v>2018</v>
      </c>
      <c r="D235" s="7">
        <v>1886</v>
      </c>
      <c r="E235" s="7">
        <v>31207.9065149427</v>
      </c>
      <c r="F235" s="7">
        <v>10036</v>
      </c>
      <c r="G235" s="7">
        <v>14806.45</v>
      </c>
      <c r="H235" s="7">
        <v>18000</v>
      </c>
      <c r="I235" s="7">
        <v>27.5531</v>
      </c>
      <c r="J235" s="7">
        <v>12186</v>
      </c>
      <c r="L235" s="1">
        <v>24</v>
      </c>
      <c r="M235" s="1">
        <v>2018</v>
      </c>
      <c r="N235" s="9">
        <v>0.990119995543643</v>
      </c>
      <c r="O235" s="9">
        <v>0.992629244956192</v>
      </c>
      <c r="P235" s="9">
        <v>1.00746039614059</v>
      </c>
      <c r="Q235" s="9">
        <v>1.01530374839612</v>
      </c>
      <c r="T235" s="1">
        <v>24</v>
      </c>
      <c r="U235" s="1">
        <v>2018</v>
      </c>
      <c r="V235" s="1">
        <f t="shared" si="12"/>
        <v>0.983116260273667</v>
      </c>
      <c r="W235" s="1">
        <f t="shared" si="13"/>
        <v>1.09201740338312</v>
      </c>
      <c r="X235" s="1">
        <f t="shared" si="14"/>
        <v>1.15689600689629</v>
      </c>
      <c r="Y235" s="1">
        <f t="shared" si="15"/>
        <v>1.32363266872062</v>
      </c>
    </row>
    <row r="236" s="1" customFormat="1" spans="1:25">
      <c r="A236" s="2" t="s">
        <v>40</v>
      </c>
      <c r="B236" s="2">
        <v>25</v>
      </c>
      <c r="C236" s="2">
        <v>2018</v>
      </c>
      <c r="D236" s="7">
        <v>2822</v>
      </c>
      <c r="E236" s="7">
        <v>50974.5073950563</v>
      </c>
      <c r="F236" s="7">
        <v>11590</v>
      </c>
      <c r="G236" s="7">
        <v>17881.12</v>
      </c>
      <c r="H236" s="7">
        <v>19700</v>
      </c>
      <c r="I236" s="7">
        <v>21.3307</v>
      </c>
      <c r="J236" s="7">
        <v>19767</v>
      </c>
      <c r="L236" s="1">
        <v>25</v>
      </c>
      <c r="M236" s="1">
        <v>2018</v>
      </c>
      <c r="N236" s="9">
        <v>1.00413561159658</v>
      </c>
      <c r="O236" s="9">
        <v>1.00859173806937</v>
      </c>
      <c r="P236" s="9">
        <v>1.02147212569464</v>
      </c>
      <c r="Q236" s="9">
        <v>1.02914686099526</v>
      </c>
      <c r="T236" s="1">
        <v>25</v>
      </c>
      <c r="U236" s="1">
        <v>2018</v>
      </c>
      <c r="V236" s="1">
        <f t="shared" si="12"/>
        <v>0.902788361757313</v>
      </c>
      <c r="W236" s="1">
        <f t="shared" si="13"/>
        <v>0.998329704331678</v>
      </c>
      <c r="X236" s="1">
        <f t="shared" si="14"/>
        <v>0.96600801595134</v>
      </c>
      <c r="Y236" s="1">
        <f t="shared" si="15"/>
        <v>1.11272885673897</v>
      </c>
    </row>
    <row r="237" s="1" customFormat="1" spans="1:25">
      <c r="A237" s="2" t="s">
        <v>41</v>
      </c>
      <c r="B237" s="2">
        <v>26</v>
      </c>
      <c r="C237" s="2">
        <v>2018</v>
      </c>
      <c r="D237" s="7">
        <v>2112</v>
      </c>
      <c r="E237" s="7">
        <v>49862.0747354417</v>
      </c>
      <c r="F237" s="7">
        <v>12900</v>
      </c>
      <c r="G237" s="7">
        <v>24438.32</v>
      </c>
      <c r="H237" s="7">
        <v>21722.42</v>
      </c>
      <c r="I237" s="7">
        <v>13.003</v>
      </c>
      <c r="J237" s="7">
        <v>13619</v>
      </c>
      <c r="L237" s="1">
        <v>26</v>
      </c>
      <c r="M237" s="1">
        <v>2018</v>
      </c>
      <c r="N237" s="9">
        <v>1.05597780504537</v>
      </c>
      <c r="O237" s="9">
        <v>1.06234330891728</v>
      </c>
      <c r="P237" s="9">
        <v>1.07279043945912</v>
      </c>
      <c r="Q237" s="9">
        <v>1.08640259489891</v>
      </c>
      <c r="T237" s="1">
        <v>26</v>
      </c>
      <c r="U237" s="1">
        <v>2018</v>
      </c>
      <c r="V237" s="1">
        <f t="shared" si="12"/>
        <v>1.03291416481005</v>
      </c>
      <c r="W237" s="1">
        <f t="shared" si="13"/>
        <v>1.14362004636761</v>
      </c>
      <c r="X237" s="1">
        <f t="shared" si="14"/>
        <v>1.14244050920366</v>
      </c>
      <c r="Y237" s="1">
        <f t="shared" si="15"/>
        <v>1.29039747717528</v>
      </c>
    </row>
    <row r="238" s="1" customFormat="1" spans="1:25">
      <c r="A238" s="2" t="s">
        <v>42</v>
      </c>
      <c r="B238" s="2">
        <v>27</v>
      </c>
      <c r="C238" s="2">
        <v>2018</v>
      </c>
      <c r="D238" s="7">
        <v>1337</v>
      </c>
      <c r="E238" s="7">
        <v>17254.56363895</v>
      </c>
      <c r="F238" s="7">
        <v>7823</v>
      </c>
      <c r="G238" s="7">
        <v>8246.07</v>
      </c>
      <c r="H238" s="7">
        <v>10539.38</v>
      </c>
      <c r="I238" s="7">
        <v>9.9365</v>
      </c>
      <c r="J238" s="7">
        <v>6007</v>
      </c>
      <c r="L238" s="1">
        <v>27</v>
      </c>
      <c r="M238" s="1">
        <v>2018</v>
      </c>
      <c r="N238" s="9">
        <v>1.03972041052003</v>
      </c>
      <c r="O238" s="9">
        <v>1.04353358423001</v>
      </c>
      <c r="P238" s="9">
        <v>1.08358113607723</v>
      </c>
      <c r="Q238" s="9">
        <v>1.08600292314129</v>
      </c>
      <c r="T238" s="1">
        <v>27</v>
      </c>
      <c r="U238" s="1">
        <v>2018</v>
      </c>
      <c r="V238" s="1">
        <f t="shared" si="12"/>
        <v>0.960158584759643</v>
      </c>
      <c r="W238" s="1">
        <f t="shared" si="13"/>
        <v>0.589216436244565</v>
      </c>
      <c r="X238" s="1">
        <f t="shared" si="14"/>
        <v>0.951419124441188</v>
      </c>
      <c r="Y238" s="1">
        <f t="shared" si="15"/>
        <v>1.05194257517834</v>
      </c>
    </row>
    <row r="239" s="1" customFormat="1" spans="1:25">
      <c r="A239" s="2" t="s">
        <v>43</v>
      </c>
      <c r="B239" s="2">
        <v>28</v>
      </c>
      <c r="C239" s="2">
        <v>2018</v>
      </c>
      <c r="D239" s="7">
        <v>329.26</v>
      </c>
      <c r="E239" s="7">
        <v>12552.1352271656</v>
      </c>
      <c r="F239" s="7">
        <v>4364</v>
      </c>
      <c r="G239" s="7">
        <v>2865.23</v>
      </c>
      <c r="H239" s="7">
        <v>9607</v>
      </c>
      <c r="I239" s="7">
        <v>4.2684</v>
      </c>
      <c r="J239" s="7">
        <v>13851</v>
      </c>
      <c r="L239" s="1">
        <v>28</v>
      </c>
      <c r="M239" s="1">
        <v>2018</v>
      </c>
      <c r="N239" s="9">
        <v>0.97284723844604</v>
      </c>
      <c r="O239" s="9">
        <v>0.977587272807849</v>
      </c>
      <c r="P239" s="9">
        <v>1.02626748785854</v>
      </c>
      <c r="Q239" s="9">
        <v>1.03298721143038</v>
      </c>
      <c r="T239" s="1">
        <v>28</v>
      </c>
      <c r="U239" s="1">
        <v>2018</v>
      </c>
      <c r="V239" s="1">
        <f t="shared" si="12"/>
        <v>0.722589023997383</v>
      </c>
      <c r="W239" s="1">
        <f t="shared" si="13"/>
        <v>0.815298973210584</v>
      </c>
      <c r="X239" s="1">
        <f t="shared" si="14"/>
        <v>0.775702976527765</v>
      </c>
      <c r="Y239" s="1">
        <f t="shared" si="15"/>
        <v>0.895267193367229</v>
      </c>
    </row>
    <row r="240" s="1" customFormat="1" spans="1:25">
      <c r="A240" s="2" t="s">
        <v>44</v>
      </c>
      <c r="B240" s="2">
        <v>29</v>
      </c>
      <c r="C240" s="2">
        <v>2018</v>
      </c>
      <c r="D240" s="7">
        <v>345</v>
      </c>
      <c r="E240" s="7">
        <v>13072.562424999</v>
      </c>
      <c r="F240" s="7">
        <v>7100</v>
      </c>
      <c r="G240" s="7">
        <v>3705.18</v>
      </c>
      <c r="H240" s="7">
        <v>13039.6</v>
      </c>
      <c r="I240" s="7">
        <v>12.6944</v>
      </c>
      <c r="J240" s="7">
        <v>6091</v>
      </c>
      <c r="L240" s="1">
        <v>29</v>
      </c>
      <c r="M240" s="1">
        <v>2018</v>
      </c>
      <c r="N240" s="9">
        <v>0.868681218689151</v>
      </c>
      <c r="O240" s="9">
        <v>0.976853917767591</v>
      </c>
      <c r="P240" s="9">
        <v>1.03444812106491</v>
      </c>
      <c r="Q240" s="9">
        <v>1.03689450737351</v>
      </c>
      <c r="T240" s="1">
        <v>29</v>
      </c>
      <c r="U240" s="1">
        <v>2018</v>
      </c>
      <c r="V240" s="1">
        <f t="shared" si="12"/>
        <v>0.842957231107559</v>
      </c>
      <c r="W240" s="1">
        <f t="shared" si="13"/>
        <v>0.882436471623043</v>
      </c>
      <c r="X240" s="1">
        <f t="shared" si="14"/>
        <v>0.920210503434955</v>
      </c>
      <c r="Y240" s="1">
        <f t="shared" si="15"/>
        <v>1.04107347736363</v>
      </c>
    </row>
    <row r="241" s="1" customFormat="1" spans="1:25">
      <c r="A241" s="2" t="s">
        <v>45</v>
      </c>
      <c r="B241" s="2">
        <v>30</v>
      </c>
      <c r="C241" s="2">
        <v>2018</v>
      </c>
      <c r="D241" s="7">
        <v>1331</v>
      </c>
      <c r="E241" s="7">
        <v>33245.1610783658</v>
      </c>
      <c r="F241" s="7">
        <v>17694</v>
      </c>
      <c r="G241" s="7">
        <v>12199.08</v>
      </c>
      <c r="H241" s="7">
        <v>14300</v>
      </c>
      <c r="I241" s="7">
        <v>23.6646</v>
      </c>
      <c r="J241" s="7">
        <v>11375</v>
      </c>
      <c r="L241" s="1">
        <v>30</v>
      </c>
      <c r="M241" s="1">
        <v>2018</v>
      </c>
      <c r="N241" s="9">
        <v>1.06064148646036</v>
      </c>
      <c r="O241" s="9">
        <v>1.06463765086023</v>
      </c>
      <c r="P241" s="9">
        <v>1.09399162905325</v>
      </c>
      <c r="Q241" s="9">
        <v>1.10139925067134</v>
      </c>
      <c r="T241" s="1">
        <v>30</v>
      </c>
      <c r="U241" s="1">
        <v>2018</v>
      </c>
      <c r="V241" s="1">
        <f t="shared" si="12"/>
        <v>0.821199689077153</v>
      </c>
      <c r="W241" s="1">
        <f t="shared" si="13"/>
        <v>0.872651976953612</v>
      </c>
      <c r="X241" s="1">
        <f t="shared" si="14"/>
        <v>0.875928172545822</v>
      </c>
      <c r="Y241" s="1">
        <f t="shared" si="15"/>
        <v>0.976686418772218</v>
      </c>
    </row>
    <row r="242" s="1" customFormat="1" spans="1:25">
      <c r="A242" s="2" t="s">
        <v>16</v>
      </c>
      <c r="B242" s="2">
        <v>1</v>
      </c>
      <c r="C242" s="2">
        <v>2019</v>
      </c>
      <c r="D242" s="7">
        <v>1273</v>
      </c>
      <c r="E242" s="7">
        <v>47697.1222370012</v>
      </c>
      <c r="F242" s="7">
        <v>7360</v>
      </c>
      <c r="G242" s="7">
        <v>35371.28</v>
      </c>
      <c r="H242" s="7">
        <v>7716.4</v>
      </c>
      <c r="I242" s="7">
        <v>0.088</v>
      </c>
      <c r="J242" s="7">
        <v>690</v>
      </c>
      <c r="L242" s="1">
        <v>1</v>
      </c>
      <c r="M242" s="1">
        <v>2019</v>
      </c>
      <c r="N242" s="9">
        <v>1.25086992220637</v>
      </c>
      <c r="O242" s="9">
        <v>1.60265604827067</v>
      </c>
      <c r="P242" s="9">
        <v>1.20600295381013</v>
      </c>
      <c r="Q242" s="9">
        <v>1.18518527184454</v>
      </c>
      <c r="T242" s="1">
        <v>1</v>
      </c>
      <c r="U242" s="1">
        <v>2019</v>
      </c>
      <c r="V242" s="1">
        <f t="shared" si="12"/>
        <v>2.15622912898305</v>
      </c>
      <c r="W242" s="1">
        <f t="shared" si="13"/>
        <v>9.29484879475616</v>
      </c>
      <c r="X242" s="1">
        <f t="shared" si="14"/>
        <v>1.83106619842533</v>
      </c>
      <c r="Y242" s="1">
        <f t="shared" si="15"/>
        <v>2.52989464767409</v>
      </c>
    </row>
    <row r="243" s="1" customFormat="1" spans="1:25">
      <c r="A243" s="2" t="s">
        <v>17</v>
      </c>
      <c r="B243" s="2">
        <v>2</v>
      </c>
      <c r="C243" s="2">
        <v>2019</v>
      </c>
      <c r="D243" s="7">
        <v>896.56</v>
      </c>
      <c r="E243" s="7">
        <v>50241.6282216333</v>
      </c>
      <c r="F243" s="7">
        <v>8241</v>
      </c>
      <c r="G243" s="7">
        <v>14104.28</v>
      </c>
      <c r="H243" s="7">
        <v>17905.39</v>
      </c>
      <c r="I243" s="7">
        <v>1.5963</v>
      </c>
      <c r="J243" s="7">
        <v>1968</v>
      </c>
      <c r="L243" s="1">
        <v>2</v>
      </c>
      <c r="M243" s="1">
        <v>2019</v>
      </c>
      <c r="N243" s="9">
        <v>0.838947340630417</v>
      </c>
      <c r="O243" s="9">
        <v>0.578614524951697</v>
      </c>
      <c r="P243" s="9">
        <v>0.725379257128701</v>
      </c>
      <c r="Q243" s="9">
        <v>0.718346238385225</v>
      </c>
      <c r="T243" s="1">
        <v>2</v>
      </c>
      <c r="U243" s="1">
        <v>2019</v>
      </c>
      <c r="V243" s="1">
        <f t="shared" si="12"/>
        <v>0.859292176242336</v>
      </c>
      <c r="W243" s="1">
        <f t="shared" si="13"/>
        <v>1.75718357914345</v>
      </c>
      <c r="X243" s="1">
        <f t="shared" si="14"/>
        <v>0.821868022598715</v>
      </c>
      <c r="Y243" s="1">
        <f t="shared" si="15"/>
        <v>3.0177357874162</v>
      </c>
    </row>
    <row r="244" s="1" customFormat="1" spans="1:25">
      <c r="A244" s="2" t="s">
        <v>18</v>
      </c>
      <c r="B244" s="2">
        <v>3</v>
      </c>
      <c r="C244" s="2">
        <v>2019</v>
      </c>
      <c r="D244" s="7">
        <v>3702</v>
      </c>
      <c r="E244" s="7">
        <v>89234.1085725352</v>
      </c>
      <c r="F244" s="7">
        <v>32545</v>
      </c>
      <c r="G244" s="7">
        <v>35104.52</v>
      </c>
      <c r="H244" s="7">
        <v>31053.31</v>
      </c>
      <c r="I244" s="7">
        <v>23.0605</v>
      </c>
      <c r="J244" s="7">
        <v>32744</v>
      </c>
      <c r="L244" s="1">
        <v>3</v>
      </c>
      <c r="M244" s="1">
        <v>2019</v>
      </c>
      <c r="N244" s="9">
        <v>0.958949376187909</v>
      </c>
      <c r="O244" s="9">
        <v>0.948192431784546</v>
      </c>
      <c r="P244" s="9">
        <v>0.950899408773408</v>
      </c>
      <c r="Q244" s="9">
        <v>0.9559082920204</v>
      </c>
      <c r="T244" s="1">
        <v>3</v>
      </c>
      <c r="U244" s="1">
        <v>2019</v>
      </c>
      <c r="V244" s="1">
        <f t="shared" si="12"/>
        <v>0.886214104365771</v>
      </c>
      <c r="W244" s="1">
        <f t="shared" si="13"/>
        <v>1.34895866831645</v>
      </c>
      <c r="X244" s="1">
        <f t="shared" si="14"/>
        <v>0.912315119793214</v>
      </c>
      <c r="Y244" s="1">
        <f t="shared" si="15"/>
        <v>1.03047765155008</v>
      </c>
    </row>
    <row r="245" s="1" customFormat="1" spans="1:25">
      <c r="A245" s="2" t="s">
        <v>19</v>
      </c>
      <c r="B245" s="2">
        <v>4</v>
      </c>
      <c r="C245" s="2">
        <v>2019</v>
      </c>
      <c r="D245" s="7">
        <v>1762</v>
      </c>
      <c r="E245" s="7">
        <v>35875.0127036257</v>
      </c>
      <c r="F245" s="7">
        <v>20859</v>
      </c>
      <c r="G245" s="7">
        <v>17026.68</v>
      </c>
      <c r="H245" s="7">
        <v>19913.6</v>
      </c>
      <c r="I245" s="7">
        <v>19.7156</v>
      </c>
      <c r="J245" s="7">
        <v>52037</v>
      </c>
      <c r="L245" s="1">
        <v>4</v>
      </c>
      <c r="M245" s="1">
        <v>2019</v>
      </c>
      <c r="N245" s="9">
        <v>1.00579826519711</v>
      </c>
      <c r="O245" s="9">
        <v>1.0037266177289</v>
      </c>
      <c r="P245" s="9">
        <v>1.00090870085407</v>
      </c>
      <c r="Q245" s="9">
        <v>1.0034877362173</v>
      </c>
      <c r="T245" s="1">
        <v>4</v>
      </c>
      <c r="U245" s="1">
        <v>2019</v>
      </c>
      <c r="V245" s="1">
        <f t="shared" si="12"/>
        <v>0.973446523130117</v>
      </c>
      <c r="W245" s="1">
        <f t="shared" si="13"/>
        <v>1.0177575186282</v>
      </c>
      <c r="X245" s="1">
        <f t="shared" si="14"/>
        <v>0.997256722927375</v>
      </c>
      <c r="Y245" s="1">
        <f t="shared" si="15"/>
        <v>1.09259017041096</v>
      </c>
    </row>
    <row r="246" s="1" customFormat="1" spans="1:25">
      <c r="A246" s="2" t="s">
        <v>20</v>
      </c>
      <c r="B246" s="2">
        <v>5</v>
      </c>
      <c r="C246" s="2">
        <v>2019</v>
      </c>
      <c r="D246" s="7">
        <v>1272</v>
      </c>
      <c r="E246" s="7">
        <v>52288.5207568538</v>
      </c>
      <c r="F246" s="7">
        <v>25346</v>
      </c>
      <c r="G246" s="7">
        <v>17212.53</v>
      </c>
      <c r="H246" s="7">
        <v>22400</v>
      </c>
      <c r="I246" s="7">
        <v>30.313</v>
      </c>
      <c r="J246" s="7">
        <v>42671</v>
      </c>
      <c r="L246" s="1">
        <v>5</v>
      </c>
      <c r="M246" s="1">
        <v>2019</v>
      </c>
      <c r="N246" s="9">
        <v>1.00157938677294</v>
      </c>
      <c r="O246" s="9">
        <v>1.0009881795219</v>
      </c>
      <c r="P246" s="9">
        <v>0.998457335331994</v>
      </c>
      <c r="Q246" s="9">
        <v>0.998819303954049</v>
      </c>
      <c r="T246" s="1">
        <v>5</v>
      </c>
      <c r="U246" s="1">
        <v>2019</v>
      </c>
      <c r="V246" s="1">
        <f t="shared" si="12"/>
        <v>0.872320827010506</v>
      </c>
      <c r="W246" s="1">
        <f t="shared" si="13"/>
        <v>0.929511414116988</v>
      </c>
      <c r="X246" s="1">
        <f t="shared" si="14"/>
        <v>0.845921548322341</v>
      </c>
      <c r="Y246" s="1">
        <f t="shared" si="15"/>
        <v>0.950681245277217</v>
      </c>
    </row>
    <row r="247" s="1" customFormat="1" spans="1:25">
      <c r="A247" s="2" t="s">
        <v>21</v>
      </c>
      <c r="B247" s="2">
        <v>6</v>
      </c>
      <c r="C247" s="2">
        <v>2019</v>
      </c>
      <c r="D247" s="7">
        <v>2238.4</v>
      </c>
      <c r="E247" s="7">
        <v>61495.7581667201</v>
      </c>
      <c r="F247" s="7">
        <v>23749</v>
      </c>
      <c r="G247" s="7">
        <v>24909.45</v>
      </c>
      <c r="H247" s="7">
        <v>32799</v>
      </c>
      <c r="I247" s="7">
        <v>23.6946</v>
      </c>
      <c r="J247" s="7">
        <v>22621</v>
      </c>
      <c r="L247" s="1">
        <v>6</v>
      </c>
      <c r="M247" s="1">
        <v>2019</v>
      </c>
      <c r="N247" s="9">
        <v>0.987589469098132</v>
      </c>
      <c r="O247" s="9">
        <v>0.985757764234384</v>
      </c>
      <c r="P247" s="9">
        <v>0.97894122282869</v>
      </c>
      <c r="Q247" s="9">
        <v>0.980363712465019</v>
      </c>
      <c r="T247" s="1">
        <v>6</v>
      </c>
      <c r="U247" s="1">
        <v>2019</v>
      </c>
      <c r="V247" s="1">
        <f t="shared" si="12"/>
        <v>0.896646813910102</v>
      </c>
      <c r="W247" s="1">
        <f t="shared" si="13"/>
        <v>1.02904567632645</v>
      </c>
      <c r="X247" s="1">
        <f t="shared" si="14"/>
        <v>0.882676335022905</v>
      </c>
      <c r="Y247" s="1">
        <f t="shared" si="15"/>
        <v>0.968064080181992</v>
      </c>
    </row>
    <row r="248" s="1" customFormat="1" spans="1:25">
      <c r="A248" s="2" t="s">
        <v>22</v>
      </c>
      <c r="B248" s="2">
        <v>7</v>
      </c>
      <c r="C248" s="2">
        <v>2019</v>
      </c>
      <c r="D248" s="7">
        <v>1286</v>
      </c>
      <c r="E248" s="7">
        <v>49568.9246688634</v>
      </c>
      <c r="F248" s="7">
        <v>7132</v>
      </c>
      <c r="G248" s="7">
        <v>11726.82</v>
      </c>
      <c r="H248" s="7">
        <v>20049.98</v>
      </c>
      <c r="I248" s="7">
        <v>8.9922</v>
      </c>
      <c r="J248" s="7">
        <v>5362</v>
      </c>
      <c r="L248" s="1">
        <v>7</v>
      </c>
      <c r="M248" s="1">
        <v>2019</v>
      </c>
      <c r="N248" s="9">
        <v>0.864473796316056</v>
      </c>
      <c r="O248" s="9">
        <v>0.853558956400733</v>
      </c>
      <c r="P248" s="9">
        <v>0.771709237947477</v>
      </c>
      <c r="Q248" s="9">
        <v>0.770797195695547</v>
      </c>
      <c r="T248" s="1">
        <v>7</v>
      </c>
      <c r="U248" s="1">
        <v>2019</v>
      </c>
      <c r="V248" s="1">
        <f t="shared" si="12"/>
        <v>1.01793206105931</v>
      </c>
      <c r="W248" s="1">
        <f t="shared" si="13"/>
        <v>1.09450896322021</v>
      </c>
      <c r="X248" s="1">
        <f t="shared" si="14"/>
        <v>0.906308775720101</v>
      </c>
      <c r="Y248" s="1">
        <f t="shared" si="15"/>
        <v>1.04050345757992</v>
      </c>
    </row>
    <row r="249" s="1" customFormat="1" spans="1:25">
      <c r="A249" s="2" t="s">
        <v>23</v>
      </c>
      <c r="B249" s="2">
        <v>8</v>
      </c>
      <c r="C249" s="2">
        <v>2019</v>
      </c>
      <c r="D249" s="7">
        <v>1551</v>
      </c>
      <c r="E249" s="7">
        <v>43201.3778783861</v>
      </c>
      <c r="F249" s="7">
        <v>11614</v>
      </c>
      <c r="G249" s="7">
        <v>13612.68</v>
      </c>
      <c r="H249" s="7">
        <v>18150.2</v>
      </c>
      <c r="I249" s="7">
        <v>9.5164</v>
      </c>
      <c r="J249" s="7">
        <v>9799</v>
      </c>
      <c r="L249" s="1">
        <v>8</v>
      </c>
      <c r="M249" s="1">
        <v>2019</v>
      </c>
      <c r="N249" s="9">
        <v>0.895248810130131</v>
      </c>
      <c r="O249" s="9">
        <v>0.884978537737588</v>
      </c>
      <c r="P249" s="9">
        <v>0.820314947206057</v>
      </c>
      <c r="Q249" s="9">
        <v>0.823008204841842</v>
      </c>
      <c r="T249" s="1">
        <v>8</v>
      </c>
      <c r="U249" s="1">
        <v>2019</v>
      </c>
      <c r="V249" s="1">
        <f t="shared" si="12"/>
        <v>0.836069061318762</v>
      </c>
      <c r="W249" s="1">
        <f t="shared" si="13"/>
        <v>0.878107971247521</v>
      </c>
      <c r="X249" s="1">
        <f t="shared" si="14"/>
        <v>0.729996457955338</v>
      </c>
      <c r="Y249" s="1">
        <f t="shared" si="15"/>
        <v>0.836161494208411</v>
      </c>
    </row>
    <row r="250" s="1" customFormat="1" spans="1:25">
      <c r="A250" s="2" t="s">
        <v>24</v>
      </c>
      <c r="B250" s="2">
        <v>9</v>
      </c>
      <c r="C250" s="2">
        <v>2019</v>
      </c>
      <c r="D250" s="7">
        <v>1376.2</v>
      </c>
      <c r="E250" s="7">
        <v>53342.2376804332</v>
      </c>
      <c r="F250" s="7">
        <v>11696</v>
      </c>
      <c r="G250" s="7">
        <v>38155.32</v>
      </c>
      <c r="H250" s="7">
        <v>34100</v>
      </c>
      <c r="I250" s="7">
        <v>0.7218</v>
      </c>
      <c r="J250" s="7">
        <v>1826</v>
      </c>
      <c r="L250" s="1">
        <v>9</v>
      </c>
      <c r="M250" s="1">
        <v>2019</v>
      </c>
      <c r="N250" s="9">
        <v>1.07999758963515</v>
      </c>
      <c r="O250" s="9">
        <v>1.43812881709343</v>
      </c>
      <c r="P250" s="9">
        <v>1.13849473275293</v>
      </c>
      <c r="Q250" s="9">
        <v>1.44421726697056</v>
      </c>
      <c r="T250" s="1">
        <v>9</v>
      </c>
      <c r="U250" s="1">
        <v>2019</v>
      </c>
      <c r="V250" s="1">
        <f t="shared" si="12"/>
        <v>1.23770764505199</v>
      </c>
      <c r="W250" s="1">
        <f t="shared" si="13"/>
        <v>3.34293638798012</v>
      </c>
      <c r="X250" s="1">
        <f t="shared" si="14"/>
        <v>1.45955618656331</v>
      </c>
      <c r="Y250" s="1">
        <f t="shared" si="15"/>
        <v>3.78613100002215</v>
      </c>
    </row>
    <row r="251" s="1" customFormat="1" spans="1:25">
      <c r="A251" s="2" t="s">
        <v>25</v>
      </c>
      <c r="B251" s="2">
        <v>10</v>
      </c>
      <c r="C251" s="2">
        <v>2019</v>
      </c>
      <c r="D251" s="7">
        <v>4903.2</v>
      </c>
      <c r="E251" s="7">
        <v>148414.943129265</v>
      </c>
      <c r="F251" s="7">
        <v>32526</v>
      </c>
      <c r="G251" s="7">
        <v>99631.52</v>
      </c>
      <c r="H251" s="7">
        <v>132162.28</v>
      </c>
      <c r="I251" s="7">
        <v>27.4378</v>
      </c>
      <c r="J251" s="7">
        <v>13610</v>
      </c>
      <c r="L251" s="1">
        <v>10</v>
      </c>
      <c r="M251" s="1">
        <v>2019</v>
      </c>
      <c r="N251" s="9">
        <v>1.08799678963461</v>
      </c>
      <c r="O251" s="9">
        <v>1.1116960607655</v>
      </c>
      <c r="P251" s="9">
        <v>1.04024245501058</v>
      </c>
      <c r="Q251" s="9">
        <v>1.02335583876667</v>
      </c>
      <c r="T251" s="1">
        <v>10</v>
      </c>
      <c r="U251" s="1">
        <v>2019</v>
      </c>
      <c r="V251" s="1">
        <f t="shared" si="12"/>
        <v>1.97944087935079</v>
      </c>
      <c r="W251" s="1">
        <f t="shared" si="13"/>
        <v>2.64702249855255</v>
      </c>
      <c r="X251" s="1">
        <f t="shared" si="14"/>
        <v>1.33912894363483</v>
      </c>
      <c r="Y251" s="1">
        <f t="shared" si="15"/>
        <v>3.16907215094711</v>
      </c>
    </row>
    <row r="252" s="1" customFormat="1" spans="1:25">
      <c r="A252" s="2" t="s">
        <v>26</v>
      </c>
      <c r="B252" s="2">
        <v>11</v>
      </c>
      <c r="C252" s="2">
        <v>2019</v>
      </c>
      <c r="D252" s="7">
        <v>3771</v>
      </c>
      <c r="E252" s="7">
        <v>98192.5520913688</v>
      </c>
      <c r="F252" s="7">
        <v>22393</v>
      </c>
      <c r="G252" s="7">
        <v>62351.74</v>
      </c>
      <c r="H252" s="7">
        <v>119583</v>
      </c>
      <c r="I252" s="7">
        <v>7.3227</v>
      </c>
      <c r="J252" s="7">
        <v>5722</v>
      </c>
      <c r="L252" s="1">
        <v>11</v>
      </c>
      <c r="M252" s="1">
        <v>2019</v>
      </c>
      <c r="N252" s="9">
        <v>1.15122509791828</v>
      </c>
      <c r="O252" s="9">
        <v>1.31675820365553</v>
      </c>
      <c r="P252" s="9">
        <v>1.0602831414509</v>
      </c>
      <c r="Q252" s="9">
        <v>1.06694127304363</v>
      </c>
      <c r="T252" s="1">
        <v>11</v>
      </c>
      <c r="U252" s="1">
        <v>2019</v>
      </c>
      <c r="V252" s="1">
        <f t="shared" si="12"/>
        <v>1.5056300627622</v>
      </c>
      <c r="W252" s="1">
        <f t="shared" si="13"/>
        <v>5.93114512197761</v>
      </c>
      <c r="X252" s="1">
        <f t="shared" si="14"/>
        <v>1.23380313810264</v>
      </c>
      <c r="Y252" s="1">
        <f t="shared" si="15"/>
        <v>1.3679594178451</v>
      </c>
    </row>
    <row r="253" s="1" customFormat="1" spans="1:25">
      <c r="A253" s="2" t="s">
        <v>27</v>
      </c>
      <c r="B253" s="2">
        <v>12</v>
      </c>
      <c r="C253" s="2">
        <v>2019</v>
      </c>
      <c r="D253" s="7">
        <v>4384</v>
      </c>
      <c r="E253" s="7">
        <v>55739.6364976676</v>
      </c>
      <c r="F253" s="7">
        <v>13870</v>
      </c>
      <c r="G253" s="7">
        <v>37113.98</v>
      </c>
      <c r="H253" s="7">
        <v>41500.31</v>
      </c>
      <c r="I253" s="7">
        <v>14.828</v>
      </c>
      <c r="J253" s="7">
        <v>16571</v>
      </c>
      <c r="L253" s="1">
        <v>12</v>
      </c>
      <c r="M253" s="1">
        <v>2019</v>
      </c>
      <c r="N253" s="9">
        <v>1.12523691958895</v>
      </c>
      <c r="O253" s="9">
        <v>1.87331459038623</v>
      </c>
      <c r="P253" s="9">
        <v>1.1700784619263</v>
      </c>
      <c r="Q253" s="9">
        <v>1.86948028303106</v>
      </c>
      <c r="T253" s="1">
        <v>12</v>
      </c>
      <c r="U253" s="1">
        <v>2019</v>
      </c>
      <c r="V253" s="1">
        <f t="shared" si="12"/>
        <v>1.10935180762844</v>
      </c>
      <c r="W253" s="1">
        <f t="shared" si="13"/>
        <v>1.56835512103881</v>
      </c>
      <c r="X253" s="1">
        <f t="shared" si="14"/>
        <v>1.25596878867383</v>
      </c>
      <c r="Y253" s="1">
        <f t="shared" si="15"/>
        <v>1.87580624175458</v>
      </c>
    </row>
    <row r="254" s="1" customFormat="1" spans="1:25">
      <c r="A254" s="2" t="s">
        <v>28</v>
      </c>
      <c r="B254" s="2">
        <v>13</v>
      </c>
      <c r="C254" s="2">
        <v>2019</v>
      </c>
      <c r="D254" s="7">
        <v>2210</v>
      </c>
      <c r="E254" s="7">
        <v>78050.4798844985</v>
      </c>
      <c r="F254" s="7">
        <v>13718</v>
      </c>
      <c r="G254" s="7">
        <v>42395</v>
      </c>
      <c r="H254" s="7">
        <v>156600</v>
      </c>
      <c r="I254" s="7">
        <v>11.886</v>
      </c>
      <c r="J254" s="7">
        <v>9418</v>
      </c>
      <c r="L254" s="1">
        <v>13</v>
      </c>
      <c r="M254" s="1">
        <v>2019</v>
      </c>
      <c r="N254" s="9">
        <v>1.0844080926313</v>
      </c>
      <c r="O254" s="9">
        <v>1.27889204435012</v>
      </c>
      <c r="P254" s="9">
        <v>1.12888187065731</v>
      </c>
      <c r="Q254" s="9">
        <v>1.13455074101494</v>
      </c>
      <c r="T254" s="1">
        <v>13</v>
      </c>
      <c r="U254" s="1">
        <v>2019</v>
      </c>
      <c r="V254" s="1">
        <f t="shared" si="12"/>
        <v>1.16518557130507</v>
      </c>
      <c r="W254" s="1">
        <f t="shared" si="13"/>
        <v>2.89985685400316</v>
      </c>
      <c r="X254" s="1">
        <f t="shared" si="14"/>
        <v>1.37970595256062</v>
      </c>
      <c r="Y254" s="1">
        <f t="shared" si="15"/>
        <v>1.56935819962997</v>
      </c>
    </row>
    <row r="255" s="1" customFormat="1" spans="1:25">
      <c r="A255" s="2" t="s">
        <v>29</v>
      </c>
      <c r="B255" s="2">
        <v>14</v>
      </c>
      <c r="C255" s="2">
        <v>2019</v>
      </c>
      <c r="D255" s="7">
        <v>2278</v>
      </c>
      <c r="E255" s="7">
        <v>39326.5168707596</v>
      </c>
      <c r="F255" s="7">
        <v>9665</v>
      </c>
      <c r="G255" s="7">
        <v>24757.5</v>
      </c>
      <c r="H255" s="7">
        <v>48029.51</v>
      </c>
      <c r="I255" s="7">
        <v>21.0658</v>
      </c>
      <c r="J255" s="7">
        <v>13049</v>
      </c>
      <c r="L255" s="1">
        <v>14</v>
      </c>
      <c r="M255" s="1">
        <v>2019</v>
      </c>
      <c r="N255" s="9">
        <v>1.03808067356791</v>
      </c>
      <c r="O255" s="9">
        <v>1.04081769142221</v>
      </c>
      <c r="P255" s="9">
        <v>1.06615192757225</v>
      </c>
      <c r="Q255" s="9">
        <v>1.06977724343335</v>
      </c>
      <c r="T255" s="1">
        <v>14</v>
      </c>
      <c r="U255" s="1">
        <v>2019</v>
      </c>
      <c r="V255" s="1">
        <f t="shared" si="12"/>
        <v>1.06303653350774</v>
      </c>
      <c r="W255" s="1">
        <f t="shared" si="13"/>
        <v>0.25022901273022</v>
      </c>
      <c r="X255" s="1">
        <f t="shared" si="14"/>
        <v>1.20414227293096</v>
      </c>
      <c r="Y255" s="1">
        <f t="shared" si="15"/>
        <v>1.16109547128872</v>
      </c>
    </row>
    <row r="256" s="1" customFormat="1" spans="1:25">
      <c r="A256" s="2" t="s">
        <v>30</v>
      </c>
      <c r="B256" s="2">
        <v>15</v>
      </c>
      <c r="C256" s="2">
        <v>2019</v>
      </c>
      <c r="D256" s="7">
        <v>5561</v>
      </c>
      <c r="E256" s="7">
        <v>151668.139823352</v>
      </c>
      <c r="F256" s="7">
        <v>41390</v>
      </c>
      <c r="G256" s="7">
        <v>71067.53</v>
      </c>
      <c r="H256" s="7">
        <v>123311.68</v>
      </c>
      <c r="I256" s="7">
        <v>24.1076</v>
      </c>
      <c r="J256" s="7">
        <v>32129</v>
      </c>
      <c r="L256" s="1">
        <v>15</v>
      </c>
      <c r="M256" s="1">
        <v>2019</v>
      </c>
      <c r="N256" s="9">
        <v>0.890818110212173</v>
      </c>
      <c r="O256" s="9">
        <v>0.901641841403668</v>
      </c>
      <c r="P256" s="9">
        <v>0.914608953500362</v>
      </c>
      <c r="Q256" s="9">
        <v>0.915680652107302</v>
      </c>
      <c r="T256" s="1">
        <v>15</v>
      </c>
      <c r="U256" s="1">
        <v>2019</v>
      </c>
      <c r="V256" s="1">
        <f t="shared" si="12"/>
        <v>1.31934687820043</v>
      </c>
      <c r="W256" s="1">
        <f t="shared" si="13"/>
        <v>2.27965896807491</v>
      </c>
      <c r="X256" s="1">
        <f t="shared" si="14"/>
        <v>1.0531992707326</v>
      </c>
      <c r="Y256" s="1">
        <f t="shared" si="15"/>
        <v>1.18051469064742</v>
      </c>
    </row>
    <row r="257" s="1" customFormat="1" spans="1:25">
      <c r="A257" s="2" t="s">
        <v>31</v>
      </c>
      <c r="B257" s="2">
        <v>16</v>
      </c>
      <c r="C257" s="2">
        <v>2019</v>
      </c>
      <c r="D257" s="7">
        <v>4934</v>
      </c>
      <c r="E257" s="7">
        <v>129713.043776842</v>
      </c>
      <c r="F257" s="7">
        <v>22300</v>
      </c>
      <c r="G257" s="7">
        <v>54259.2</v>
      </c>
      <c r="H257" s="7">
        <v>36843.57</v>
      </c>
      <c r="I257" s="7">
        <v>9.6567</v>
      </c>
      <c r="J257" s="7">
        <v>24965</v>
      </c>
      <c r="L257" s="1">
        <v>16</v>
      </c>
      <c r="M257" s="1">
        <v>2019</v>
      </c>
      <c r="N257" s="9">
        <v>1.23824131335784</v>
      </c>
      <c r="O257" s="9">
        <v>2.76465134577874</v>
      </c>
      <c r="P257" s="9">
        <v>1.12227845152458</v>
      </c>
      <c r="Q257" s="9">
        <v>1.13416858924498</v>
      </c>
      <c r="T257" s="1">
        <v>16</v>
      </c>
      <c r="U257" s="1">
        <v>2019</v>
      </c>
      <c r="V257" s="1">
        <f t="shared" si="12"/>
        <v>1.37679572413116</v>
      </c>
      <c r="W257" s="1">
        <f t="shared" si="13"/>
        <v>6.05641766395255</v>
      </c>
      <c r="X257" s="1">
        <f t="shared" si="14"/>
        <v>1.27619823869781</v>
      </c>
      <c r="Y257" s="1">
        <f t="shared" si="15"/>
        <v>1.49337845701728</v>
      </c>
    </row>
    <row r="258" s="1" customFormat="1" spans="1:25">
      <c r="A258" s="2" t="s">
        <v>32</v>
      </c>
      <c r="B258" s="2">
        <v>17</v>
      </c>
      <c r="C258" s="2">
        <v>2019</v>
      </c>
      <c r="D258" s="7">
        <v>3375</v>
      </c>
      <c r="E258" s="7">
        <v>79057.1947865437</v>
      </c>
      <c r="F258" s="7">
        <v>17316</v>
      </c>
      <c r="G258" s="7">
        <v>45828.31</v>
      </c>
      <c r="H258" s="7">
        <v>46365.667</v>
      </c>
      <c r="I258" s="7">
        <v>9.6344</v>
      </c>
      <c r="J258" s="7">
        <v>13368</v>
      </c>
      <c r="L258" s="1">
        <v>17</v>
      </c>
      <c r="M258" s="1">
        <v>2019</v>
      </c>
      <c r="N258" s="9">
        <v>1.09125180404743</v>
      </c>
      <c r="O258" s="9">
        <v>1.2577515380965</v>
      </c>
      <c r="P258" s="9">
        <v>1.10776453324465</v>
      </c>
      <c r="Q258" s="9">
        <v>1.11394261298498</v>
      </c>
      <c r="T258" s="1">
        <v>17</v>
      </c>
      <c r="U258" s="1">
        <v>2019</v>
      </c>
      <c r="V258" s="1">
        <f t="shared" si="12"/>
        <v>1.19013983746211</v>
      </c>
      <c r="W258" s="1">
        <f t="shared" si="13"/>
        <v>3.07894191641047</v>
      </c>
      <c r="X258" s="1">
        <f t="shared" si="14"/>
        <v>1.33078880354641</v>
      </c>
      <c r="Y258" s="1">
        <f t="shared" si="15"/>
        <v>1.56662605770941</v>
      </c>
    </row>
    <row r="259" s="1" customFormat="1" spans="1:25">
      <c r="A259" s="2" t="s">
        <v>33</v>
      </c>
      <c r="B259" s="2">
        <v>18</v>
      </c>
      <c r="C259" s="2">
        <v>2019</v>
      </c>
      <c r="D259" s="7">
        <v>3666.48</v>
      </c>
      <c r="E259" s="7">
        <v>66050.4278325275</v>
      </c>
      <c r="F259" s="7">
        <v>16001</v>
      </c>
      <c r="G259" s="7">
        <v>39752.12</v>
      </c>
      <c r="H259" s="7">
        <v>28268</v>
      </c>
      <c r="I259" s="7">
        <v>8.5709</v>
      </c>
      <c r="J259" s="7">
        <v>7510</v>
      </c>
      <c r="L259" s="1">
        <v>18</v>
      </c>
      <c r="M259" s="1">
        <v>2019</v>
      </c>
      <c r="N259" s="9">
        <v>1.03374152018899</v>
      </c>
      <c r="O259" s="9">
        <v>1.1601290731712</v>
      </c>
      <c r="P259" s="9">
        <v>1.05197694465234</v>
      </c>
      <c r="Q259" s="9">
        <v>1.05825691600218</v>
      </c>
      <c r="T259" s="1">
        <v>18</v>
      </c>
      <c r="U259" s="1">
        <v>2019</v>
      </c>
      <c r="V259" s="1">
        <f t="shared" si="12"/>
        <v>1.11857090123162</v>
      </c>
      <c r="W259" s="1">
        <f t="shared" si="13"/>
        <v>1.84417556513158</v>
      </c>
      <c r="X259" s="1">
        <f t="shared" si="14"/>
        <v>1.21858676344694</v>
      </c>
      <c r="Y259" s="1">
        <f t="shared" si="15"/>
        <v>1.13690742121241</v>
      </c>
    </row>
    <row r="260" s="1" customFormat="1" spans="1:25">
      <c r="A260" s="2" t="s">
        <v>34</v>
      </c>
      <c r="B260" s="2">
        <v>19</v>
      </c>
      <c r="C260" s="2">
        <v>2019</v>
      </c>
      <c r="D260" s="7">
        <v>6995</v>
      </c>
      <c r="E260" s="7">
        <v>162186.3091892</v>
      </c>
      <c r="F260" s="7">
        <v>34142</v>
      </c>
      <c r="G260" s="7">
        <v>107671.07</v>
      </c>
      <c r="H260" s="7">
        <v>122500.21</v>
      </c>
      <c r="I260" s="7">
        <v>11.3333</v>
      </c>
      <c r="J260" s="7">
        <v>10111</v>
      </c>
      <c r="L260" s="1">
        <v>19</v>
      </c>
      <c r="M260" s="1">
        <v>2019</v>
      </c>
      <c r="N260" s="9">
        <v>1.13008565739872</v>
      </c>
      <c r="O260" s="9">
        <v>1.13909361787382</v>
      </c>
      <c r="P260" s="9">
        <v>1.05464404890869</v>
      </c>
      <c r="Q260" s="9">
        <v>1.51460803055079</v>
      </c>
      <c r="T260" s="1">
        <v>19</v>
      </c>
      <c r="U260" s="1">
        <v>2019</v>
      </c>
      <c r="V260" s="1">
        <f t="shared" si="12"/>
        <v>0.596972169396892</v>
      </c>
      <c r="W260" s="1">
        <f t="shared" si="13"/>
        <v>1.31549659951322</v>
      </c>
      <c r="X260" s="1">
        <f t="shared" si="14"/>
        <v>1.15950634625228</v>
      </c>
      <c r="Y260" s="1">
        <f t="shared" si="15"/>
        <v>0.640511817672819</v>
      </c>
    </row>
    <row r="261" s="1" customFormat="1" spans="1:25">
      <c r="A261" s="2" t="s">
        <v>35</v>
      </c>
      <c r="B261" s="2">
        <v>20</v>
      </c>
      <c r="C261" s="2">
        <v>2019</v>
      </c>
      <c r="D261" s="7">
        <v>2558</v>
      </c>
      <c r="E261" s="7">
        <v>51494.1748209275</v>
      </c>
      <c r="F261" s="7">
        <v>11270</v>
      </c>
      <c r="G261" s="7">
        <v>21237.14</v>
      </c>
      <c r="H261" s="7">
        <v>34344.29</v>
      </c>
      <c r="I261" s="7">
        <v>9.4911</v>
      </c>
      <c r="J261" s="7">
        <v>10278</v>
      </c>
      <c r="L261" s="1">
        <v>20</v>
      </c>
      <c r="M261" s="1">
        <v>2019</v>
      </c>
      <c r="N261" s="9">
        <v>1.00258262100161</v>
      </c>
      <c r="O261" s="9">
        <v>1.00312612778128</v>
      </c>
      <c r="P261" s="9">
        <v>1.01202483403961</v>
      </c>
      <c r="Q261" s="9">
        <v>1.01374561484641</v>
      </c>
      <c r="T261" s="1">
        <v>20</v>
      </c>
      <c r="U261" s="1">
        <v>2019</v>
      </c>
      <c r="V261" s="1">
        <f t="shared" si="12"/>
        <v>1.05516855069617</v>
      </c>
      <c r="W261" s="1">
        <f t="shared" si="13"/>
        <v>1.16007625772134</v>
      </c>
      <c r="X261" s="1">
        <f t="shared" si="14"/>
        <v>1.13246590084519</v>
      </c>
      <c r="Y261" s="1">
        <f t="shared" si="15"/>
        <v>1.27953721032403</v>
      </c>
    </row>
    <row r="262" s="1" customFormat="1" spans="1:25">
      <c r="A262" s="2" t="s">
        <v>36</v>
      </c>
      <c r="B262" s="2">
        <v>21</v>
      </c>
      <c r="C262" s="2">
        <v>2019</v>
      </c>
      <c r="D262" s="7">
        <v>536.11</v>
      </c>
      <c r="E262" s="7">
        <v>10295.7140135108</v>
      </c>
      <c r="F262" s="7">
        <v>2264</v>
      </c>
      <c r="G262" s="7">
        <v>5308.93</v>
      </c>
      <c r="H262" s="7">
        <v>6764.5</v>
      </c>
      <c r="I262" s="7">
        <v>0.6868</v>
      </c>
      <c r="J262" s="7">
        <v>609</v>
      </c>
      <c r="L262" s="1">
        <v>21</v>
      </c>
      <c r="M262" s="1">
        <v>2019</v>
      </c>
      <c r="N262" s="9">
        <v>0.973527987077092</v>
      </c>
      <c r="O262" s="9">
        <v>0.898012433823658</v>
      </c>
      <c r="P262" s="9">
        <v>1.07094266123352</v>
      </c>
      <c r="Q262" s="9">
        <v>1.06835641798805</v>
      </c>
      <c r="T262" s="1">
        <v>21</v>
      </c>
      <c r="U262" s="1">
        <v>2019</v>
      </c>
      <c r="V262" s="1">
        <f t="shared" si="12"/>
        <v>0.875153912750327</v>
      </c>
      <c r="W262" s="1">
        <f t="shared" si="13"/>
        <v>0.536192859820327</v>
      </c>
      <c r="X262" s="1">
        <f t="shared" si="14"/>
        <v>1.11263652158254</v>
      </c>
      <c r="Y262" s="1">
        <f t="shared" si="15"/>
        <v>1.31258829021792</v>
      </c>
    </row>
    <row r="263" s="1" customFormat="1" spans="1:25">
      <c r="A263" s="2" t="s">
        <v>37</v>
      </c>
      <c r="B263" s="2">
        <v>22</v>
      </c>
      <c r="C263" s="2">
        <v>2019</v>
      </c>
      <c r="D263" s="7">
        <v>1669.61</v>
      </c>
      <c r="E263" s="7">
        <v>39936.1354339798</v>
      </c>
      <c r="F263" s="7">
        <v>8889</v>
      </c>
      <c r="G263" s="7">
        <v>23605.77</v>
      </c>
      <c r="H263" s="7">
        <v>17248.67</v>
      </c>
      <c r="I263" s="7">
        <v>6.887</v>
      </c>
      <c r="J263" s="7">
        <v>2730</v>
      </c>
      <c r="L263" s="1">
        <v>22</v>
      </c>
      <c r="M263" s="1">
        <v>2019</v>
      </c>
      <c r="N263" s="9">
        <v>1.0828551055121</v>
      </c>
      <c r="O263" s="9">
        <v>1.08695913763583</v>
      </c>
      <c r="P263" s="9">
        <v>1.11775347846822</v>
      </c>
      <c r="Q263" s="9">
        <v>1.12985963148893</v>
      </c>
      <c r="T263" s="1">
        <v>22</v>
      </c>
      <c r="U263" s="1">
        <v>2019</v>
      </c>
      <c r="V263" s="1">
        <f t="shared" si="12"/>
        <v>1.24118537746997</v>
      </c>
      <c r="W263" s="1">
        <f t="shared" si="13"/>
        <v>1.4183776931009</v>
      </c>
      <c r="X263" s="1">
        <f t="shared" si="14"/>
        <v>1.42095399137689</v>
      </c>
      <c r="Y263" s="1">
        <f t="shared" si="15"/>
        <v>1.68860391850828</v>
      </c>
    </row>
    <row r="264" s="1" customFormat="1" spans="1:25">
      <c r="A264" s="2" t="s">
        <v>38</v>
      </c>
      <c r="B264" s="2">
        <v>23</v>
      </c>
      <c r="C264" s="2">
        <v>2019</v>
      </c>
      <c r="D264" s="7">
        <v>4714</v>
      </c>
      <c r="E264" s="7">
        <v>70197.7524662089</v>
      </c>
      <c r="F264" s="7">
        <v>20791</v>
      </c>
      <c r="G264" s="7">
        <v>46615.82</v>
      </c>
      <c r="H264" s="7">
        <v>45714.47</v>
      </c>
      <c r="I264" s="7">
        <v>17.6137</v>
      </c>
      <c r="J264" s="7">
        <v>18722</v>
      </c>
      <c r="L264" s="1">
        <v>23</v>
      </c>
      <c r="M264" s="1">
        <v>2019</v>
      </c>
      <c r="N264" s="9">
        <v>1.09164753797216</v>
      </c>
      <c r="O264" s="9">
        <v>1.67513828896637</v>
      </c>
      <c r="P264" s="9">
        <v>1.0855411487928</v>
      </c>
      <c r="Q264" s="9">
        <v>1.74555005833723</v>
      </c>
      <c r="T264" s="1">
        <v>23</v>
      </c>
      <c r="U264" s="1">
        <v>2019</v>
      </c>
      <c r="V264" s="1">
        <f t="shared" si="12"/>
        <v>1.20509807926992</v>
      </c>
      <c r="W264" s="1">
        <f t="shared" si="13"/>
        <v>3.45650315571767</v>
      </c>
      <c r="X264" s="1">
        <f t="shared" si="14"/>
        <v>1.29923452965885</v>
      </c>
      <c r="Y264" s="1">
        <f t="shared" si="15"/>
        <v>2.07409221011692</v>
      </c>
    </row>
    <row r="265" s="1" customFormat="1" spans="1:25">
      <c r="A265" s="2" t="s">
        <v>39</v>
      </c>
      <c r="B265" s="2">
        <v>24</v>
      </c>
      <c r="C265" s="2">
        <v>2019</v>
      </c>
      <c r="D265" s="7">
        <v>1888</v>
      </c>
      <c r="E265" s="7">
        <v>34607.5961899331</v>
      </c>
      <c r="F265" s="7">
        <v>10423</v>
      </c>
      <c r="G265" s="7">
        <v>16769.34</v>
      </c>
      <c r="H265" s="7">
        <v>18400</v>
      </c>
      <c r="I265" s="7">
        <v>18.5499</v>
      </c>
      <c r="J265" s="7">
        <v>12734</v>
      </c>
      <c r="L265" s="1">
        <v>24</v>
      </c>
      <c r="M265" s="1">
        <v>2019</v>
      </c>
      <c r="N265" s="9">
        <v>1.03384728581603</v>
      </c>
      <c r="O265" s="9">
        <v>1.03189023674606</v>
      </c>
      <c r="P265" s="9">
        <v>1.06177645593856</v>
      </c>
      <c r="Q265" s="9">
        <v>1.06806416509919</v>
      </c>
      <c r="T265" s="1">
        <v>24</v>
      </c>
      <c r="U265" s="1">
        <v>2019</v>
      </c>
      <c r="V265" s="1">
        <f t="shared" si="12"/>
        <v>1.01639207732554</v>
      </c>
      <c r="W265" s="1">
        <f t="shared" si="13"/>
        <v>1.12684209690783</v>
      </c>
      <c r="X265" s="1">
        <f t="shared" si="14"/>
        <v>1.22836494209182</v>
      </c>
      <c r="Y265" s="1">
        <f t="shared" si="15"/>
        <v>1.4137246212151</v>
      </c>
    </row>
    <row r="266" s="1" customFormat="1" spans="1:25">
      <c r="A266" s="2" t="s">
        <v>40</v>
      </c>
      <c r="B266" s="2">
        <v>25</v>
      </c>
      <c r="C266" s="2">
        <v>2019</v>
      </c>
      <c r="D266" s="7">
        <v>2812</v>
      </c>
      <c r="E266" s="7">
        <v>56477.8980121994</v>
      </c>
      <c r="F266" s="7">
        <v>12158</v>
      </c>
      <c r="G266" s="7">
        <v>23223.75</v>
      </c>
      <c r="H266" s="7">
        <v>22800</v>
      </c>
      <c r="I266" s="7">
        <v>20.3546</v>
      </c>
      <c r="J266" s="7">
        <v>20797</v>
      </c>
      <c r="L266" s="1">
        <v>25</v>
      </c>
      <c r="M266" s="1">
        <v>2019</v>
      </c>
      <c r="N266" s="9">
        <v>1.13432612688036</v>
      </c>
      <c r="O266" s="9">
        <v>1.14365992438985</v>
      </c>
      <c r="P266" s="9">
        <v>1.22072483657566</v>
      </c>
      <c r="Q266" s="9">
        <v>1.22835237437797</v>
      </c>
      <c r="T266" s="1">
        <v>25</v>
      </c>
      <c r="U266" s="1">
        <v>2019</v>
      </c>
      <c r="V266" s="1">
        <f t="shared" si="12"/>
        <v>1.02405642578484</v>
      </c>
      <c r="W266" s="1">
        <f t="shared" si="13"/>
        <v>1.14174967417211</v>
      </c>
      <c r="X266" s="1">
        <f t="shared" si="14"/>
        <v>1.17922997740298</v>
      </c>
      <c r="Y266" s="1">
        <f t="shared" si="15"/>
        <v>1.3668231332142</v>
      </c>
    </row>
    <row r="267" s="1" customFormat="1" spans="1:25">
      <c r="A267" s="2" t="s">
        <v>41</v>
      </c>
      <c r="B267" s="2">
        <v>26</v>
      </c>
      <c r="C267" s="2">
        <v>2019</v>
      </c>
      <c r="D267" s="7">
        <v>2114</v>
      </c>
      <c r="E267" s="7">
        <v>53476.5352993775</v>
      </c>
      <c r="F267" s="7">
        <v>13478</v>
      </c>
      <c r="G267" s="7">
        <v>25793.17</v>
      </c>
      <c r="H267" s="7">
        <v>23937.45</v>
      </c>
      <c r="I267" s="7">
        <v>12.7336</v>
      </c>
      <c r="J267" s="7">
        <v>14846</v>
      </c>
      <c r="L267" s="1">
        <v>26</v>
      </c>
      <c r="M267" s="1">
        <v>2019</v>
      </c>
      <c r="N267" s="9">
        <v>0.992408931200031</v>
      </c>
      <c r="O267" s="9">
        <v>0.995057143109744</v>
      </c>
      <c r="P267" s="9">
        <v>1.00670802263282</v>
      </c>
      <c r="Q267" s="9">
        <v>1.00916478326314</v>
      </c>
      <c r="T267" s="1">
        <v>26</v>
      </c>
      <c r="U267" s="1">
        <v>2019</v>
      </c>
      <c r="V267" s="1">
        <f t="shared" si="12"/>
        <v>1.02507324232051</v>
      </c>
      <c r="W267" s="1">
        <f t="shared" si="13"/>
        <v>1.13796729614159</v>
      </c>
      <c r="X267" s="1">
        <f t="shared" si="14"/>
        <v>1.15010402599605</v>
      </c>
      <c r="Y267" s="1">
        <f t="shared" si="15"/>
        <v>1.3022236903769</v>
      </c>
    </row>
    <row r="268" s="1" customFormat="1" spans="1:25">
      <c r="A268" s="2" t="s">
        <v>42</v>
      </c>
      <c r="B268" s="2">
        <v>27</v>
      </c>
      <c r="C268" s="2">
        <v>2019</v>
      </c>
      <c r="D268" s="7">
        <v>1333</v>
      </c>
      <c r="E268" s="7">
        <v>17665.6366438244</v>
      </c>
      <c r="F268" s="7">
        <v>7818</v>
      </c>
      <c r="G268" s="7">
        <v>8718.3</v>
      </c>
      <c r="H268" s="7">
        <v>9802.96</v>
      </c>
      <c r="I268" s="7">
        <v>8.7868</v>
      </c>
      <c r="J268" s="7">
        <v>6485</v>
      </c>
      <c r="L268" s="1">
        <v>27</v>
      </c>
      <c r="M268" s="1">
        <v>2019</v>
      </c>
      <c r="N268" s="9">
        <v>1.03740402896272</v>
      </c>
      <c r="O268" s="9">
        <v>1.03134999499773</v>
      </c>
      <c r="P268" s="9">
        <v>1.04511413547524</v>
      </c>
      <c r="Q268" s="9">
        <v>1.04759604891137</v>
      </c>
      <c r="T268" s="1">
        <v>27</v>
      </c>
      <c r="U268" s="1">
        <v>2019</v>
      </c>
      <c r="V268" s="1">
        <f t="shared" si="12"/>
        <v>0.996072384272797</v>
      </c>
      <c r="W268" s="1">
        <f t="shared" si="13"/>
        <v>0.607688368573412</v>
      </c>
      <c r="X268" s="1">
        <f t="shared" si="14"/>
        <v>0.994341575714962</v>
      </c>
      <c r="Y268" s="1">
        <f t="shared" si="15"/>
        <v>1.10201088543848</v>
      </c>
    </row>
    <row r="269" s="1" customFormat="1" spans="1:25">
      <c r="A269" s="2" t="s">
        <v>43</v>
      </c>
      <c r="B269" s="2">
        <v>28</v>
      </c>
      <c r="C269" s="2">
        <v>2019</v>
      </c>
      <c r="D269" s="7">
        <v>330.2</v>
      </c>
      <c r="E269" s="7">
        <v>13785.1018184243</v>
      </c>
      <c r="F269" s="7">
        <v>4235</v>
      </c>
      <c r="G269" s="7">
        <v>2965.95</v>
      </c>
      <c r="H269" s="7">
        <v>9593</v>
      </c>
      <c r="I269" s="7">
        <v>4.0323</v>
      </c>
      <c r="J269" s="7">
        <v>15603</v>
      </c>
      <c r="L269" s="1">
        <v>28</v>
      </c>
      <c r="M269" s="1">
        <v>2019</v>
      </c>
      <c r="N269" s="9">
        <v>0.976357024959667</v>
      </c>
      <c r="O269" s="9">
        <v>0.984932994632796</v>
      </c>
      <c r="P269" s="9">
        <v>0.997596900455178</v>
      </c>
      <c r="Q269" s="9">
        <v>1.00260921479476</v>
      </c>
      <c r="T269" s="1">
        <v>28</v>
      </c>
      <c r="U269" s="1">
        <v>2019</v>
      </c>
      <c r="V269" s="1">
        <f t="shared" si="12"/>
        <v>0.705504869738595</v>
      </c>
      <c r="W269" s="1">
        <f t="shared" si="13"/>
        <v>0.803014859205344</v>
      </c>
      <c r="X269" s="1">
        <f t="shared" si="14"/>
        <v>0.773838885057954</v>
      </c>
      <c r="Y269" s="1">
        <f t="shared" si="15"/>
        <v>0.897603137773426</v>
      </c>
    </row>
    <row r="270" s="1" customFormat="1" spans="1:25">
      <c r="A270" s="2" t="s">
        <v>44</v>
      </c>
      <c r="B270" s="2">
        <v>29</v>
      </c>
      <c r="C270" s="2">
        <v>2019</v>
      </c>
      <c r="D270" s="7">
        <v>343</v>
      </c>
      <c r="E270" s="7">
        <v>13412.3555603777</v>
      </c>
      <c r="F270" s="7">
        <v>7648</v>
      </c>
      <c r="G270" s="7">
        <v>3748.48</v>
      </c>
      <c r="H270" s="7">
        <v>12662.66</v>
      </c>
      <c r="I270" s="7">
        <v>12.1669</v>
      </c>
      <c r="J270" s="7">
        <v>6423</v>
      </c>
      <c r="L270" s="1">
        <v>29</v>
      </c>
      <c r="M270" s="1">
        <v>2019</v>
      </c>
      <c r="N270" s="9">
        <v>0.975943264003247</v>
      </c>
      <c r="O270" s="9">
        <v>0.99996104540084</v>
      </c>
      <c r="P270" s="9">
        <v>0.992654357909897</v>
      </c>
      <c r="Q270" s="9">
        <v>0.994469161662701</v>
      </c>
      <c r="T270" s="1">
        <v>29</v>
      </c>
      <c r="U270" s="1">
        <v>2019</v>
      </c>
      <c r="V270" s="1">
        <f t="shared" si="12"/>
        <v>0.82267843154225</v>
      </c>
      <c r="W270" s="1">
        <f t="shared" si="13"/>
        <v>0.882402096664007</v>
      </c>
      <c r="X270" s="1">
        <f t="shared" si="14"/>
        <v>0.913450966429168</v>
      </c>
      <c r="Y270" s="1">
        <f t="shared" si="15"/>
        <v>1.03531546826308</v>
      </c>
    </row>
    <row r="271" s="1" customFormat="1" spans="1:25">
      <c r="A271" s="2" t="s">
        <v>45</v>
      </c>
      <c r="B271" s="2">
        <v>30</v>
      </c>
      <c r="C271" s="2">
        <v>2019</v>
      </c>
      <c r="D271" s="7">
        <v>1343</v>
      </c>
      <c r="E271" s="7">
        <v>34623.7059277681</v>
      </c>
      <c r="F271" s="7">
        <v>18490</v>
      </c>
      <c r="G271" s="7">
        <v>13597.11</v>
      </c>
      <c r="H271" s="7">
        <v>15200</v>
      </c>
      <c r="I271" s="7">
        <v>20.2703</v>
      </c>
      <c r="J271" s="7">
        <v>12176</v>
      </c>
      <c r="L271" s="1">
        <v>30</v>
      </c>
      <c r="M271" s="1">
        <v>2019</v>
      </c>
      <c r="N271" s="9">
        <v>1.03797599785761</v>
      </c>
      <c r="O271" s="9">
        <v>1.03943879149789</v>
      </c>
      <c r="P271" s="9">
        <v>1.08090466743443</v>
      </c>
      <c r="Q271" s="9">
        <v>1.08330455147688</v>
      </c>
      <c r="T271" s="1">
        <v>30</v>
      </c>
      <c r="U271" s="1">
        <v>2019</v>
      </c>
      <c r="V271" s="1">
        <f t="shared" si="12"/>
        <v>0.852385566710217</v>
      </c>
      <c r="W271" s="1">
        <f t="shared" si="13"/>
        <v>0.907068316322907</v>
      </c>
      <c r="X271" s="1">
        <f t="shared" si="14"/>
        <v>0.946794850042089</v>
      </c>
      <c r="Y271" s="1">
        <f t="shared" si="15"/>
        <v>1.0580488428216</v>
      </c>
    </row>
    <row r="272" s="1" customFormat="1" spans="1:25">
      <c r="A272" s="2" t="s">
        <v>16</v>
      </c>
      <c r="B272" s="2">
        <v>1</v>
      </c>
      <c r="C272" s="2">
        <v>2020</v>
      </c>
      <c r="D272" s="7">
        <v>1164</v>
      </c>
      <c r="E272" s="7">
        <v>49397.647961151</v>
      </c>
      <c r="F272" s="7">
        <v>6762.1</v>
      </c>
      <c r="G272" s="7">
        <v>36102.55</v>
      </c>
      <c r="H272" s="7">
        <v>7345.7</v>
      </c>
      <c r="I272" s="7">
        <v>0.0988</v>
      </c>
      <c r="J272" s="7">
        <v>415</v>
      </c>
      <c r="L272" s="1">
        <v>1</v>
      </c>
      <c r="M272" s="1">
        <v>2020</v>
      </c>
      <c r="N272" s="9">
        <v>0.998401869508972</v>
      </c>
      <c r="O272" s="9">
        <v>1.60265604827067</v>
      </c>
      <c r="P272" s="9">
        <v>1.09065137412805</v>
      </c>
      <c r="Q272" s="9">
        <v>1.03178383300113</v>
      </c>
      <c r="T272" s="1">
        <v>1</v>
      </c>
      <c r="U272" s="1">
        <v>2020</v>
      </c>
      <c r="V272" s="1">
        <f t="shared" si="12"/>
        <v>2.15278319346638</v>
      </c>
      <c r="W272" s="1">
        <f t="shared" si="13"/>
        <v>14.8964456386773</v>
      </c>
      <c r="X272" s="1">
        <f t="shared" si="14"/>
        <v>1.99705486543201</v>
      </c>
      <c r="Y272" s="1">
        <f t="shared" si="15"/>
        <v>2.61030439666621</v>
      </c>
    </row>
    <row r="273" s="1" customFormat="1" spans="1:25">
      <c r="A273" s="2" t="s">
        <v>17</v>
      </c>
      <c r="B273" s="2">
        <v>2</v>
      </c>
      <c r="C273" s="2">
        <v>2020</v>
      </c>
      <c r="D273" s="7">
        <v>647</v>
      </c>
      <c r="E273" s="7">
        <v>52258.6603858862</v>
      </c>
      <c r="F273" s="7">
        <v>8104.6</v>
      </c>
      <c r="G273" s="7">
        <v>14083.73</v>
      </c>
      <c r="H273" s="7">
        <v>11160.3</v>
      </c>
      <c r="I273" s="7">
        <v>0.9756</v>
      </c>
      <c r="J273" s="7">
        <v>1739</v>
      </c>
      <c r="L273" s="1">
        <v>2</v>
      </c>
      <c r="M273" s="1">
        <v>2020</v>
      </c>
      <c r="N273" s="9">
        <v>1.25763266749269</v>
      </c>
      <c r="O273" s="9">
        <v>2.76166410129159</v>
      </c>
      <c r="P273" s="9">
        <v>1.155005191607</v>
      </c>
      <c r="Q273" s="9">
        <v>1.1784669122868</v>
      </c>
      <c r="T273" s="1">
        <v>2</v>
      </c>
      <c r="U273" s="1">
        <v>2020</v>
      </c>
      <c r="V273" s="1">
        <f t="shared" si="12"/>
        <v>1.08067391176325</v>
      </c>
      <c r="W273" s="1">
        <f t="shared" si="13"/>
        <v>4.85275080989954</v>
      </c>
      <c r="X273" s="1">
        <f t="shared" si="14"/>
        <v>0.949261832917296</v>
      </c>
      <c r="Y273" s="1">
        <f t="shared" si="15"/>
        <v>3.55630177549375</v>
      </c>
    </row>
    <row r="274" s="1" customFormat="1" spans="1:25">
      <c r="A274" s="2" t="s">
        <v>18</v>
      </c>
      <c r="B274" s="2">
        <v>3</v>
      </c>
      <c r="C274" s="2">
        <v>2020</v>
      </c>
      <c r="D274" s="7">
        <v>3671</v>
      </c>
      <c r="E274" s="7">
        <v>93665.0552464093</v>
      </c>
      <c r="F274" s="7">
        <v>32782.76</v>
      </c>
      <c r="G274" s="7">
        <v>36206.89</v>
      </c>
      <c r="H274" s="7">
        <v>29851.54</v>
      </c>
      <c r="I274" s="7">
        <v>12.2789</v>
      </c>
      <c r="J274" s="7">
        <v>34081</v>
      </c>
      <c r="L274" s="1">
        <v>3</v>
      </c>
      <c r="M274" s="1">
        <v>2020</v>
      </c>
      <c r="N274" s="9">
        <v>1.00658767279482</v>
      </c>
      <c r="O274" s="9">
        <v>1.01977247803261</v>
      </c>
      <c r="P274" s="9">
        <v>1.0085703900889</v>
      </c>
      <c r="Q274" s="9">
        <v>1.01132687800757</v>
      </c>
      <c r="T274" s="1">
        <v>3</v>
      </c>
      <c r="U274" s="1">
        <v>2020</v>
      </c>
      <c r="V274" s="1">
        <f t="shared" si="12"/>
        <v>0.892052192911487</v>
      </c>
      <c r="W274" s="1">
        <f t="shared" si="13"/>
        <v>1.37563092395263</v>
      </c>
      <c r="X274" s="1">
        <f t="shared" si="14"/>
        <v>0.920134016253843</v>
      </c>
      <c r="Y274" s="1">
        <f t="shared" si="15"/>
        <v>1.04214974619871</v>
      </c>
    </row>
    <row r="275" s="1" customFormat="1" spans="1:25">
      <c r="A275" s="2" t="s">
        <v>19</v>
      </c>
      <c r="B275" s="2">
        <v>4</v>
      </c>
      <c r="C275" s="2">
        <v>2020</v>
      </c>
      <c r="D275" s="7">
        <v>1738</v>
      </c>
      <c r="E275" s="7">
        <v>36887.5043260786</v>
      </c>
      <c r="F275" s="7">
        <v>20980.55</v>
      </c>
      <c r="G275" s="7">
        <v>17651.93</v>
      </c>
      <c r="H275" s="7">
        <v>15859</v>
      </c>
      <c r="I275" s="7">
        <v>12.2494</v>
      </c>
      <c r="J275" s="7">
        <v>42635</v>
      </c>
      <c r="L275" s="1">
        <v>4</v>
      </c>
      <c r="M275" s="1">
        <v>2020</v>
      </c>
      <c r="N275" s="9">
        <v>1.04017225855616</v>
      </c>
      <c r="O275" s="9">
        <v>1.03144396422772</v>
      </c>
      <c r="P275" s="9">
        <v>1.02924368913924</v>
      </c>
      <c r="Q275" s="9">
        <v>1.03253769072422</v>
      </c>
      <c r="T275" s="1">
        <v>4</v>
      </c>
      <c r="U275" s="1">
        <v>2020</v>
      </c>
      <c r="V275" s="1">
        <f t="shared" si="12"/>
        <v>1.0125520685479</v>
      </c>
      <c r="W275" s="1">
        <f t="shared" si="13"/>
        <v>1.04975984963644</v>
      </c>
      <c r="X275" s="1">
        <f t="shared" si="14"/>
        <v>1.02642018852468</v>
      </c>
      <c r="Y275" s="1">
        <f t="shared" si="15"/>
        <v>1.12814053146411</v>
      </c>
    </row>
    <row r="276" s="1" customFormat="1" spans="1:25">
      <c r="A276" s="2" t="s">
        <v>20</v>
      </c>
      <c r="B276" s="2">
        <v>5</v>
      </c>
      <c r="C276" s="2">
        <v>2020</v>
      </c>
      <c r="D276" s="7">
        <v>1242</v>
      </c>
      <c r="E276" s="7">
        <v>51481.2198555849</v>
      </c>
      <c r="F276" s="7">
        <v>27133.65</v>
      </c>
      <c r="G276" s="7">
        <v>17359.82</v>
      </c>
      <c r="H276" s="7">
        <v>10853.65</v>
      </c>
      <c r="I276" s="7">
        <v>22.3916</v>
      </c>
      <c r="J276" s="7">
        <v>35117</v>
      </c>
      <c r="L276" s="1">
        <v>5</v>
      </c>
      <c r="M276" s="1">
        <v>2020</v>
      </c>
      <c r="N276" s="9">
        <v>1.07435221195112</v>
      </c>
      <c r="O276" s="9">
        <v>1.07004154100768</v>
      </c>
      <c r="P276" s="9">
        <v>1.03893640844251</v>
      </c>
      <c r="Q276" s="9">
        <v>1.04466617018535</v>
      </c>
      <c r="T276" s="1">
        <v>5</v>
      </c>
      <c r="U276" s="1">
        <v>2020</v>
      </c>
      <c r="V276" s="1">
        <f t="shared" si="12"/>
        <v>0.937179810029767</v>
      </c>
      <c r="W276" s="1">
        <f t="shared" si="13"/>
        <v>0.994615825945969</v>
      </c>
      <c r="X276" s="1">
        <f t="shared" si="14"/>
        <v>0.87885869523814</v>
      </c>
      <c r="Y276" s="1">
        <f t="shared" si="15"/>
        <v>0.99314453557079</v>
      </c>
    </row>
    <row r="277" s="1" customFormat="1" spans="1:25">
      <c r="A277" s="2" t="s">
        <v>21</v>
      </c>
      <c r="B277" s="2">
        <v>6</v>
      </c>
      <c r="C277" s="2">
        <v>2020</v>
      </c>
      <c r="D277" s="7">
        <v>2231</v>
      </c>
      <c r="E277" s="7">
        <v>61436.3645904065</v>
      </c>
      <c r="F277" s="7">
        <v>24849.5</v>
      </c>
      <c r="G277" s="7">
        <v>25114.96</v>
      </c>
      <c r="H277" s="7">
        <v>29029.5</v>
      </c>
      <c r="I277" s="7">
        <v>14.4429</v>
      </c>
      <c r="J277" s="7">
        <v>25526</v>
      </c>
      <c r="L277" s="1">
        <v>6</v>
      </c>
      <c r="M277" s="1">
        <v>2020</v>
      </c>
      <c r="N277" s="9">
        <v>1.00969118870885</v>
      </c>
      <c r="O277" s="9">
        <v>1.00464212195341</v>
      </c>
      <c r="P277" s="9">
        <v>1.00428313548657</v>
      </c>
      <c r="Q277" s="9">
        <v>1.00498221359606</v>
      </c>
      <c r="T277" s="1">
        <v>6</v>
      </c>
      <c r="U277" s="1">
        <v>2020</v>
      </c>
      <c r="V277" s="1">
        <f t="shared" si="12"/>
        <v>0.905336387388894</v>
      </c>
      <c r="W277" s="1">
        <f t="shared" si="13"/>
        <v>1.03382263185158</v>
      </c>
      <c r="X277" s="1">
        <f t="shared" si="14"/>
        <v>0.886456957356597</v>
      </c>
      <c r="Y277" s="1">
        <f t="shared" si="15"/>
        <v>0.972887182204132</v>
      </c>
    </row>
    <row r="278" s="1" customFormat="1" spans="1:25">
      <c r="A278" s="2" t="s">
        <v>22</v>
      </c>
      <c r="B278" s="2">
        <v>7</v>
      </c>
      <c r="C278" s="2">
        <v>2020</v>
      </c>
      <c r="D278" s="7">
        <v>1261</v>
      </c>
      <c r="E278" s="7">
        <v>50298.5653265522</v>
      </c>
      <c r="F278" s="7">
        <v>7185.7</v>
      </c>
      <c r="G278" s="7">
        <v>12311.32</v>
      </c>
      <c r="H278" s="7">
        <v>9373</v>
      </c>
      <c r="I278" s="7">
        <v>5.3072</v>
      </c>
      <c r="J278" s="7">
        <v>4676</v>
      </c>
      <c r="L278" s="1">
        <v>7</v>
      </c>
      <c r="M278" s="1">
        <v>2020</v>
      </c>
      <c r="N278" s="9">
        <v>1.11993960350108</v>
      </c>
      <c r="O278" s="9">
        <v>1.10562674008032</v>
      </c>
      <c r="P278" s="9">
        <v>1.06777413678867</v>
      </c>
      <c r="Q278" s="9">
        <v>1.07445603568499</v>
      </c>
      <c r="T278" s="1">
        <v>7</v>
      </c>
      <c r="U278" s="1">
        <v>2020</v>
      </c>
      <c r="V278" s="1">
        <f t="shared" si="12"/>
        <v>1.14002242885381</v>
      </c>
      <c r="W278" s="1">
        <f t="shared" si="13"/>
        <v>1.21011837699385</v>
      </c>
      <c r="X278" s="1">
        <f t="shared" si="14"/>
        <v>0.967733070658527</v>
      </c>
      <c r="Y278" s="1">
        <f t="shared" si="15"/>
        <v>1.11797522014785</v>
      </c>
    </row>
    <row r="279" s="1" customFormat="1" spans="1:25">
      <c r="A279" s="2" t="s">
        <v>23</v>
      </c>
      <c r="B279" s="2">
        <v>8</v>
      </c>
      <c r="C279" s="2">
        <v>2020</v>
      </c>
      <c r="D279" s="7">
        <v>1473</v>
      </c>
      <c r="E279" s="7">
        <v>45019.5200419737</v>
      </c>
      <c r="F279" s="7">
        <v>11525.7336</v>
      </c>
      <c r="G279" s="7">
        <v>13698.5</v>
      </c>
      <c r="H279" s="7">
        <v>15256.9</v>
      </c>
      <c r="I279" s="7">
        <v>9.0311</v>
      </c>
      <c r="J279" s="7">
        <v>6769</v>
      </c>
      <c r="L279" s="1">
        <v>8</v>
      </c>
      <c r="M279" s="1">
        <v>2020</v>
      </c>
      <c r="N279" s="9">
        <v>1.02766480312275</v>
      </c>
      <c r="O279" s="9">
        <v>1.02641819249388</v>
      </c>
      <c r="P279" s="9">
        <v>1.00749561355961</v>
      </c>
      <c r="Q279" s="9">
        <v>1.01276135091422</v>
      </c>
      <c r="T279" s="1">
        <v>8</v>
      </c>
      <c r="U279" s="1">
        <v>2020</v>
      </c>
      <c r="V279" s="1">
        <f t="shared" si="12"/>
        <v>0.859198747297168</v>
      </c>
      <c r="W279" s="1">
        <f t="shared" si="13"/>
        <v>0.901305996662348</v>
      </c>
      <c r="X279" s="1">
        <f t="shared" si="14"/>
        <v>0.735468229304056</v>
      </c>
      <c r="Y279" s="1">
        <f t="shared" si="15"/>
        <v>0.846832044456963</v>
      </c>
    </row>
    <row r="280" s="1" customFormat="1" spans="1:25">
      <c r="A280" s="2" t="s">
        <v>24</v>
      </c>
      <c r="B280" s="2">
        <v>9</v>
      </c>
      <c r="C280" s="2">
        <v>2020</v>
      </c>
      <c r="D280" s="7">
        <v>1374</v>
      </c>
      <c r="E280" s="7">
        <v>56861.9442522781</v>
      </c>
      <c r="F280" s="7">
        <v>11099.59</v>
      </c>
      <c r="G280" s="7">
        <v>38700.58</v>
      </c>
      <c r="H280" s="7">
        <v>31200</v>
      </c>
      <c r="I280" s="7">
        <v>0.52</v>
      </c>
      <c r="J280" s="7">
        <v>1809</v>
      </c>
      <c r="L280" s="1">
        <v>9</v>
      </c>
      <c r="M280" s="1">
        <v>2020</v>
      </c>
      <c r="N280" s="9">
        <v>1.0107555249578</v>
      </c>
      <c r="O280" s="9">
        <v>1.04679479447738</v>
      </c>
      <c r="P280" s="9">
        <v>1.01070631852735</v>
      </c>
      <c r="Q280" s="9">
        <v>1.34270219517835</v>
      </c>
      <c r="T280" s="1">
        <v>9</v>
      </c>
      <c r="U280" s="1">
        <v>2020</v>
      </c>
      <c r="V280" s="1">
        <f t="shared" si="12"/>
        <v>1.25101984051881</v>
      </c>
      <c r="W280" s="1">
        <f t="shared" si="13"/>
        <v>3.4993684092066</v>
      </c>
      <c r="X280" s="1">
        <f t="shared" si="14"/>
        <v>1.47518266000522</v>
      </c>
      <c r="Y280" s="1">
        <f t="shared" si="15"/>
        <v>5.08364640496254</v>
      </c>
    </row>
    <row r="281" s="1" customFormat="1" spans="1:25">
      <c r="A281" s="2" t="s">
        <v>25</v>
      </c>
      <c r="B281" s="2">
        <v>10</v>
      </c>
      <c r="C281" s="2">
        <v>2020</v>
      </c>
      <c r="D281" s="7">
        <v>4893</v>
      </c>
      <c r="E281" s="7">
        <v>155910.976284725</v>
      </c>
      <c r="F281" s="7">
        <v>32672.49</v>
      </c>
      <c r="G281" s="7">
        <v>102718.98</v>
      </c>
      <c r="H281" s="7">
        <v>114700</v>
      </c>
      <c r="I281" s="7">
        <v>10.8322</v>
      </c>
      <c r="J281" s="7">
        <v>11870</v>
      </c>
      <c r="L281" s="1">
        <v>10</v>
      </c>
      <c r="M281" s="1">
        <v>2020</v>
      </c>
      <c r="N281" s="9">
        <v>1.10621440039007</v>
      </c>
      <c r="O281" s="9">
        <v>1.02167777312861</v>
      </c>
      <c r="P281" s="9">
        <v>1.01371747928942</v>
      </c>
      <c r="Q281" s="9">
        <v>1.01992668435577</v>
      </c>
      <c r="T281" s="1">
        <v>10</v>
      </c>
      <c r="U281" s="1">
        <v>2020</v>
      </c>
      <c r="V281" s="1">
        <f t="shared" si="12"/>
        <v>2.18968600545862</v>
      </c>
      <c r="W281" s="1">
        <f t="shared" si="13"/>
        <v>2.7044040517425</v>
      </c>
      <c r="X281" s="1">
        <f t="shared" si="14"/>
        <v>1.357498417185</v>
      </c>
      <c r="Y281" s="1">
        <f t="shared" si="15"/>
        <v>3.2322212513997</v>
      </c>
    </row>
    <row r="282" s="1" customFormat="1" spans="1:25">
      <c r="A282" s="2" t="s">
        <v>26</v>
      </c>
      <c r="B282" s="2">
        <v>11</v>
      </c>
      <c r="C282" s="2">
        <v>2020</v>
      </c>
      <c r="D282" s="7">
        <v>3857</v>
      </c>
      <c r="E282" s="7">
        <v>104615.439529981</v>
      </c>
      <c r="F282" s="7">
        <v>24660</v>
      </c>
      <c r="G282" s="7">
        <v>64613.34</v>
      </c>
      <c r="H282" s="7">
        <v>100263</v>
      </c>
      <c r="I282" s="7">
        <v>4.9495</v>
      </c>
      <c r="J282" s="7">
        <v>4591</v>
      </c>
      <c r="L282" s="1">
        <v>11</v>
      </c>
      <c r="M282" s="1">
        <v>2020</v>
      </c>
      <c r="N282" s="9">
        <v>1.04831053777295</v>
      </c>
      <c r="O282" s="9">
        <v>1.12038490735154</v>
      </c>
      <c r="P282" s="9">
        <v>0.979354148646795</v>
      </c>
      <c r="Q282" s="9">
        <v>0.988253773453018</v>
      </c>
      <c r="T282" s="1">
        <v>11</v>
      </c>
      <c r="U282" s="1">
        <v>2020</v>
      </c>
      <c r="V282" s="1">
        <f t="shared" si="12"/>
        <v>1.57836786078137</v>
      </c>
      <c r="W282" s="1">
        <f t="shared" si="13"/>
        <v>6.64516547797542</v>
      </c>
      <c r="X282" s="1">
        <f t="shared" si="14"/>
        <v>1.20833022191426</v>
      </c>
      <c r="Y282" s="1">
        <f t="shared" si="15"/>
        <v>1.35189105661601</v>
      </c>
    </row>
    <row r="283" s="1" customFormat="1" spans="1:25">
      <c r="A283" s="2" t="s">
        <v>27</v>
      </c>
      <c r="B283" s="2">
        <v>12</v>
      </c>
      <c r="C283" s="2">
        <v>2020</v>
      </c>
      <c r="D283" s="7">
        <v>3243</v>
      </c>
      <c r="E283" s="7">
        <v>60054.6418518878</v>
      </c>
      <c r="F283" s="7">
        <v>14697.9</v>
      </c>
      <c r="G283" s="7">
        <v>38680.63</v>
      </c>
      <c r="H283" s="7">
        <v>40447.9954</v>
      </c>
      <c r="I283" s="7">
        <v>10.4672</v>
      </c>
      <c r="J283" s="7">
        <v>14012</v>
      </c>
      <c r="L283" s="1">
        <v>12</v>
      </c>
      <c r="M283" s="1">
        <v>2020</v>
      </c>
      <c r="N283" s="9">
        <v>1.03434582168393</v>
      </c>
      <c r="O283" s="9">
        <v>1.09093996489848</v>
      </c>
      <c r="P283" s="9">
        <v>1.03828400868951</v>
      </c>
      <c r="Q283" s="9">
        <v>1.05004946061243</v>
      </c>
      <c r="T283" s="1">
        <v>12</v>
      </c>
      <c r="U283" s="1">
        <v>2020</v>
      </c>
      <c r="V283" s="1">
        <f t="shared" si="12"/>
        <v>1.14745340699799</v>
      </c>
      <c r="W283" s="1">
        <f t="shared" si="13"/>
        <v>1.71098128069444</v>
      </c>
      <c r="X283" s="1">
        <f t="shared" si="14"/>
        <v>1.30405230869317</v>
      </c>
      <c r="Y283" s="1">
        <f t="shared" si="15"/>
        <v>1.96968933236783</v>
      </c>
    </row>
    <row r="284" s="1" customFormat="1" spans="1:25">
      <c r="A284" s="2" t="s">
        <v>28</v>
      </c>
      <c r="B284" s="2">
        <v>13</v>
      </c>
      <c r="C284" s="2">
        <v>2020</v>
      </c>
      <c r="D284" s="7">
        <v>2206</v>
      </c>
      <c r="E284" s="7">
        <v>83639.3741735619</v>
      </c>
      <c r="F284" s="7">
        <v>13905.19</v>
      </c>
      <c r="G284" s="7">
        <v>43903.89</v>
      </c>
      <c r="H284" s="7">
        <v>155200</v>
      </c>
      <c r="I284" s="7">
        <v>6.133</v>
      </c>
      <c r="J284" s="7">
        <v>6043</v>
      </c>
      <c r="L284" s="1">
        <v>13</v>
      </c>
      <c r="M284" s="1">
        <v>2020</v>
      </c>
      <c r="N284" s="9">
        <v>0.99897733058437</v>
      </c>
      <c r="O284" s="9">
        <v>1.0704431412986</v>
      </c>
      <c r="P284" s="9">
        <v>1.00652173182264</v>
      </c>
      <c r="Q284" s="9">
        <v>1.01454071328727</v>
      </c>
      <c r="T284" s="1">
        <v>13</v>
      </c>
      <c r="U284" s="1">
        <v>2020</v>
      </c>
      <c r="V284" s="1">
        <f t="shared" si="12"/>
        <v>1.16399397165777</v>
      </c>
      <c r="W284" s="1">
        <f t="shared" si="13"/>
        <v>3.10413188011542</v>
      </c>
      <c r="X284" s="1">
        <f t="shared" si="14"/>
        <v>1.38870402477732</v>
      </c>
      <c r="Y284" s="1">
        <f t="shared" si="15"/>
        <v>1.59217778725582</v>
      </c>
    </row>
    <row r="285" s="1" customFormat="1" spans="1:25">
      <c r="A285" s="2" t="s">
        <v>29</v>
      </c>
      <c r="B285" s="2">
        <v>14</v>
      </c>
      <c r="C285" s="2">
        <v>2020</v>
      </c>
      <c r="D285" s="7">
        <v>2264</v>
      </c>
      <c r="E285" s="7">
        <v>42474.1262446343</v>
      </c>
      <c r="F285" s="7">
        <v>9808.6</v>
      </c>
      <c r="G285" s="7">
        <v>25691.5</v>
      </c>
      <c r="H285" s="7">
        <v>36487.9376</v>
      </c>
      <c r="I285" s="7">
        <v>8.6395</v>
      </c>
      <c r="J285" s="7">
        <v>12083</v>
      </c>
      <c r="L285" s="1">
        <v>14</v>
      </c>
      <c r="M285" s="1">
        <v>2020</v>
      </c>
      <c r="N285" s="9">
        <v>1.01157053995742</v>
      </c>
      <c r="O285" s="9">
        <v>1.00004981336734</v>
      </c>
      <c r="P285" s="9">
        <v>0.999525014066558</v>
      </c>
      <c r="Q285" s="9">
        <v>1.00369697513149</v>
      </c>
      <c r="T285" s="1">
        <v>14</v>
      </c>
      <c r="U285" s="1">
        <v>2020</v>
      </c>
      <c r="V285" s="1">
        <f t="shared" si="12"/>
        <v>1.07533644019489</v>
      </c>
      <c r="W285" s="1">
        <f t="shared" si="13"/>
        <v>0.25024147747995</v>
      </c>
      <c r="X285" s="1">
        <f t="shared" si="14"/>
        <v>1.20357032228945</v>
      </c>
      <c r="Y285" s="1">
        <f t="shared" si="15"/>
        <v>1.16538801237136</v>
      </c>
    </row>
    <row r="286" s="1" customFormat="1" spans="1:25">
      <c r="A286" s="2" t="s">
        <v>30</v>
      </c>
      <c r="B286" s="2">
        <v>15</v>
      </c>
      <c r="C286" s="2">
        <v>2020</v>
      </c>
      <c r="D286" s="7">
        <v>5510</v>
      </c>
      <c r="E286" s="7">
        <v>155723.186481311</v>
      </c>
      <c r="F286" s="7">
        <v>42132.9</v>
      </c>
      <c r="G286" s="7">
        <v>73129</v>
      </c>
      <c r="H286" s="7">
        <v>133359</v>
      </c>
      <c r="I286" s="7">
        <v>15.2865</v>
      </c>
      <c r="J286" s="7">
        <v>24989</v>
      </c>
      <c r="L286" s="1">
        <v>15</v>
      </c>
      <c r="M286" s="1">
        <v>2020</v>
      </c>
      <c r="N286" s="9">
        <v>1.0380019141545</v>
      </c>
      <c r="O286" s="9">
        <v>1.06040471584331</v>
      </c>
      <c r="P286" s="9">
        <v>1.01419415091069</v>
      </c>
      <c r="Q286" s="9">
        <v>1.01698180180291</v>
      </c>
      <c r="T286" s="1">
        <v>15</v>
      </c>
      <c r="U286" s="1">
        <v>2020</v>
      </c>
      <c r="V286" s="1">
        <f t="shared" si="12"/>
        <v>1.36948458500581</v>
      </c>
      <c r="W286" s="1">
        <f t="shared" si="13"/>
        <v>2.41736112026113</v>
      </c>
      <c r="X286" s="1">
        <f t="shared" si="14"/>
        <v>1.06814854012041</v>
      </c>
      <c r="Y286" s="1">
        <f t="shared" si="15"/>
        <v>1.20056195714942</v>
      </c>
    </row>
    <row r="287" s="1" customFormat="1" spans="1:25">
      <c r="A287" s="2" t="s">
        <v>31</v>
      </c>
      <c r="B287" s="2">
        <v>16</v>
      </c>
      <c r="C287" s="2">
        <v>2020</v>
      </c>
      <c r="D287" s="7">
        <v>4884</v>
      </c>
      <c r="E287" s="7">
        <v>137643.362807894</v>
      </c>
      <c r="F287" s="7">
        <v>22752</v>
      </c>
      <c r="G287" s="7">
        <v>54997.07</v>
      </c>
      <c r="H287" s="7">
        <v>43231.67</v>
      </c>
      <c r="I287" s="7">
        <v>5.6958</v>
      </c>
      <c r="J287" s="7">
        <v>15355</v>
      </c>
      <c r="L287" s="1">
        <v>16</v>
      </c>
      <c r="M287" s="1">
        <v>2020</v>
      </c>
      <c r="N287" s="9">
        <v>0.998690814272829</v>
      </c>
      <c r="O287" s="9">
        <v>0.67712691640835</v>
      </c>
      <c r="P287" s="9">
        <v>0.980516574211458</v>
      </c>
      <c r="Q287" s="9">
        <v>0.98474697244749</v>
      </c>
      <c r="T287" s="1">
        <v>16</v>
      </c>
      <c r="U287" s="1">
        <v>2020</v>
      </c>
      <c r="V287" s="1">
        <f t="shared" si="12"/>
        <v>1.3749932428199</v>
      </c>
      <c r="W287" s="1">
        <f t="shared" si="13"/>
        <v>4.10096341727325</v>
      </c>
      <c r="X287" s="1">
        <f t="shared" si="14"/>
        <v>1.25133352502267</v>
      </c>
      <c r="Y287" s="1">
        <f t="shared" si="15"/>
        <v>1.47059991426607</v>
      </c>
    </row>
    <row r="288" s="1" customFormat="1" spans="1:25">
      <c r="A288" s="2" t="s">
        <v>32</v>
      </c>
      <c r="B288" s="2">
        <v>17</v>
      </c>
      <c r="C288" s="2">
        <v>2020</v>
      </c>
      <c r="D288" s="7">
        <v>3261</v>
      </c>
      <c r="E288" s="7">
        <v>81909.963474489</v>
      </c>
      <c r="F288" s="7">
        <v>16251.46</v>
      </c>
      <c r="G288" s="7">
        <v>43443.46</v>
      </c>
      <c r="H288" s="7">
        <v>45500</v>
      </c>
      <c r="I288" s="7">
        <v>5.5105</v>
      </c>
      <c r="J288" s="7">
        <v>8987</v>
      </c>
      <c r="L288" s="1">
        <v>17</v>
      </c>
      <c r="M288" s="1">
        <v>2020</v>
      </c>
      <c r="N288" s="9">
        <v>0.953475779302823</v>
      </c>
      <c r="O288" s="9">
        <v>0.944476704708609</v>
      </c>
      <c r="P288" s="9">
        <v>0.95870778499861</v>
      </c>
      <c r="Q288" s="9">
        <v>0.963521188827078</v>
      </c>
      <c r="T288" s="1">
        <v>17</v>
      </c>
      <c r="U288" s="1">
        <v>2020</v>
      </c>
      <c r="V288" s="1">
        <f t="shared" si="12"/>
        <v>1.13476950900352</v>
      </c>
      <c r="W288" s="1">
        <f t="shared" si="13"/>
        <v>2.90798891520057</v>
      </c>
      <c r="X288" s="1">
        <f t="shared" si="14"/>
        <v>1.27583758614893</v>
      </c>
      <c r="Y288" s="1">
        <f t="shared" si="15"/>
        <v>1.50947740157165</v>
      </c>
    </row>
    <row r="289" s="1" customFormat="1" spans="1:25">
      <c r="A289" s="2" t="s">
        <v>33</v>
      </c>
      <c r="B289" s="2">
        <v>18</v>
      </c>
      <c r="C289" s="2">
        <v>2020</v>
      </c>
      <c r="D289" s="7">
        <v>3280</v>
      </c>
      <c r="E289" s="7">
        <v>70912.2566549462</v>
      </c>
      <c r="F289" s="7">
        <v>16274.6171</v>
      </c>
      <c r="G289" s="7">
        <v>41781.49</v>
      </c>
      <c r="H289" s="7">
        <v>36446.52</v>
      </c>
      <c r="I289" s="7">
        <v>6.4288</v>
      </c>
      <c r="J289" s="7">
        <v>4360</v>
      </c>
      <c r="L289" s="1">
        <v>18</v>
      </c>
      <c r="M289" s="1">
        <v>2020</v>
      </c>
      <c r="N289" s="9">
        <v>1.01805069359913</v>
      </c>
      <c r="O289" s="9">
        <v>1.10365086566825</v>
      </c>
      <c r="P289" s="9">
        <v>1.02804534205639</v>
      </c>
      <c r="Q289" s="9">
        <v>1.04065196333049</v>
      </c>
      <c r="T289" s="1">
        <v>18</v>
      </c>
      <c r="U289" s="1">
        <v>2020</v>
      </c>
      <c r="V289" s="1">
        <f t="shared" ref="V289:V352" si="16">V259*N289</f>
        <v>1.13876188183865</v>
      </c>
      <c r="W289" s="1">
        <f t="shared" ref="W289:W352" si="17">W259*O289</f>
        <v>2.0353259589017</v>
      </c>
      <c r="X289" s="1">
        <f t="shared" ref="X289:X352" si="18">X259*P289</f>
        <v>1.2527624460532</v>
      </c>
      <c r="Y289" s="1">
        <f t="shared" ref="Y289:Y352" si="19">Y259*Q289</f>
        <v>1.1831249400097</v>
      </c>
    </row>
    <row r="290" s="1" customFormat="1" spans="1:25">
      <c r="A290" s="2" t="s">
        <v>34</v>
      </c>
      <c r="B290" s="2">
        <v>19</v>
      </c>
      <c r="C290" s="2">
        <v>2020</v>
      </c>
      <c r="D290" s="7">
        <v>7039</v>
      </c>
      <c r="E290" s="7">
        <v>175836.431346047</v>
      </c>
      <c r="F290" s="7">
        <v>32818.22</v>
      </c>
      <c r="G290" s="7">
        <v>110760.94</v>
      </c>
      <c r="H290" s="7">
        <v>117080.6</v>
      </c>
      <c r="I290" s="7">
        <v>10.1296</v>
      </c>
      <c r="J290" s="7">
        <v>6944</v>
      </c>
      <c r="L290" s="1">
        <v>19</v>
      </c>
      <c r="M290" s="1">
        <v>2020</v>
      </c>
      <c r="N290" s="9">
        <v>1.09717953006237</v>
      </c>
      <c r="O290" s="9">
        <v>1.02287780474744</v>
      </c>
      <c r="P290" s="9">
        <v>1.00701566034937</v>
      </c>
      <c r="Q290" s="9">
        <v>1.01994096453684</v>
      </c>
      <c r="T290" s="1">
        <v>19</v>
      </c>
      <c r="U290" s="1">
        <v>2020</v>
      </c>
      <c r="V290" s="1">
        <f t="shared" si="16"/>
        <v>0.654985644279196</v>
      </c>
      <c r="W290" s="1">
        <f t="shared" si="17"/>
        <v>1.3455922738628</v>
      </c>
      <c r="X290" s="1">
        <f t="shared" si="18"/>
        <v>1.16764104895052</v>
      </c>
      <c r="Y290" s="1">
        <f t="shared" si="19"/>
        <v>0.653284241114459</v>
      </c>
    </row>
    <row r="291" s="1" customFormat="1" spans="1:25">
      <c r="A291" s="2" t="s">
        <v>35</v>
      </c>
      <c r="B291" s="2">
        <v>20</v>
      </c>
      <c r="C291" s="2">
        <v>2020</v>
      </c>
      <c r="D291" s="7">
        <v>2558</v>
      </c>
      <c r="E291" s="7">
        <v>53340.172893176</v>
      </c>
      <c r="F291" s="7">
        <v>11806.05</v>
      </c>
      <c r="G291" s="7">
        <v>22156.69</v>
      </c>
      <c r="H291" s="7">
        <v>30559</v>
      </c>
      <c r="I291" s="7">
        <v>8.2609</v>
      </c>
      <c r="J291" s="7">
        <v>9030</v>
      </c>
      <c r="L291" s="1">
        <v>20</v>
      </c>
      <c r="M291" s="1">
        <v>2020</v>
      </c>
      <c r="N291" s="9">
        <v>1.00967194127681</v>
      </c>
      <c r="O291" s="9">
        <v>1.00750258347582</v>
      </c>
      <c r="P291" s="9">
        <v>1.01410803906019</v>
      </c>
      <c r="Q291" s="9">
        <v>1.01656167142909</v>
      </c>
      <c r="T291" s="1">
        <v>20</v>
      </c>
      <c r="U291" s="1">
        <v>2020</v>
      </c>
      <c r="V291" s="1">
        <f t="shared" si="16"/>
        <v>1.06537407895564</v>
      </c>
      <c r="W291" s="1">
        <f t="shared" si="17"/>
        <v>1.16877982668321</v>
      </c>
      <c r="X291" s="1">
        <f t="shared" si="18"/>
        <v>1.14844277400865</v>
      </c>
      <c r="Y291" s="1">
        <f t="shared" si="19"/>
        <v>1.30072848518271</v>
      </c>
    </row>
    <row r="292" s="1" customFormat="1" spans="1:25">
      <c r="A292" s="2" t="s">
        <v>36</v>
      </c>
      <c r="B292" s="2">
        <v>21</v>
      </c>
      <c r="C292" s="2">
        <v>2020</v>
      </c>
      <c r="D292" s="7">
        <v>541</v>
      </c>
      <c r="E292" s="7">
        <v>10577.9642780969</v>
      </c>
      <c r="F292" s="7">
        <v>2270.64</v>
      </c>
      <c r="G292" s="7">
        <v>5532.39</v>
      </c>
      <c r="H292" s="7">
        <v>6660.25759233081</v>
      </c>
      <c r="I292" s="7">
        <v>0.5854</v>
      </c>
      <c r="J292" s="7">
        <v>714</v>
      </c>
      <c r="L292" s="1">
        <v>21</v>
      </c>
      <c r="M292" s="1">
        <v>2020</v>
      </c>
      <c r="N292" s="9">
        <v>1.00434987535395</v>
      </c>
      <c r="O292" s="9">
        <v>0.945043991160552</v>
      </c>
      <c r="P292" s="9">
        <v>1.02659247633988</v>
      </c>
      <c r="Q292" s="9">
        <v>1.02591929579901</v>
      </c>
      <c r="T292" s="1">
        <v>21</v>
      </c>
      <c r="U292" s="1">
        <v>2020</v>
      </c>
      <c r="V292" s="1">
        <f t="shared" si="16"/>
        <v>0.878960723186312</v>
      </c>
      <c r="W292" s="1">
        <f t="shared" si="17"/>
        <v>0.506725840276392</v>
      </c>
      <c r="X292" s="1">
        <f t="shared" si="18"/>
        <v>1.14222428195761</v>
      </c>
      <c r="Y292" s="1">
        <f t="shared" si="19"/>
        <v>1.3466096543744</v>
      </c>
    </row>
    <row r="293" s="1" customFormat="1" spans="1:25">
      <c r="A293" s="2" t="s">
        <v>37</v>
      </c>
      <c r="B293" s="2">
        <v>22</v>
      </c>
      <c r="C293" s="2">
        <v>2020</v>
      </c>
      <c r="D293" s="7">
        <v>1676</v>
      </c>
      <c r="E293" s="7">
        <v>42557.7964727673</v>
      </c>
      <c r="F293" s="7">
        <v>7621.87</v>
      </c>
      <c r="G293" s="7">
        <v>25002.79</v>
      </c>
      <c r="H293" s="7">
        <v>21491</v>
      </c>
      <c r="I293" s="7">
        <v>4.6992</v>
      </c>
      <c r="J293" s="7">
        <v>2272</v>
      </c>
      <c r="L293" s="1">
        <v>22</v>
      </c>
      <c r="M293" s="1">
        <v>2020</v>
      </c>
      <c r="N293" s="9">
        <v>1.05983496740895</v>
      </c>
      <c r="O293" s="9">
        <v>1.06258605098039</v>
      </c>
      <c r="P293" s="9">
        <v>1.07456937639885</v>
      </c>
      <c r="Q293" s="9">
        <v>1.07989092780399</v>
      </c>
      <c r="T293" s="1">
        <v>22</v>
      </c>
      <c r="U293" s="1">
        <v>2020</v>
      </c>
      <c r="V293" s="1">
        <f t="shared" si="16"/>
        <v>1.31545166407935</v>
      </c>
      <c r="W293" s="1">
        <f t="shared" si="17"/>
        <v>1.50714835171076</v>
      </c>
      <c r="X293" s="1">
        <f t="shared" si="18"/>
        <v>1.52691364440533</v>
      </c>
      <c r="Y293" s="1">
        <f t="shared" si="19"/>
        <v>1.82350805225135</v>
      </c>
    </row>
    <row r="294" s="1" customFormat="1" spans="1:25">
      <c r="A294" s="2" t="s">
        <v>38</v>
      </c>
      <c r="B294" s="2">
        <v>23</v>
      </c>
      <c r="C294" s="2">
        <v>2020</v>
      </c>
      <c r="D294" s="7">
        <v>4745</v>
      </c>
      <c r="E294" s="7">
        <v>74743.8568833322</v>
      </c>
      <c r="F294" s="7">
        <v>16355</v>
      </c>
      <c r="G294" s="7">
        <v>48598.76</v>
      </c>
      <c r="H294" s="7">
        <v>43739.49</v>
      </c>
      <c r="I294" s="7">
        <v>12.5027</v>
      </c>
      <c r="J294" s="7">
        <v>14903</v>
      </c>
      <c r="L294" s="1">
        <v>23</v>
      </c>
      <c r="M294" s="1">
        <v>2020</v>
      </c>
      <c r="N294" s="9">
        <v>1.11925597565448</v>
      </c>
      <c r="O294" s="9">
        <v>1.14616014195279</v>
      </c>
      <c r="P294" s="9">
        <v>1.08258965956964</v>
      </c>
      <c r="Q294" s="9">
        <v>1.08715341216591</v>
      </c>
      <c r="T294" s="1">
        <v>23</v>
      </c>
      <c r="U294" s="1">
        <v>2020</v>
      </c>
      <c r="V294" s="1">
        <f t="shared" si="16"/>
        <v>1.3488132264726</v>
      </c>
      <c r="W294" s="1">
        <f t="shared" si="17"/>
        <v>3.96170614761764</v>
      </c>
      <c r="X294" s="1">
        <f t="shared" si="18"/>
        <v>1.4065378671645</v>
      </c>
      <c r="Y294" s="1">
        <f t="shared" si="19"/>
        <v>2.25485642337534</v>
      </c>
    </row>
    <row r="295" s="1" customFormat="1" spans="1:25">
      <c r="A295" s="2" t="s">
        <v>39</v>
      </c>
      <c r="B295" s="2">
        <v>24</v>
      </c>
      <c r="C295" s="2">
        <v>2020</v>
      </c>
      <c r="D295" s="7">
        <v>1892</v>
      </c>
      <c r="E295" s="7">
        <v>37674.5633632639</v>
      </c>
      <c r="F295" s="7">
        <v>10111.12</v>
      </c>
      <c r="G295" s="7">
        <v>17826.56</v>
      </c>
      <c r="H295" s="7">
        <v>18887</v>
      </c>
      <c r="I295" s="7">
        <v>14.3584</v>
      </c>
      <c r="J295" s="7">
        <v>9516</v>
      </c>
      <c r="L295" s="1">
        <v>24</v>
      </c>
      <c r="M295" s="1">
        <v>2020</v>
      </c>
      <c r="N295" s="9">
        <v>1.017126815629</v>
      </c>
      <c r="O295" s="9">
        <v>1.01344744419505</v>
      </c>
      <c r="P295" s="9">
        <v>1.02468682101591</v>
      </c>
      <c r="Q295" s="9">
        <v>1.02858353946421</v>
      </c>
      <c r="T295" s="1">
        <v>24</v>
      </c>
      <c r="U295" s="1">
        <v>2020</v>
      </c>
      <c r="V295" s="1">
        <f t="shared" si="16"/>
        <v>1.03379963704067</v>
      </c>
      <c r="W295" s="1">
        <f t="shared" si="17"/>
        <v>1.14199524312263</v>
      </c>
      <c r="X295" s="1">
        <f t="shared" si="18"/>
        <v>1.25868936755946</v>
      </c>
      <c r="Y295" s="1">
        <f t="shared" si="19"/>
        <v>1.45413387471713</v>
      </c>
    </row>
    <row r="296" s="1" customFormat="1" spans="1:25">
      <c r="A296" s="2" t="s">
        <v>40</v>
      </c>
      <c r="B296" s="2">
        <v>25</v>
      </c>
      <c r="C296" s="2">
        <v>2020</v>
      </c>
      <c r="D296" s="7">
        <v>2806</v>
      </c>
      <c r="E296" s="7">
        <v>61817.0147606895</v>
      </c>
      <c r="F296" s="7">
        <v>12981.94</v>
      </c>
      <c r="G296" s="7">
        <v>24521.9</v>
      </c>
      <c r="H296" s="7">
        <v>18500</v>
      </c>
      <c r="I296" s="7">
        <v>14.6194</v>
      </c>
      <c r="J296" s="7">
        <v>17473</v>
      </c>
      <c r="L296" s="1">
        <v>25</v>
      </c>
      <c r="M296" s="1">
        <v>2020</v>
      </c>
      <c r="N296" s="9">
        <v>0.997907021765149</v>
      </c>
      <c r="O296" s="9">
        <v>0.995147943497987</v>
      </c>
      <c r="P296" s="9">
        <v>0.999189247744474</v>
      </c>
      <c r="Q296" s="9">
        <v>1.00426946031358</v>
      </c>
      <c r="T296" s="1">
        <v>25</v>
      </c>
      <c r="U296" s="1">
        <v>2020</v>
      </c>
      <c r="V296" s="1">
        <f t="shared" si="16"/>
        <v>1.02191309797441</v>
      </c>
      <c r="W296" s="1">
        <f t="shared" si="17"/>
        <v>1.13620984024187</v>
      </c>
      <c r="X296" s="1">
        <f t="shared" si="18"/>
        <v>1.17827391403901</v>
      </c>
      <c r="Y296" s="1">
        <f t="shared" si="19"/>
        <v>1.37265873033714</v>
      </c>
    </row>
    <row r="297" s="1" customFormat="1" spans="1:25">
      <c r="A297" s="2" t="s">
        <v>41</v>
      </c>
      <c r="B297" s="2">
        <v>26</v>
      </c>
      <c r="C297" s="2">
        <v>2020</v>
      </c>
      <c r="D297" s="7">
        <v>2105</v>
      </c>
      <c r="E297" s="7">
        <v>56836.5773301684</v>
      </c>
      <c r="F297" s="7">
        <v>13512.26</v>
      </c>
      <c r="G297" s="7">
        <v>26181.86</v>
      </c>
      <c r="H297" s="7">
        <v>26080.3802</v>
      </c>
      <c r="I297" s="7">
        <v>6.3981</v>
      </c>
      <c r="J297" s="7">
        <v>12430</v>
      </c>
      <c r="L297" s="1">
        <v>26</v>
      </c>
      <c r="M297" s="1">
        <v>2020</v>
      </c>
      <c r="N297" s="9">
        <v>0.987977395876085</v>
      </c>
      <c r="O297" s="9">
        <v>0.98654125398468</v>
      </c>
      <c r="P297" s="9">
        <v>0.985134445913192</v>
      </c>
      <c r="Q297" s="9">
        <v>0.987854668356413</v>
      </c>
      <c r="T297" s="1">
        <v>26</v>
      </c>
      <c r="U297" s="1">
        <v>2020</v>
      </c>
      <c r="V297" s="1">
        <f t="shared" si="16"/>
        <v>1.01274919253008</v>
      </c>
      <c r="W297" s="1">
        <f t="shared" si="17"/>
        <v>1.12265168332908</v>
      </c>
      <c r="X297" s="1">
        <f t="shared" si="18"/>
        <v>1.13300709239215</v>
      </c>
      <c r="Y297" s="1">
        <f t="shared" si="19"/>
        <v>1.28640775178313</v>
      </c>
    </row>
    <row r="298" s="1" customFormat="1" spans="1:25">
      <c r="A298" s="2" t="s">
        <v>42</v>
      </c>
      <c r="B298" s="2">
        <v>27</v>
      </c>
      <c r="C298" s="2">
        <v>2020</v>
      </c>
      <c r="D298" s="7">
        <v>1331</v>
      </c>
      <c r="E298" s="7">
        <v>18162.5639340535</v>
      </c>
      <c r="F298" s="7">
        <v>7963.29477906766</v>
      </c>
      <c r="G298" s="7">
        <v>9016.7</v>
      </c>
      <c r="H298" s="7">
        <v>5573</v>
      </c>
      <c r="I298" s="7">
        <v>6.6045</v>
      </c>
      <c r="J298" s="7">
        <v>5450</v>
      </c>
      <c r="L298" s="1">
        <v>27</v>
      </c>
      <c r="M298" s="1">
        <v>2020</v>
      </c>
      <c r="N298" s="9">
        <v>1.15065139152963</v>
      </c>
      <c r="O298" s="9">
        <v>2.96945881880676</v>
      </c>
      <c r="P298" s="9">
        <v>1.03237579634057</v>
      </c>
      <c r="Q298" s="9">
        <v>1.03814244953124</v>
      </c>
      <c r="T298" s="1">
        <v>27</v>
      </c>
      <c r="U298" s="1">
        <v>2020</v>
      </c>
      <c r="V298" s="1">
        <f t="shared" si="16"/>
        <v>1.14613207502773</v>
      </c>
      <c r="W298" s="1">
        <f t="shared" si="17"/>
        <v>1.80450558514661</v>
      </c>
      <c r="X298" s="1">
        <f t="shared" si="18"/>
        <v>1.02653417606327</v>
      </c>
      <c r="Y298" s="1">
        <f t="shared" si="19"/>
        <v>1.14404428001919</v>
      </c>
    </row>
    <row r="299" s="1" customFormat="1" spans="1:25">
      <c r="A299" s="2" t="s">
        <v>43</v>
      </c>
      <c r="B299" s="2">
        <v>28</v>
      </c>
      <c r="C299" s="2">
        <v>2020</v>
      </c>
      <c r="D299" s="7">
        <v>279</v>
      </c>
      <c r="E299" s="7">
        <v>14506.6343642643</v>
      </c>
      <c r="F299" s="7">
        <v>4150.36</v>
      </c>
      <c r="G299" s="7">
        <v>3005.92</v>
      </c>
      <c r="H299" s="7">
        <v>10681</v>
      </c>
      <c r="I299" s="7">
        <v>3.8683</v>
      </c>
      <c r="J299" s="7">
        <v>15724</v>
      </c>
      <c r="L299" s="1">
        <v>28</v>
      </c>
      <c r="M299" s="1">
        <v>2020</v>
      </c>
      <c r="N299" s="9">
        <v>1.31288275656212</v>
      </c>
      <c r="O299" s="9">
        <v>1.07222509153849</v>
      </c>
      <c r="P299" s="9">
        <v>1.06431811828591</v>
      </c>
      <c r="Q299" s="9">
        <v>1.07371428376992</v>
      </c>
      <c r="T299" s="1">
        <v>28</v>
      </c>
      <c r="U299" s="1">
        <v>2020</v>
      </c>
      <c r="V299" s="1">
        <f t="shared" si="16"/>
        <v>0.926245178150405</v>
      </c>
      <c r="W299" s="1">
        <f t="shared" si="17"/>
        <v>0.861012680918218</v>
      </c>
      <c r="X299" s="1">
        <f t="shared" si="18"/>
        <v>0.823610746001348</v>
      </c>
      <c r="Y299" s="1">
        <f t="shared" si="19"/>
        <v>0.963769310184027</v>
      </c>
    </row>
    <row r="300" s="1" customFormat="1" spans="1:25">
      <c r="A300" s="2" t="s">
        <v>44</v>
      </c>
      <c r="B300" s="2">
        <v>29</v>
      </c>
      <c r="C300" s="2">
        <v>2020</v>
      </c>
      <c r="D300" s="7">
        <v>344</v>
      </c>
      <c r="E300" s="7">
        <v>13758.5661360293</v>
      </c>
      <c r="F300" s="7">
        <v>8581.8</v>
      </c>
      <c r="G300" s="7">
        <v>3920.55</v>
      </c>
      <c r="H300" s="7">
        <v>11119</v>
      </c>
      <c r="I300" s="7">
        <v>6.7861</v>
      </c>
      <c r="J300" s="7">
        <v>6738</v>
      </c>
      <c r="L300" s="1">
        <v>29</v>
      </c>
      <c r="M300" s="1">
        <v>2020</v>
      </c>
      <c r="N300" s="9">
        <v>1.18250315112243</v>
      </c>
      <c r="O300" s="9">
        <v>1.0062361756767</v>
      </c>
      <c r="P300" s="9">
        <v>1.0199998708052</v>
      </c>
      <c r="Q300" s="9">
        <v>1.02168107000537</v>
      </c>
      <c r="T300" s="1">
        <v>29</v>
      </c>
      <c r="U300" s="1">
        <v>2020</v>
      </c>
      <c r="V300" s="1">
        <f t="shared" si="16"/>
        <v>0.972819837659169</v>
      </c>
      <c r="W300" s="1">
        <f t="shared" si="17"/>
        <v>0.887904911156292</v>
      </c>
      <c r="X300" s="1">
        <f t="shared" si="18"/>
        <v>0.931719867744636</v>
      </c>
      <c r="Y300" s="1">
        <f t="shared" si="19"/>
        <v>1.05776221540814</v>
      </c>
    </row>
    <row r="301" s="1" customFormat="1" spans="1:25">
      <c r="A301" s="2" t="s">
        <v>45</v>
      </c>
      <c r="B301" s="2">
        <v>30</v>
      </c>
      <c r="C301" s="2">
        <v>2020</v>
      </c>
      <c r="D301" s="7">
        <v>1356</v>
      </c>
      <c r="E301" s="7">
        <v>36578.5174656442</v>
      </c>
      <c r="F301" s="7">
        <v>18981.81</v>
      </c>
      <c r="G301" s="7">
        <v>13797.58</v>
      </c>
      <c r="H301" s="7">
        <v>9705</v>
      </c>
      <c r="I301" s="7">
        <v>12.5838</v>
      </c>
      <c r="J301" s="7">
        <v>9354</v>
      </c>
      <c r="L301" s="1">
        <v>30</v>
      </c>
      <c r="M301" s="1">
        <v>2020</v>
      </c>
      <c r="N301" s="9">
        <v>1.03313916526749</v>
      </c>
      <c r="O301" s="9">
        <v>1.02293420746905</v>
      </c>
      <c r="P301" s="9">
        <v>0.991359366234012</v>
      </c>
      <c r="Q301" s="9">
        <v>0.996760875952033</v>
      </c>
      <c r="T301" s="1">
        <v>30</v>
      </c>
      <c r="U301" s="1">
        <v>2020</v>
      </c>
      <c r="V301" s="1">
        <f t="shared" si="16"/>
        <v>0.88063291287705</v>
      </c>
      <c r="W301" s="1">
        <f t="shared" si="17"/>
        <v>0.927871209278058</v>
      </c>
      <c r="X301" s="1">
        <f t="shared" si="18"/>
        <v>0.938613942491352</v>
      </c>
      <c r="Y301" s="1">
        <f t="shared" si="19"/>
        <v>1.05462169137089</v>
      </c>
    </row>
    <row r="302" s="1" customFormat="1" spans="1:25">
      <c r="A302" s="2" t="s">
        <v>16</v>
      </c>
      <c r="B302" s="2">
        <v>1</v>
      </c>
      <c r="C302" s="2">
        <v>2021</v>
      </c>
      <c r="D302" s="7">
        <v>1158</v>
      </c>
      <c r="E302" s="7">
        <v>51172.200568615</v>
      </c>
      <c r="F302" s="7">
        <v>7103.62</v>
      </c>
      <c r="G302" s="7">
        <v>40269.6</v>
      </c>
      <c r="H302" s="7">
        <v>8006.9</v>
      </c>
      <c r="I302" s="7">
        <v>0.1004</v>
      </c>
      <c r="J302" s="7">
        <v>194.14</v>
      </c>
      <c r="L302" s="1">
        <v>1</v>
      </c>
      <c r="M302" s="1">
        <v>2021</v>
      </c>
      <c r="N302" s="9">
        <v>0.911391601116756</v>
      </c>
      <c r="O302" s="9">
        <v>1.60265604827067</v>
      </c>
      <c r="P302" s="9">
        <v>1.18743470600112</v>
      </c>
      <c r="Q302" s="9">
        <v>1.24091428191365</v>
      </c>
      <c r="T302" s="1">
        <v>1</v>
      </c>
      <c r="U302" s="1">
        <v>2021</v>
      </c>
      <c r="V302" s="1">
        <f t="shared" si="16"/>
        <v>1.96202852155057</v>
      </c>
      <c r="W302" s="1">
        <f t="shared" si="17"/>
        <v>23.8738787005614</v>
      </c>
      <c r="X302" s="1">
        <f t="shared" si="18"/>
        <v>2.37137225700237</v>
      </c>
      <c r="Y302" s="1">
        <f t="shared" si="19"/>
        <v>3.2391640059651</v>
      </c>
    </row>
    <row r="303" s="1" customFormat="1" spans="1:25">
      <c r="A303" s="2" t="s">
        <v>17</v>
      </c>
      <c r="B303" s="2">
        <v>2</v>
      </c>
      <c r="C303" s="2">
        <v>2021</v>
      </c>
      <c r="D303" s="7">
        <v>641</v>
      </c>
      <c r="E303" s="7">
        <v>54314.5695678856</v>
      </c>
      <c r="F303" s="7">
        <v>8205.69</v>
      </c>
      <c r="G303" s="7">
        <v>15695</v>
      </c>
      <c r="H303" s="7">
        <v>11014.9</v>
      </c>
      <c r="I303" s="7">
        <v>0.81377</v>
      </c>
      <c r="J303" s="7">
        <v>1927.49</v>
      </c>
      <c r="L303" s="1">
        <v>2</v>
      </c>
      <c r="M303" s="1">
        <v>2021</v>
      </c>
      <c r="N303" s="9">
        <v>1.49848692741323</v>
      </c>
      <c r="O303" s="9">
        <v>1.25252616193407</v>
      </c>
      <c r="P303" s="9">
        <v>1.10976498083013</v>
      </c>
      <c r="Q303" s="9">
        <v>1.1127787438735</v>
      </c>
      <c r="T303" s="1">
        <v>2</v>
      </c>
      <c r="U303" s="1">
        <v>2021</v>
      </c>
      <c r="V303" s="1">
        <f t="shared" si="16"/>
        <v>1.61937572957375</v>
      </c>
      <c r="W303" s="1">
        <f t="shared" si="17"/>
        <v>6.07819734674592</v>
      </c>
      <c r="X303" s="1">
        <f t="shared" si="18"/>
        <v>1.05345753981024</v>
      </c>
      <c r="Y303" s="1">
        <f t="shared" si="19"/>
        <v>3.95737702256903</v>
      </c>
    </row>
    <row r="304" s="1" customFormat="1" spans="1:25">
      <c r="A304" s="2" t="s">
        <v>18</v>
      </c>
      <c r="B304" s="2">
        <v>3</v>
      </c>
      <c r="C304" s="2">
        <v>2021</v>
      </c>
      <c r="D304" s="7">
        <v>3643</v>
      </c>
      <c r="E304" s="7">
        <v>97891.7762039044</v>
      </c>
      <c r="F304" s="7">
        <v>33085.8515598411</v>
      </c>
      <c r="G304" s="7">
        <v>40391.3</v>
      </c>
      <c r="H304" s="7">
        <v>30666.02</v>
      </c>
      <c r="I304" s="7">
        <v>12.739942</v>
      </c>
      <c r="J304" s="7">
        <v>40899.16</v>
      </c>
      <c r="L304" s="1">
        <v>3</v>
      </c>
      <c r="M304" s="1">
        <v>2021</v>
      </c>
      <c r="N304" s="9">
        <v>1.06607529162249</v>
      </c>
      <c r="O304" s="9">
        <v>1.13439115134082</v>
      </c>
      <c r="P304" s="9">
        <v>1.09366361744635</v>
      </c>
      <c r="Q304" s="9">
        <v>1.09520109514949</v>
      </c>
      <c r="T304" s="1">
        <v>3</v>
      </c>
      <c r="U304" s="1">
        <v>2021</v>
      </c>
      <c r="V304" s="1">
        <f t="shared" si="16"/>
        <v>0.950994801700595</v>
      </c>
      <c r="W304" s="1">
        <f t="shared" si="17"/>
        <v>1.56050354764266</v>
      </c>
      <c r="X304" s="1">
        <f t="shared" si="18"/>
        <v>1.00631709675162</v>
      </c>
      <c r="Y304" s="1">
        <f t="shared" si="19"/>
        <v>1.14136354334659</v>
      </c>
    </row>
    <row r="305" s="1" customFormat="1" spans="1:25">
      <c r="A305" s="2" t="s">
        <v>19</v>
      </c>
      <c r="B305" s="2">
        <v>4</v>
      </c>
      <c r="C305" s="2">
        <v>2021</v>
      </c>
      <c r="D305" s="7">
        <v>1715</v>
      </c>
      <c r="E305" s="7">
        <v>38165.9756411041</v>
      </c>
      <c r="F305" s="7">
        <v>21643.94</v>
      </c>
      <c r="G305" s="7">
        <v>22590.2</v>
      </c>
      <c r="H305" s="7">
        <v>18603</v>
      </c>
      <c r="I305" s="7">
        <v>10.3813</v>
      </c>
      <c r="J305" s="7">
        <v>45901.09</v>
      </c>
      <c r="L305" s="1">
        <v>4</v>
      </c>
      <c r="M305" s="1">
        <v>2021</v>
      </c>
      <c r="N305" s="9">
        <v>1.16666825714632</v>
      </c>
      <c r="O305" s="9">
        <v>1.16010795352251</v>
      </c>
      <c r="P305" s="9">
        <v>1.2565651580285</v>
      </c>
      <c r="Q305" s="9">
        <v>1.25864675260543</v>
      </c>
      <c r="T305" s="1">
        <v>4</v>
      </c>
      <c r="U305" s="1">
        <v>2021</v>
      </c>
      <c r="V305" s="1">
        <f t="shared" si="16"/>
        <v>1.18131235708267</v>
      </c>
      <c r="W305" s="1">
        <f t="shared" si="17"/>
        <v>1.21783475085183</v>
      </c>
      <c r="X305" s="1">
        <f t="shared" si="18"/>
        <v>1.28976384639716</v>
      </c>
      <c r="Y305" s="1">
        <f t="shared" si="19"/>
        <v>1.41993041640987</v>
      </c>
    </row>
    <row r="306" s="1" customFormat="1" spans="1:25">
      <c r="A306" s="2" t="s">
        <v>20</v>
      </c>
      <c r="B306" s="2">
        <v>5</v>
      </c>
      <c r="C306" s="2">
        <v>2021</v>
      </c>
      <c r="D306" s="7">
        <v>1218</v>
      </c>
      <c r="E306" s="7">
        <v>51196.6839365221</v>
      </c>
      <c r="F306" s="7">
        <v>29430.260911115</v>
      </c>
      <c r="G306" s="7">
        <v>20514.2</v>
      </c>
      <c r="H306" s="7">
        <v>23754.25</v>
      </c>
      <c r="I306" s="7">
        <v>15.7044</v>
      </c>
      <c r="J306" s="7">
        <v>41210.88</v>
      </c>
      <c r="L306" s="1">
        <v>5</v>
      </c>
      <c r="M306" s="1">
        <v>2021</v>
      </c>
      <c r="N306" s="9">
        <v>1.06090926413399</v>
      </c>
      <c r="O306" s="9">
        <v>1.05869306132127</v>
      </c>
      <c r="P306" s="9">
        <v>1.16080313226311</v>
      </c>
      <c r="Q306" s="9">
        <v>1.1583882983654</v>
      </c>
      <c r="T306" s="1">
        <v>5</v>
      </c>
      <c r="U306" s="1">
        <v>2021</v>
      </c>
      <c r="V306" s="1">
        <f t="shared" si="16"/>
        <v>0.994262742619913</v>
      </c>
      <c r="W306" s="1">
        <f t="shared" si="17"/>
        <v>1.05299287360932</v>
      </c>
      <c r="X306" s="1">
        <f t="shared" si="18"/>
        <v>1.0201819262491</v>
      </c>
      <c r="Y306" s="1">
        <f t="shared" si="19"/>
        <v>1.15044700859074</v>
      </c>
    </row>
    <row r="307" s="1" customFormat="1" spans="1:25">
      <c r="A307" s="2" t="s">
        <v>21</v>
      </c>
      <c r="B307" s="2">
        <v>6</v>
      </c>
      <c r="C307" s="2">
        <v>2021</v>
      </c>
      <c r="D307" s="7">
        <v>1990</v>
      </c>
      <c r="E307" s="7">
        <v>61482.5983767446</v>
      </c>
      <c r="F307" s="7">
        <v>24930.8</v>
      </c>
      <c r="G307" s="7">
        <v>27584.1</v>
      </c>
      <c r="H307" s="7">
        <v>30296.5</v>
      </c>
      <c r="I307" s="7">
        <v>10.2</v>
      </c>
      <c r="J307" s="7">
        <v>24610.01</v>
      </c>
      <c r="L307" s="1">
        <v>6</v>
      </c>
      <c r="M307" s="1">
        <v>2021</v>
      </c>
      <c r="N307" s="9">
        <v>1.11743829217689</v>
      </c>
      <c r="O307" s="9">
        <v>1.11527273423437</v>
      </c>
      <c r="P307" s="9">
        <v>1.13847972439</v>
      </c>
      <c r="Q307" s="9">
        <v>1.14220829178171</v>
      </c>
      <c r="T307" s="1">
        <v>6</v>
      </c>
      <c r="U307" s="1">
        <v>2021</v>
      </c>
      <c r="V307" s="1">
        <f t="shared" si="16"/>
        <v>1.01165754656944</v>
      </c>
      <c r="W307" s="1">
        <f t="shared" si="17"/>
        <v>1.15299419333849</v>
      </c>
      <c r="X307" s="1">
        <f t="shared" si="18"/>
        <v>1.00921327249494</v>
      </c>
      <c r="Y307" s="1">
        <f t="shared" si="19"/>
        <v>1.1112398064817</v>
      </c>
    </row>
    <row r="308" s="1" customFormat="1" spans="1:25">
      <c r="A308" s="2" t="s">
        <v>22</v>
      </c>
      <c r="B308" s="2">
        <v>7</v>
      </c>
      <c r="C308" s="2">
        <v>2021</v>
      </c>
      <c r="D308" s="7">
        <v>1228</v>
      </c>
      <c r="E308" s="7">
        <v>51585.3040275472</v>
      </c>
      <c r="F308" s="7">
        <v>7287.6</v>
      </c>
      <c r="G308" s="7">
        <v>13235.5</v>
      </c>
      <c r="H308" s="7">
        <v>16705.621</v>
      </c>
      <c r="I308" s="7">
        <v>4.3654</v>
      </c>
      <c r="J308" s="7">
        <v>5021.71</v>
      </c>
      <c r="L308" s="1">
        <v>7</v>
      </c>
      <c r="M308" s="1">
        <v>2021</v>
      </c>
      <c r="N308" s="9">
        <v>0.9848327680858</v>
      </c>
      <c r="O308" s="9">
        <v>0.988275245498307</v>
      </c>
      <c r="P308" s="9">
        <v>1.05472718149258</v>
      </c>
      <c r="Q308" s="9">
        <v>1.05379751508647</v>
      </c>
      <c r="T308" s="1">
        <v>7</v>
      </c>
      <c r="U308" s="1">
        <v>2021</v>
      </c>
      <c r="V308" s="1">
        <f t="shared" si="16"/>
        <v>1.12273144428799</v>
      </c>
      <c r="W308" s="1">
        <f t="shared" si="17"/>
        <v>1.19593003610561</v>
      </c>
      <c r="X308" s="1">
        <f t="shared" si="18"/>
        <v>1.02069437405283</v>
      </c>
      <c r="Y308" s="1">
        <f t="shared" si="19"/>
        <v>1.17811950892005</v>
      </c>
    </row>
    <row r="309" s="1" customFormat="1" spans="1:25">
      <c r="A309" s="2" t="s">
        <v>23</v>
      </c>
      <c r="B309" s="2">
        <v>8</v>
      </c>
      <c r="C309" s="2">
        <v>2021</v>
      </c>
      <c r="D309" s="7">
        <v>1420</v>
      </c>
      <c r="E309" s="7">
        <v>47016.2017413162</v>
      </c>
      <c r="F309" s="7">
        <v>12145.81806768</v>
      </c>
      <c r="G309" s="7">
        <v>14879.2</v>
      </c>
      <c r="H309" s="7">
        <v>17965.42</v>
      </c>
      <c r="I309" s="7">
        <v>5.78</v>
      </c>
      <c r="J309" s="7">
        <v>8315.93</v>
      </c>
      <c r="L309" s="1">
        <v>8</v>
      </c>
      <c r="M309" s="1">
        <v>2021</v>
      </c>
      <c r="N309" s="9">
        <v>1.0342553649805</v>
      </c>
      <c r="O309" s="9">
        <v>1.02619849772164</v>
      </c>
      <c r="P309" s="9">
        <v>1.06120292550645</v>
      </c>
      <c r="Q309" s="9">
        <v>1.06302645095881</v>
      </c>
      <c r="T309" s="1">
        <v>8</v>
      </c>
      <c r="U309" s="1">
        <v>2021</v>
      </c>
      <c r="V309" s="1">
        <f t="shared" si="16"/>
        <v>0.888630913976621</v>
      </c>
      <c r="W309" s="1">
        <f t="shared" si="17"/>
        <v>0.924918859762408</v>
      </c>
      <c r="X309" s="1">
        <f t="shared" si="18"/>
        <v>0.780481036554513</v>
      </c>
      <c r="Y309" s="1">
        <f t="shared" si="19"/>
        <v>0.900204862777279</v>
      </c>
    </row>
    <row r="310" s="1" customFormat="1" spans="1:25">
      <c r="A310" s="2" t="s">
        <v>24</v>
      </c>
      <c r="B310" s="2">
        <v>9</v>
      </c>
      <c r="C310" s="2">
        <v>2021</v>
      </c>
      <c r="D310" s="7">
        <v>1365</v>
      </c>
      <c r="E310" s="7">
        <v>60625.228015341</v>
      </c>
      <c r="F310" s="7">
        <v>11683.02</v>
      </c>
      <c r="G310" s="7">
        <v>43214.9</v>
      </c>
      <c r="H310" s="7">
        <v>32100</v>
      </c>
      <c r="I310" s="7">
        <v>0.55</v>
      </c>
      <c r="J310" s="7">
        <v>2072.57</v>
      </c>
      <c r="L310" s="1">
        <v>9</v>
      </c>
      <c r="M310" s="1">
        <v>2021</v>
      </c>
      <c r="N310" s="9">
        <v>1.03183961337293</v>
      </c>
      <c r="O310" s="9">
        <v>1.41766538639634</v>
      </c>
      <c r="P310" s="9">
        <v>1.08028704543885</v>
      </c>
      <c r="Q310" s="9">
        <v>1.4362304116705</v>
      </c>
      <c r="T310" s="1">
        <v>9</v>
      </c>
      <c r="U310" s="1">
        <v>2021</v>
      </c>
      <c r="V310" s="1">
        <f t="shared" si="16"/>
        <v>1.29085182856279</v>
      </c>
      <c r="W310" s="1">
        <f t="shared" si="17"/>
        <v>4.96093346798103</v>
      </c>
      <c r="X310" s="1">
        <f t="shared" si="18"/>
        <v>1.59362071725966</v>
      </c>
      <c r="Y310" s="1">
        <f t="shared" si="19"/>
        <v>7.3012875689866</v>
      </c>
    </row>
    <row r="311" s="1" customFormat="1" spans="1:25">
      <c r="A311" s="2" t="s">
        <v>25</v>
      </c>
      <c r="B311" s="2">
        <v>10</v>
      </c>
      <c r="C311" s="2">
        <v>2021</v>
      </c>
      <c r="D311" s="7">
        <v>4863</v>
      </c>
      <c r="E311" s="7">
        <v>163567.744461013</v>
      </c>
      <c r="F311" s="7">
        <v>33206.1753360971</v>
      </c>
      <c r="G311" s="7">
        <v>116364.2</v>
      </c>
      <c r="H311" s="7">
        <v>121700</v>
      </c>
      <c r="I311" s="7">
        <v>8.41</v>
      </c>
      <c r="J311" s="7">
        <v>13051.45</v>
      </c>
      <c r="L311" s="1">
        <v>10</v>
      </c>
      <c r="M311" s="1">
        <v>2021</v>
      </c>
      <c r="N311" s="9">
        <v>1.2235090194216</v>
      </c>
      <c r="O311" s="9">
        <v>1.17413357631901</v>
      </c>
      <c r="P311" s="9">
        <v>1.10952768702063</v>
      </c>
      <c r="Q311" s="9">
        <v>1.11208582456754</v>
      </c>
      <c r="T311" s="1">
        <v>10</v>
      </c>
      <c r="U311" s="1">
        <v>2021</v>
      </c>
      <c r="V311" s="1">
        <f t="shared" si="16"/>
        <v>2.67910057737988</v>
      </c>
      <c r="W311" s="1">
        <f t="shared" si="17"/>
        <v>3.17533160108404</v>
      </c>
      <c r="X311" s="1">
        <f t="shared" si="18"/>
        <v>1.50618207895344</v>
      </c>
      <c r="Y311" s="1">
        <f t="shared" si="19"/>
        <v>3.59450743554756</v>
      </c>
    </row>
    <row r="312" s="1" customFormat="1" spans="1:25">
      <c r="A312" s="2" t="s">
        <v>26</v>
      </c>
      <c r="B312" s="2">
        <v>11</v>
      </c>
      <c r="C312" s="2">
        <v>2021</v>
      </c>
      <c r="D312" s="7">
        <v>3897</v>
      </c>
      <c r="E312" s="7">
        <v>111908.945576008</v>
      </c>
      <c r="F312" s="7">
        <v>26623.7</v>
      </c>
      <c r="G312" s="7">
        <v>73515.8</v>
      </c>
      <c r="H312" s="7">
        <v>103863</v>
      </c>
      <c r="I312" s="7">
        <v>4.2229</v>
      </c>
      <c r="J312" s="7">
        <v>5315.03</v>
      </c>
      <c r="L312" s="1">
        <v>11</v>
      </c>
      <c r="M312" s="1">
        <v>2021</v>
      </c>
      <c r="N312" s="9">
        <v>1.20973109346146</v>
      </c>
      <c r="O312" s="9">
        <v>1.3879604558711</v>
      </c>
      <c r="P312" s="9">
        <v>1.07983692021937</v>
      </c>
      <c r="Q312" s="9">
        <v>1.08231031111074</v>
      </c>
      <c r="T312" s="1">
        <v>11</v>
      </c>
      <c r="U312" s="1">
        <v>2021</v>
      </c>
      <c r="V312" s="1">
        <f t="shared" si="16"/>
        <v>1.90940067810747</v>
      </c>
      <c r="W312" s="1">
        <f t="shared" si="17"/>
        <v>9.22322690614966</v>
      </c>
      <c r="X312" s="1">
        <f t="shared" si="18"/>
        <v>1.30479958543988</v>
      </c>
      <c r="Y312" s="1">
        <f t="shared" si="19"/>
        <v>1.4631656300739</v>
      </c>
    </row>
    <row r="313" s="1" customFormat="1" spans="1:25">
      <c r="A313" s="2" t="s">
        <v>27</v>
      </c>
      <c r="B313" s="2">
        <v>12</v>
      </c>
      <c r="C313" s="2">
        <v>2021</v>
      </c>
      <c r="D313" s="7">
        <v>3215</v>
      </c>
      <c r="E313" s="7">
        <v>64774.8652443806</v>
      </c>
      <c r="F313" s="7">
        <v>15342.63</v>
      </c>
      <c r="G313" s="7">
        <v>42959.2</v>
      </c>
      <c r="H313" s="7">
        <v>35674.98</v>
      </c>
      <c r="I313" s="7">
        <v>8.1701</v>
      </c>
      <c r="J313" s="7">
        <v>14507.69</v>
      </c>
      <c r="L313" s="1">
        <v>12</v>
      </c>
      <c r="M313" s="1">
        <v>2021</v>
      </c>
      <c r="N313" s="9">
        <v>1.04199805178919</v>
      </c>
      <c r="O313" s="9">
        <v>1.14888583656768</v>
      </c>
      <c r="P313" s="9">
        <v>1.06456618289684</v>
      </c>
      <c r="Q313" s="9">
        <v>1.06759584977016</v>
      </c>
      <c r="T313" s="1">
        <v>12</v>
      </c>
      <c r="U313" s="1">
        <v>2021</v>
      </c>
      <c r="V313" s="1">
        <f t="shared" si="16"/>
        <v>1.19564421461078</v>
      </c>
      <c r="W313" s="1">
        <f t="shared" si="17"/>
        <v>1.96572216002227</v>
      </c>
      <c r="X313" s="1">
        <f t="shared" si="18"/>
        <v>1.3882499885633</v>
      </c>
      <c r="Y313" s="1">
        <f t="shared" si="19"/>
        <v>2.10283215657245</v>
      </c>
    </row>
    <row r="314" s="1" customFormat="1" spans="1:25">
      <c r="A314" s="2" t="s">
        <v>28</v>
      </c>
      <c r="B314" s="2">
        <v>13</v>
      </c>
      <c r="C314" s="2">
        <v>2021</v>
      </c>
      <c r="D314" s="7">
        <v>2197</v>
      </c>
      <c r="E314" s="7">
        <v>89360.1060108811</v>
      </c>
      <c r="F314" s="7">
        <v>15157.51</v>
      </c>
      <c r="G314" s="7">
        <v>48810.4</v>
      </c>
      <c r="H314" s="7">
        <v>89151.922</v>
      </c>
      <c r="I314" s="7">
        <v>5.6626</v>
      </c>
      <c r="J314" s="7">
        <v>6664.9</v>
      </c>
      <c r="L314" s="1">
        <v>13</v>
      </c>
      <c r="M314" s="1">
        <v>2021</v>
      </c>
      <c r="N314" s="9">
        <v>1.13303607911884</v>
      </c>
      <c r="O314" s="9">
        <v>1.18317144610147</v>
      </c>
      <c r="P314" s="9">
        <v>1.06421566163803</v>
      </c>
      <c r="Q314" s="9">
        <v>1.06770414172023</v>
      </c>
      <c r="T314" s="1">
        <v>13</v>
      </c>
      <c r="U314" s="1">
        <v>2021</v>
      </c>
      <c r="V314" s="1">
        <f t="shared" si="16"/>
        <v>1.31884716576508</v>
      </c>
      <c r="W314" s="1">
        <f t="shared" si="17"/>
        <v>3.67272020548584</v>
      </c>
      <c r="X314" s="1">
        <f t="shared" si="18"/>
        <v>1.47788057254779</v>
      </c>
      <c r="Y314" s="1">
        <f t="shared" si="19"/>
        <v>1.69997481780799</v>
      </c>
    </row>
    <row r="315" s="1" customFormat="1" spans="1:25">
      <c r="A315" s="2" t="s">
        <v>29</v>
      </c>
      <c r="B315" s="2">
        <v>14</v>
      </c>
      <c r="C315" s="2">
        <v>2021</v>
      </c>
      <c r="D315" s="7">
        <v>1715</v>
      </c>
      <c r="E315" s="7">
        <v>46008.4937725278</v>
      </c>
      <c r="F315" s="7">
        <v>10345.5</v>
      </c>
      <c r="G315" s="7">
        <v>29619.7</v>
      </c>
      <c r="H315" s="7">
        <v>39593.17</v>
      </c>
      <c r="I315" s="7">
        <v>7.14</v>
      </c>
      <c r="J315" s="7">
        <v>11532.74</v>
      </c>
      <c r="L315" s="1">
        <v>14</v>
      </c>
      <c r="M315" s="1">
        <v>2021</v>
      </c>
      <c r="N315" s="9">
        <v>1.12911763078468</v>
      </c>
      <c r="O315" s="9">
        <v>1.1355850933052</v>
      </c>
      <c r="P315" s="9">
        <v>1.16420481456291</v>
      </c>
      <c r="Q315" s="9">
        <v>1.17311211085808</v>
      </c>
      <c r="T315" s="1">
        <v>14</v>
      </c>
      <c r="U315" s="1">
        <v>2021</v>
      </c>
      <c r="V315" s="1">
        <f t="shared" si="16"/>
        <v>1.21418133364929</v>
      </c>
      <c r="W315" s="1">
        <f t="shared" si="17"/>
        <v>0.2841704915529</v>
      </c>
      <c r="X315" s="1">
        <f t="shared" si="18"/>
        <v>1.40120236387442</v>
      </c>
      <c r="Y315" s="1">
        <f t="shared" si="19"/>
        <v>1.36713079116167</v>
      </c>
    </row>
    <row r="316" s="1" customFormat="1" spans="1:25">
      <c r="A316" s="2" t="s">
        <v>30</v>
      </c>
      <c r="B316" s="2">
        <v>15</v>
      </c>
      <c r="C316" s="2">
        <v>2021</v>
      </c>
      <c r="D316" s="7">
        <v>5475</v>
      </c>
      <c r="E316" s="7">
        <v>160314.568789949</v>
      </c>
      <c r="F316" s="7">
        <v>44611.1</v>
      </c>
      <c r="G316" s="7">
        <v>83095.9</v>
      </c>
      <c r="H316" s="7">
        <v>133854</v>
      </c>
      <c r="I316" s="7">
        <v>12.5102</v>
      </c>
      <c r="J316" s="7">
        <v>25233.42</v>
      </c>
      <c r="L316" s="1">
        <v>15</v>
      </c>
      <c r="M316" s="1">
        <v>2021</v>
      </c>
      <c r="N316" s="9">
        <v>1.18226087037432</v>
      </c>
      <c r="O316" s="9">
        <v>1.21009029121357</v>
      </c>
      <c r="P316" s="9">
        <v>1.11007781870558</v>
      </c>
      <c r="Q316" s="9">
        <v>1.11219820194505</v>
      </c>
      <c r="T316" s="1">
        <v>15</v>
      </c>
      <c r="U316" s="1">
        <v>2021</v>
      </c>
      <c r="V316" s="1">
        <f t="shared" si="16"/>
        <v>1.61908803743318</v>
      </c>
      <c r="W316" s="1">
        <f t="shared" si="17"/>
        <v>2.92522522198515</v>
      </c>
      <c r="X316" s="1">
        <f t="shared" si="18"/>
        <v>1.18572800147041</v>
      </c>
      <c r="Y316" s="1">
        <f t="shared" si="19"/>
        <v>1.33526285006521</v>
      </c>
    </row>
    <row r="317" s="1" customFormat="1" spans="1:25">
      <c r="A317" s="2" t="s">
        <v>31</v>
      </c>
      <c r="B317" s="2">
        <v>16</v>
      </c>
      <c r="C317" s="2">
        <v>2021</v>
      </c>
      <c r="D317" s="7">
        <v>4840</v>
      </c>
      <c r="E317" s="7">
        <v>145494.694562582</v>
      </c>
      <c r="F317" s="7">
        <v>23501</v>
      </c>
      <c r="G317" s="7">
        <v>58887.4</v>
      </c>
      <c r="H317" s="7">
        <v>43889.85</v>
      </c>
      <c r="I317" s="7">
        <v>5.361513</v>
      </c>
      <c r="J317" s="7">
        <v>16646.9</v>
      </c>
      <c r="L317" s="1">
        <v>16</v>
      </c>
      <c r="M317" s="1">
        <v>2021</v>
      </c>
      <c r="N317" s="9">
        <v>1.09798931755709</v>
      </c>
      <c r="O317" s="9">
        <v>1.11618946388514</v>
      </c>
      <c r="P317" s="9">
        <v>1.0394929961224</v>
      </c>
      <c r="Q317" s="9">
        <v>1.04124266124676</v>
      </c>
      <c r="T317" s="1">
        <v>16</v>
      </c>
      <c r="U317" s="1">
        <v>2021</v>
      </c>
      <c r="V317" s="1">
        <f t="shared" si="16"/>
        <v>1.50972789232943</v>
      </c>
      <c r="W317" s="1">
        <f t="shared" si="17"/>
        <v>4.5774521581388</v>
      </c>
      <c r="X317" s="1">
        <f t="shared" si="18"/>
        <v>1.30075243507422</v>
      </c>
      <c r="Y317" s="1">
        <f t="shared" si="19"/>
        <v>1.53125136835966</v>
      </c>
    </row>
    <row r="318" s="1" customFormat="1" spans="1:25">
      <c r="A318" s="2" t="s">
        <v>32</v>
      </c>
      <c r="B318" s="2">
        <v>17</v>
      </c>
      <c r="C318" s="2">
        <v>2021</v>
      </c>
      <c r="D318" s="7">
        <v>3286</v>
      </c>
      <c r="E318" s="7">
        <v>86758.1493568542</v>
      </c>
      <c r="F318" s="7">
        <v>18191.5963130348</v>
      </c>
      <c r="G318" s="7">
        <v>50012.9</v>
      </c>
      <c r="H318" s="7">
        <v>44634.332</v>
      </c>
      <c r="I318" s="7">
        <v>5.166</v>
      </c>
      <c r="J318" s="7">
        <v>10216.55</v>
      </c>
      <c r="L318" s="1">
        <v>17</v>
      </c>
      <c r="M318" s="1">
        <v>2021</v>
      </c>
      <c r="N318" s="9">
        <v>1.17744673863429</v>
      </c>
      <c r="O318" s="9">
        <v>1.24696183538072</v>
      </c>
      <c r="P318" s="9">
        <v>1.08669364576244</v>
      </c>
      <c r="Q318" s="9">
        <v>1.08942763844654</v>
      </c>
      <c r="T318" s="1">
        <v>17</v>
      </c>
      <c r="U318" s="1">
        <v>2021</v>
      </c>
      <c r="V318" s="1">
        <f t="shared" si="16"/>
        <v>1.33613065747783</v>
      </c>
      <c r="W318" s="1">
        <f t="shared" si="17"/>
        <v>3.62615119496529</v>
      </c>
      <c r="X318" s="1">
        <f t="shared" si="18"/>
        <v>1.38644459789294</v>
      </c>
      <c r="Y318" s="1">
        <f t="shared" si="19"/>
        <v>1.64446640088262</v>
      </c>
    </row>
    <row r="319" s="1" customFormat="1" spans="1:25">
      <c r="A319" s="2" t="s">
        <v>33</v>
      </c>
      <c r="B319" s="2">
        <v>18</v>
      </c>
      <c r="C319" s="2">
        <v>2021</v>
      </c>
      <c r="D319" s="7">
        <v>3258</v>
      </c>
      <c r="E319" s="7">
        <v>76144.2854349102</v>
      </c>
      <c r="F319" s="7">
        <v>16909.3271669</v>
      </c>
      <c r="G319" s="7">
        <v>46063.1</v>
      </c>
      <c r="H319" s="7">
        <v>34430.105</v>
      </c>
      <c r="I319" s="7">
        <v>5.048</v>
      </c>
      <c r="J319" s="7">
        <v>4845.62</v>
      </c>
      <c r="L319" s="1">
        <v>18</v>
      </c>
      <c r="M319" s="1">
        <v>2021</v>
      </c>
      <c r="N319" s="9">
        <v>1.06553993216808</v>
      </c>
      <c r="O319" s="9">
        <v>1.18945198931257</v>
      </c>
      <c r="P319" s="9">
        <v>1.06067779905799</v>
      </c>
      <c r="Q319" s="9">
        <v>1.06346862468843</v>
      </c>
      <c r="T319" s="1">
        <v>18</v>
      </c>
      <c r="U319" s="1">
        <v>2021</v>
      </c>
      <c r="V319" s="1">
        <f t="shared" si="16"/>
        <v>1.21339625832995</v>
      </c>
      <c r="W319" s="1">
        <f t="shared" si="17"/>
        <v>2.42092251071514</v>
      </c>
      <c r="X319" s="1">
        <f t="shared" si="18"/>
        <v>1.32877731402221</v>
      </c>
      <c r="Y319" s="1">
        <f t="shared" si="19"/>
        <v>1.25821625278669</v>
      </c>
    </row>
    <row r="320" s="1" customFormat="1" spans="1:25">
      <c r="A320" s="2" t="s">
        <v>34</v>
      </c>
      <c r="B320" s="2">
        <v>19</v>
      </c>
      <c r="C320" s="2">
        <v>2021</v>
      </c>
      <c r="D320" s="7">
        <v>7072</v>
      </c>
      <c r="E320" s="7">
        <v>189705.198319285</v>
      </c>
      <c r="F320" s="7">
        <v>36221.32</v>
      </c>
      <c r="G320" s="7">
        <v>124369.7</v>
      </c>
      <c r="H320" s="7">
        <v>105894.54</v>
      </c>
      <c r="I320" s="7">
        <v>8.2106</v>
      </c>
      <c r="J320" s="7">
        <v>7904.76</v>
      </c>
      <c r="L320" s="1">
        <v>19</v>
      </c>
      <c r="M320" s="1">
        <v>2021</v>
      </c>
      <c r="N320" s="9">
        <v>1.17912678073288</v>
      </c>
      <c r="O320" s="9">
        <v>1.14390765829804</v>
      </c>
      <c r="P320" s="9">
        <v>1.05774037333101</v>
      </c>
      <c r="Q320" s="9">
        <v>1.06126622726056</v>
      </c>
      <c r="T320" s="1">
        <v>19</v>
      </c>
      <c r="U320" s="1">
        <v>2021</v>
      </c>
      <c r="V320" s="1">
        <f t="shared" si="16"/>
        <v>0.772311114165179</v>
      </c>
      <c r="W320" s="1">
        <f t="shared" si="17"/>
        <v>1.53923330701833</v>
      </c>
      <c r="X320" s="1">
        <f t="shared" si="18"/>
        <v>1.23506107903354</v>
      </c>
      <c r="Y320" s="1">
        <f t="shared" si="19"/>
        <v>0.69330850189632</v>
      </c>
    </row>
    <row r="321" s="1" customFormat="1" spans="1:25">
      <c r="A321" s="2" t="s">
        <v>35</v>
      </c>
      <c r="B321" s="2">
        <v>20</v>
      </c>
      <c r="C321" s="2">
        <v>2021</v>
      </c>
      <c r="D321" s="7">
        <v>2544</v>
      </c>
      <c r="E321" s="7">
        <v>55481.1874313995</v>
      </c>
      <c r="F321" s="7">
        <v>13189.02</v>
      </c>
      <c r="G321" s="7">
        <v>24740.9</v>
      </c>
      <c r="H321" s="7">
        <v>30588</v>
      </c>
      <c r="I321" s="7">
        <v>6.9324</v>
      </c>
      <c r="J321" s="7">
        <v>9385.55</v>
      </c>
      <c r="L321" s="1">
        <v>20</v>
      </c>
      <c r="M321" s="1">
        <v>2021</v>
      </c>
      <c r="N321" s="9">
        <v>1.03052264651139</v>
      </c>
      <c r="O321" s="9">
        <v>1.03287492126688</v>
      </c>
      <c r="P321" s="9">
        <v>1.06408341700088</v>
      </c>
      <c r="Q321" s="9">
        <v>1.06613632360387</v>
      </c>
      <c r="T321" s="1">
        <v>20</v>
      </c>
      <c r="U321" s="1">
        <v>2021</v>
      </c>
      <c r="V321" s="1">
        <f t="shared" si="16"/>
        <v>1.09789211537</v>
      </c>
      <c r="W321" s="1">
        <f t="shared" si="17"/>
        <v>1.20720337146374</v>
      </c>
      <c r="X321" s="1">
        <f t="shared" si="18"/>
        <v>1.2220389111971</v>
      </c>
      <c r="Y321" s="1">
        <f t="shared" si="19"/>
        <v>1.38675388519953</v>
      </c>
    </row>
    <row r="322" s="1" customFormat="1" spans="1:25">
      <c r="A322" s="2" t="s">
        <v>36</v>
      </c>
      <c r="B322" s="2">
        <v>21</v>
      </c>
      <c r="C322" s="2">
        <v>2021</v>
      </c>
      <c r="D322" s="7">
        <v>544</v>
      </c>
      <c r="E322" s="7">
        <v>10968.5175921752</v>
      </c>
      <c r="F322" s="7">
        <v>2446.19</v>
      </c>
      <c r="G322" s="7">
        <v>6475.2</v>
      </c>
      <c r="H322" s="7">
        <v>6557.62158270385</v>
      </c>
      <c r="I322" s="7">
        <v>0.4262</v>
      </c>
      <c r="J322" s="7">
        <v>657.83</v>
      </c>
      <c r="L322" s="1">
        <v>21</v>
      </c>
      <c r="M322" s="1">
        <v>2021</v>
      </c>
      <c r="N322" s="9">
        <v>1.00802136352552</v>
      </c>
      <c r="O322" s="9">
        <v>1.06263936615695</v>
      </c>
      <c r="P322" s="9">
        <v>1.12940450716886</v>
      </c>
      <c r="Q322" s="9">
        <v>1.13406429052541</v>
      </c>
      <c r="T322" s="1">
        <v>21</v>
      </c>
      <c r="U322" s="1">
        <v>2021</v>
      </c>
      <c r="V322" s="1">
        <f t="shared" si="16"/>
        <v>0.886011186671643</v>
      </c>
      <c r="W322" s="1">
        <f t="shared" si="17"/>
        <v>0.538466825726653</v>
      </c>
      <c r="X322" s="1">
        <f t="shared" si="18"/>
        <v>1.29003325224063</v>
      </c>
      <c r="Y322" s="1">
        <f t="shared" si="19"/>
        <v>1.52714192230277</v>
      </c>
    </row>
    <row r="323" s="1" customFormat="1" spans="1:25">
      <c r="A323" s="2" t="s">
        <v>37</v>
      </c>
      <c r="B323" s="2">
        <v>22</v>
      </c>
      <c r="C323" s="2">
        <v>2021</v>
      </c>
      <c r="D323" s="7">
        <v>1668</v>
      </c>
      <c r="E323" s="7">
        <v>45296.8317029563</v>
      </c>
      <c r="F323" s="7">
        <v>8046.31</v>
      </c>
      <c r="G323" s="7">
        <v>27894</v>
      </c>
      <c r="H323" s="7">
        <v>16268</v>
      </c>
      <c r="I323" s="7">
        <v>4.1733</v>
      </c>
      <c r="J323" s="7">
        <v>2267.26</v>
      </c>
      <c r="L323" s="1">
        <v>22</v>
      </c>
      <c r="M323" s="1">
        <v>2021</v>
      </c>
      <c r="N323" s="9">
        <v>1.05363051496199</v>
      </c>
      <c r="O323" s="9">
        <v>1.05687389339891</v>
      </c>
      <c r="P323" s="9">
        <v>1.08415607761476</v>
      </c>
      <c r="Q323" s="9">
        <v>1.08956656790995</v>
      </c>
      <c r="T323" s="1">
        <v>22</v>
      </c>
      <c r="U323" s="1">
        <v>2021</v>
      </c>
      <c r="V323" s="1">
        <f t="shared" si="16"/>
        <v>1.38600001423154</v>
      </c>
      <c r="W323" s="1">
        <f t="shared" si="17"/>
        <v>1.5928657464023</v>
      </c>
      <c r="X323" s="1">
        <f t="shared" si="18"/>
        <v>1.65541270757494</v>
      </c>
      <c r="Y323" s="1">
        <f t="shared" si="19"/>
        <v>1.98683341004767</v>
      </c>
    </row>
    <row r="324" s="1" customFormat="1" spans="1:25">
      <c r="A324" s="2" t="s">
        <v>38</v>
      </c>
      <c r="B324" s="2">
        <v>23</v>
      </c>
      <c r="C324" s="2">
        <v>2021</v>
      </c>
      <c r="D324" s="7">
        <v>4727</v>
      </c>
      <c r="E324" s="7">
        <v>79475.0856969125</v>
      </c>
      <c r="F324" s="7">
        <v>17241.3</v>
      </c>
      <c r="G324" s="7">
        <v>53850.8</v>
      </c>
      <c r="H324" s="7">
        <v>43240.234</v>
      </c>
      <c r="I324" s="7">
        <v>10.5531</v>
      </c>
      <c r="J324" s="7">
        <v>14435.15</v>
      </c>
      <c r="L324" s="1">
        <v>23</v>
      </c>
      <c r="M324" s="1">
        <v>2021</v>
      </c>
      <c r="N324" s="9">
        <v>1.14476228406723</v>
      </c>
      <c r="O324" s="9">
        <v>1.16000112730091</v>
      </c>
      <c r="P324" s="9">
        <v>1.06084130113385</v>
      </c>
      <c r="Q324" s="9">
        <v>1.06312363225512</v>
      </c>
      <c r="T324" s="1">
        <v>23</v>
      </c>
      <c r="U324" s="1">
        <v>2021</v>
      </c>
      <c r="V324" s="1">
        <f t="shared" si="16"/>
        <v>1.54407050991686</v>
      </c>
      <c r="W324" s="1">
        <f t="shared" si="17"/>
        <v>4.5955835972714</v>
      </c>
      <c r="X324" s="1">
        <f t="shared" si="18"/>
        <v>1.49211346109682</v>
      </c>
      <c r="Y324" s="1">
        <f t="shared" si="19"/>
        <v>2.39719115103258</v>
      </c>
    </row>
    <row r="325" s="1" customFormat="1" spans="1:25">
      <c r="A325" s="2" t="s">
        <v>39</v>
      </c>
      <c r="B325" s="2">
        <v>24</v>
      </c>
      <c r="C325" s="2">
        <v>2021</v>
      </c>
      <c r="D325" s="7">
        <v>1886</v>
      </c>
      <c r="E325" s="7">
        <v>40186.0915229053</v>
      </c>
      <c r="F325" s="7">
        <v>10732.26</v>
      </c>
      <c r="G325" s="7">
        <v>19586.4</v>
      </c>
      <c r="H325" s="7">
        <v>21400</v>
      </c>
      <c r="I325" s="7">
        <v>11.08</v>
      </c>
      <c r="J325" s="7">
        <v>10911.24</v>
      </c>
      <c r="L325" s="1">
        <v>24</v>
      </c>
      <c r="M325" s="1">
        <v>2021</v>
      </c>
      <c r="N325" s="9">
        <v>1.02142383496467</v>
      </c>
      <c r="O325" s="9">
        <v>1.01420336325599</v>
      </c>
      <c r="P325" s="9">
        <v>1.04613347405332</v>
      </c>
      <c r="Q325" s="9">
        <v>1.04741659936073</v>
      </c>
      <c r="T325" s="1">
        <v>24</v>
      </c>
      <c r="U325" s="1">
        <v>2021</v>
      </c>
      <c r="V325" s="1">
        <f t="shared" si="16"/>
        <v>1.05594758985116</v>
      </c>
      <c r="W325" s="1">
        <f t="shared" si="17"/>
        <v>1.15821541639731</v>
      </c>
      <c r="X325" s="1">
        <f t="shared" si="18"/>
        <v>1.31675708083895</v>
      </c>
      <c r="Y325" s="1">
        <f t="shared" si="19"/>
        <v>1.52308395807146</v>
      </c>
    </row>
    <row r="326" s="1" customFormat="1" spans="1:25">
      <c r="A326" s="2" t="s">
        <v>40</v>
      </c>
      <c r="B326" s="2">
        <v>25</v>
      </c>
      <c r="C326" s="2">
        <v>2021</v>
      </c>
      <c r="D326" s="7">
        <v>2774</v>
      </c>
      <c r="E326" s="7">
        <v>67008.1954373813</v>
      </c>
      <c r="F326" s="7">
        <v>13426.35</v>
      </c>
      <c r="G326" s="7">
        <v>27146.8</v>
      </c>
      <c r="H326" s="7">
        <v>19096</v>
      </c>
      <c r="I326" s="7">
        <v>11.7115</v>
      </c>
      <c r="J326" s="7">
        <v>17844.52</v>
      </c>
      <c r="L326" s="1">
        <v>25</v>
      </c>
      <c r="M326" s="1">
        <v>2021</v>
      </c>
      <c r="N326" s="9">
        <v>1.03695985248821</v>
      </c>
      <c r="O326" s="9">
        <v>1.03322768206923</v>
      </c>
      <c r="P326" s="9">
        <v>1.06056782486567</v>
      </c>
      <c r="Q326" s="9">
        <v>1.0628008489883</v>
      </c>
      <c r="T326" s="1">
        <v>25</v>
      </c>
      <c r="U326" s="1">
        <v>2021</v>
      </c>
      <c r="V326" s="1">
        <f t="shared" si="16"/>
        <v>1.05968285533131</v>
      </c>
      <c r="W326" s="1">
        <f t="shared" si="17"/>
        <v>1.17396345957736</v>
      </c>
      <c r="X326" s="1">
        <f t="shared" si="18"/>
        <v>1.24963940210832</v>
      </c>
      <c r="Y326" s="1">
        <f t="shared" si="19"/>
        <v>1.45886286397351</v>
      </c>
    </row>
    <row r="327" s="1" customFormat="1" spans="1:25">
      <c r="A327" s="2" t="s">
        <v>41</v>
      </c>
      <c r="B327" s="2">
        <v>26</v>
      </c>
      <c r="C327" s="2">
        <v>2021</v>
      </c>
      <c r="D327" s="7">
        <v>2091</v>
      </c>
      <c r="E327" s="7">
        <v>59419.5428297718</v>
      </c>
      <c r="F327" s="7">
        <v>14515.23</v>
      </c>
      <c r="G327" s="7">
        <v>29801</v>
      </c>
      <c r="H327" s="7">
        <v>31690.42</v>
      </c>
      <c r="I327" s="7">
        <v>5.578778</v>
      </c>
      <c r="J327" s="7">
        <v>13049.63</v>
      </c>
      <c r="L327" s="1">
        <v>26</v>
      </c>
      <c r="M327" s="1">
        <v>2021</v>
      </c>
      <c r="N327" s="9">
        <v>1.05253571735388</v>
      </c>
      <c r="O327" s="9">
        <v>1.05519040067193</v>
      </c>
      <c r="P327" s="9">
        <v>1.0943614465254</v>
      </c>
      <c r="Q327" s="9">
        <v>1.09592979702979</v>
      </c>
      <c r="T327" s="1">
        <v>26</v>
      </c>
      <c r="U327" s="1">
        <v>2021</v>
      </c>
      <c r="V327" s="1">
        <f t="shared" si="16"/>
        <v>1.06595469785921</v>
      </c>
      <c r="W327" s="1">
        <f t="shared" si="17"/>
        <v>1.18461127954702</v>
      </c>
      <c r="X327" s="1">
        <f t="shared" si="18"/>
        <v>1.23991928055381</v>
      </c>
      <c r="Y327" s="1">
        <f t="shared" si="19"/>
        <v>1.40981258630924</v>
      </c>
    </row>
    <row r="328" s="1" customFormat="1" spans="1:25">
      <c r="A328" s="2" t="s">
        <v>42</v>
      </c>
      <c r="B328" s="2">
        <v>27</v>
      </c>
      <c r="C328" s="2">
        <v>2021</v>
      </c>
      <c r="D328" s="7">
        <v>1319</v>
      </c>
      <c r="E328" s="7">
        <v>18850.9886164371</v>
      </c>
      <c r="F328" s="7">
        <v>8034.74746070112</v>
      </c>
      <c r="G328" s="7">
        <v>10243.3</v>
      </c>
      <c r="H328" s="7">
        <v>8975.4004</v>
      </c>
      <c r="I328" s="7">
        <v>6.6481</v>
      </c>
      <c r="J328" s="7">
        <v>6261.89</v>
      </c>
      <c r="L328" s="1">
        <v>27</v>
      </c>
      <c r="M328" s="1">
        <v>2021</v>
      </c>
      <c r="N328" s="9">
        <v>0.953685363618027</v>
      </c>
      <c r="O328" s="9">
        <v>0.352121028813406</v>
      </c>
      <c r="P328" s="9">
        <v>1.09627077336635</v>
      </c>
      <c r="Q328" s="9">
        <v>1.09490859060009</v>
      </c>
      <c r="T328" s="1">
        <v>27</v>
      </c>
      <c r="U328" s="1">
        <v>2021</v>
      </c>
      <c r="V328" s="1">
        <f t="shared" si="16"/>
        <v>1.09304938472711</v>
      </c>
      <c r="W328" s="1">
        <f t="shared" si="17"/>
        <v>0.635404363141362</v>
      </c>
      <c r="X328" s="1">
        <f t="shared" si="18"/>
        <v>1.12535941507987</v>
      </c>
      <c r="Y328" s="1">
        <f t="shared" si="19"/>
        <v>1.25262391021991</v>
      </c>
    </row>
    <row r="329" s="1" customFormat="1" spans="1:25">
      <c r="A329" s="2" t="s">
        <v>43</v>
      </c>
      <c r="B329" s="2">
        <v>28</v>
      </c>
      <c r="C329" s="2">
        <v>2021</v>
      </c>
      <c r="D329" s="7">
        <v>277</v>
      </c>
      <c r="E329" s="7">
        <v>15056.5302326994</v>
      </c>
      <c r="F329" s="7">
        <v>4694.47</v>
      </c>
      <c r="G329" s="7">
        <v>3346.6</v>
      </c>
      <c r="H329" s="7">
        <v>9124.8145</v>
      </c>
      <c r="I329" s="7">
        <v>3.9335</v>
      </c>
      <c r="J329" s="7">
        <v>15752.53</v>
      </c>
      <c r="L329" s="1">
        <v>28</v>
      </c>
      <c r="M329" s="1">
        <v>2021</v>
      </c>
      <c r="N329" s="9">
        <v>0.918327468264474</v>
      </c>
      <c r="O329" s="9">
        <v>0.997806422183726</v>
      </c>
      <c r="P329" s="9">
        <v>1.0789142979371</v>
      </c>
      <c r="Q329" s="9">
        <v>1.08132917857158</v>
      </c>
      <c r="T329" s="1">
        <v>28</v>
      </c>
      <c r="U329" s="1">
        <v>2021</v>
      </c>
      <c r="V329" s="1">
        <f t="shared" si="16"/>
        <v>0.850596389443039</v>
      </c>
      <c r="W329" s="1">
        <f t="shared" si="17"/>
        <v>0.859123982601825</v>
      </c>
      <c r="X329" s="1">
        <f t="shared" si="18"/>
        <v>0.888605409795496</v>
      </c>
      <c r="Y329" s="1">
        <f t="shared" si="19"/>
        <v>1.04215187651379</v>
      </c>
    </row>
    <row r="330" s="1" customFormat="1" spans="1:25">
      <c r="A330" s="2" t="s">
        <v>44</v>
      </c>
      <c r="B330" s="2">
        <v>29</v>
      </c>
      <c r="C330" s="2">
        <v>2021</v>
      </c>
      <c r="D330" s="7">
        <v>345</v>
      </c>
      <c r="E330" s="7">
        <v>14081.1610641087</v>
      </c>
      <c r="F330" s="7">
        <v>8636.8</v>
      </c>
      <c r="G330" s="7">
        <v>4522.3</v>
      </c>
      <c r="H330" s="7">
        <v>8857.3076</v>
      </c>
      <c r="I330" s="7">
        <v>5.9634</v>
      </c>
      <c r="J330" s="7">
        <v>7856.98</v>
      </c>
      <c r="L330" s="1">
        <v>29</v>
      </c>
      <c r="M330" s="1">
        <v>2021</v>
      </c>
      <c r="N330" s="9">
        <v>0.862464283459899</v>
      </c>
      <c r="O330" s="9">
        <v>1.00719066068734</v>
      </c>
      <c r="P330" s="9">
        <v>1.14300827624703</v>
      </c>
      <c r="Q330" s="9">
        <v>1.14428936766281</v>
      </c>
      <c r="T330" s="1">
        <v>29</v>
      </c>
      <c r="U330" s="1">
        <v>2021</v>
      </c>
      <c r="V330" s="1">
        <f t="shared" si="16"/>
        <v>0.839022364222291</v>
      </c>
      <c r="W330" s="1">
        <f t="shared" si="17"/>
        <v>0.89428953409504</v>
      </c>
      <c r="X330" s="1">
        <f t="shared" si="18"/>
        <v>1.06496351997591</v>
      </c>
      <c r="Y330" s="1">
        <f t="shared" si="19"/>
        <v>1.21038605660699</v>
      </c>
    </row>
    <row r="331" s="1" customFormat="1" spans="1:25">
      <c r="A331" s="2" t="s">
        <v>45</v>
      </c>
      <c r="B331" s="2">
        <v>30</v>
      </c>
      <c r="C331" s="2">
        <v>2021</v>
      </c>
      <c r="D331" s="7">
        <v>1360</v>
      </c>
      <c r="E331" s="7">
        <v>39103.1138918182</v>
      </c>
      <c r="F331" s="7">
        <v>19661.2231088512</v>
      </c>
      <c r="G331" s="7">
        <v>15983.6</v>
      </c>
      <c r="H331" s="7">
        <v>17575.422</v>
      </c>
      <c r="I331" s="7">
        <v>12.0054</v>
      </c>
      <c r="J331" s="7">
        <v>10581.27</v>
      </c>
      <c r="L331" s="1">
        <v>30</v>
      </c>
      <c r="M331" s="1">
        <v>2021</v>
      </c>
      <c r="N331" s="9">
        <v>1.00616559672549</v>
      </c>
      <c r="O331" s="9">
        <v>1.00496086289228</v>
      </c>
      <c r="P331" s="9">
        <v>1.09602806357059</v>
      </c>
      <c r="Q331" s="9">
        <v>1.09537827863972</v>
      </c>
      <c r="T331" s="1">
        <v>30</v>
      </c>
      <c r="U331" s="1">
        <v>2021</v>
      </c>
      <c r="V331" s="1">
        <f t="shared" si="16"/>
        <v>0.886062540281044</v>
      </c>
      <c r="W331" s="1">
        <f t="shared" si="17"/>
        <v>0.932474251128981</v>
      </c>
      <c r="X331" s="1">
        <f t="shared" si="18"/>
        <v>1.02874722182915</v>
      </c>
      <c r="Y331" s="1">
        <f t="shared" si="19"/>
        <v>1.15520969290996</v>
      </c>
    </row>
    <row r="332" s="1" customFormat="1" spans="1:25">
      <c r="A332" s="2" t="s">
        <v>16</v>
      </c>
      <c r="B332" s="2">
        <v>1</v>
      </c>
      <c r="C332" s="2">
        <v>2022</v>
      </c>
      <c r="D332" s="7">
        <v>1132</v>
      </c>
      <c r="E332" s="7">
        <v>52879.3679341045</v>
      </c>
      <c r="F332" s="7">
        <v>7444.17576883456</v>
      </c>
      <c r="G332" s="7">
        <v>41610.9</v>
      </c>
      <c r="H332" s="7">
        <v>7922.42388083715</v>
      </c>
      <c r="I332" s="7">
        <v>0.0799</v>
      </c>
      <c r="J332" s="7">
        <v>171</v>
      </c>
      <c r="L332" s="1">
        <v>1</v>
      </c>
      <c r="M332" s="1">
        <v>2022</v>
      </c>
      <c r="N332" s="9">
        <v>1.03108510746388</v>
      </c>
      <c r="O332" s="9">
        <v>1.60265604827067</v>
      </c>
      <c r="P332" s="9">
        <v>1.08230113959957</v>
      </c>
      <c r="Q332" s="9">
        <v>1.03030452294273</v>
      </c>
      <c r="T332" s="1">
        <v>1</v>
      </c>
      <c r="U332" s="1">
        <v>2022</v>
      </c>
      <c r="V332" s="1">
        <f t="shared" si="16"/>
        <v>2.02301838899017</v>
      </c>
      <c r="W332" s="1">
        <f t="shared" si="17"/>
        <v>38.2616160951351</v>
      </c>
      <c r="X332" s="1">
        <f t="shared" si="18"/>
        <v>2.56653889616847</v>
      </c>
      <c r="Y332" s="1">
        <f t="shared" si="19"/>
        <v>3.33732532589913</v>
      </c>
    </row>
    <row r="333" s="1" customFormat="1" spans="1:25">
      <c r="A333" s="2" t="s">
        <v>17</v>
      </c>
      <c r="B333" s="2">
        <v>2</v>
      </c>
      <c r="C333" s="2">
        <v>2022</v>
      </c>
      <c r="D333" s="7">
        <v>621</v>
      </c>
      <c r="E333" s="7">
        <v>55243.8281530821</v>
      </c>
      <c r="F333" s="7">
        <v>8121.77</v>
      </c>
      <c r="G333" s="7">
        <v>16311.3</v>
      </c>
      <c r="H333" s="7">
        <v>10142.6362763217</v>
      </c>
      <c r="I333" s="7">
        <v>0.6227</v>
      </c>
      <c r="J333" s="7">
        <v>1946</v>
      </c>
      <c r="L333" s="1">
        <v>2</v>
      </c>
      <c r="M333" s="1">
        <v>2022</v>
      </c>
      <c r="N333" s="9">
        <v>1.60455596347514</v>
      </c>
      <c r="O333" s="9">
        <v>1.22780299600177</v>
      </c>
      <c r="P333" s="9">
        <v>1.05977864769679</v>
      </c>
      <c r="Q333" s="9">
        <v>1.06205752701866</v>
      </c>
      <c r="T333" s="1">
        <v>2</v>
      </c>
      <c r="U333" s="1">
        <v>2022</v>
      </c>
      <c r="V333" s="1">
        <f t="shared" si="16"/>
        <v>2.59837898399446</v>
      </c>
      <c r="W333" s="1">
        <f t="shared" si="17"/>
        <v>7.46282891262465</v>
      </c>
      <c r="X333" s="1">
        <f t="shared" si="18"/>
        <v>1.11643180694608</v>
      </c>
      <c r="Y333" s="1">
        <f t="shared" si="19"/>
        <v>4.20296205407013</v>
      </c>
    </row>
    <row r="334" s="1" customFormat="1" spans="1:25">
      <c r="A334" s="2" t="s">
        <v>18</v>
      </c>
      <c r="B334" s="2">
        <v>3</v>
      </c>
      <c r="C334" s="2">
        <v>2022</v>
      </c>
      <c r="D334" s="7">
        <v>3580</v>
      </c>
      <c r="E334" s="7">
        <v>102523.654312398</v>
      </c>
      <c r="F334" s="7">
        <v>32538.5</v>
      </c>
      <c r="G334" s="7">
        <v>42370.4</v>
      </c>
      <c r="H334" s="7">
        <v>26093.9185494772</v>
      </c>
      <c r="I334" s="7">
        <v>12.4402</v>
      </c>
      <c r="J334" s="7">
        <v>37092</v>
      </c>
      <c r="L334" s="1">
        <v>3</v>
      </c>
      <c r="M334" s="1">
        <v>2022</v>
      </c>
      <c r="N334" s="9">
        <v>1.03131179396002</v>
      </c>
      <c r="O334" s="9">
        <v>1.07012897984694</v>
      </c>
      <c r="P334" s="9">
        <v>1.04206438202546</v>
      </c>
      <c r="Q334" s="9">
        <v>1.04389016310267</v>
      </c>
      <c r="T334" s="1">
        <v>3</v>
      </c>
      <c r="U334" s="1">
        <v>2022</v>
      </c>
      <c r="V334" s="1">
        <f t="shared" si="16"/>
        <v>0.980772154988494</v>
      </c>
      <c r="W334" s="1">
        <f t="shared" si="17"/>
        <v>1.66994006948638</v>
      </c>
      <c r="X334" s="1">
        <f t="shared" si="18"/>
        <v>1.04864720354813</v>
      </c>
      <c r="Y334" s="1">
        <f t="shared" si="19"/>
        <v>1.19145817542351</v>
      </c>
    </row>
    <row r="335" s="1" customFormat="1" spans="1:25">
      <c r="A335" s="2" t="s">
        <v>19</v>
      </c>
      <c r="B335" s="2">
        <v>4</v>
      </c>
      <c r="C335" s="2">
        <v>2022</v>
      </c>
      <c r="D335" s="7">
        <v>1672</v>
      </c>
      <c r="E335" s="7">
        <v>39502.3783981303</v>
      </c>
      <c r="F335" s="7">
        <v>19582.62</v>
      </c>
      <c r="G335" s="7">
        <v>25642.6</v>
      </c>
      <c r="H335" s="7">
        <v>17236.8017932567</v>
      </c>
      <c r="I335" s="7">
        <v>9.0866</v>
      </c>
      <c r="J335" s="7">
        <v>48014</v>
      </c>
      <c r="L335" s="1">
        <v>4</v>
      </c>
      <c r="M335" s="1">
        <v>2022</v>
      </c>
      <c r="N335" s="9">
        <v>1.10891399732238</v>
      </c>
      <c r="O335" s="9">
        <v>1.11064060166601</v>
      </c>
      <c r="P335" s="9">
        <v>1.14561469542255</v>
      </c>
      <c r="Q335" s="9">
        <v>1.1475131727504</v>
      </c>
      <c r="T335" s="1">
        <v>4</v>
      </c>
      <c r="U335" s="1">
        <v>2022</v>
      </c>
      <c r="V335" s="1">
        <f t="shared" si="16"/>
        <v>1.30997380797887</v>
      </c>
      <c r="W335" s="1">
        <f t="shared" si="17"/>
        <v>1.35257672041585</v>
      </c>
      <c r="X335" s="1">
        <f t="shared" si="18"/>
        <v>1.4775724160573</v>
      </c>
      <c r="Y335" s="1">
        <f t="shared" si="19"/>
        <v>1.62938885721928</v>
      </c>
    </row>
    <row r="336" s="1" customFormat="1" spans="1:25">
      <c r="A336" s="2" t="s">
        <v>20</v>
      </c>
      <c r="B336" s="2">
        <v>5</v>
      </c>
      <c r="C336" s="2">
        <v>2022</v>
      </c>
      <c r="D336" s="7">
        <v>1190</v>
      </c>
      <c r="E336" s="7">
        <v>51774.8982944471</v>
      </c>
      <c r="F336" s="7">
        <v>26900.46</v>
      </c>
      <c r="G336" s="7">
        <v>23158.6</v>
      </c>
      <c r="H336" s="7">
        <v>24394.8206180182</v>
      </c>
      <c r="I336" s="7">
        <v>14.7641</v>
      </c>
      <c r="J336" s="7">
        <v>41323</v>
      </c>
      <c r="L336" s="1">
        <v>5</v>
      </c>
      <c r="M336" s="1">
        <v>2022</v>
      </c>
      <c r="N336" s="9">
        <v>1.10301099841927</v>
      </c>
      <c r="O336" s="9">
        <v>1.10222104514301</v>
      </c>
      <c r="P336" s="9">
        <v>1.1484732332101</v>
      </c>
      <c r="Q336" s="9">
        <v>1.14928593360124</v>
      </c>
      <c r="T336" s="1">
        <v>5</v>
      </c>
      <c r="U336" s="1">
        <v>2022</v>
      </c>
      <c r="V336" s="1">
        <f t="shared" si="16"/>
        <v>1.09668274042827</v>
      </c>
      <c r="W336" s="1">
        <f t="shared" si="17"/>
        <v>1.16063090567781</v>
      </c>
      <c r="X336" s="1">
        <f t="shared" si="18"/>
        <v>1.17165163530181</v>
      </c>
      <c r="Y336" s="1">
        <f t="shared" si="19"/>
        <v>1.32219256432697</v>
      </c>
    </row>
    <row r="337" s="1" customFormat="1" spans="1:25">
      <c r="A337" s="2" t="s">
        <v>21</v>
      </c>
      <c r="B337" s="2">
        <v>6</v>
      </c>
      <c r="C337" s="2">
        <v>2022</v>
      </c>
      <c r="D337" s="7">
        <v>2122</v>
      </c>
      <c r="E337" s="7">
        <v>61630.1125376757</v>
      </c>
      <c r="F337" s="7">
        <v>24707.3</v>
      </c>
      <c r="G337" s="7">
        <v>28975.1</v>
      </c>
      <c r="H337" s="7">
        <v>29230.1</v>
      </c>
      <c r="I337" s="7">
        <v>8.2831</v>
      </c>
      <c r="J337" s="7">
        <v>26372</v>
      </c>
      <c r="L337" s="1">
        <v>6</v>
      </c>
      <c r="M337" s="1">
        <v>2022</v>
      </c>
      <c r="N337" s="9">
        <v>1.01602708692366</v>
      </c>
      <c r="O337" s="9">
        <v>1.01665313851785</v>
      </c>
      <c r="P337" s="9">
        <v>1.03196990440069</v>
      </c>
      <c r="Q337" s="9">
        <v>1.03148824553078</v>
      </c>
      <c r="T337" s="1">
        <v>6</v>
      </c>
      <c r="U337" s="1">
        <v>2022</v>
      </c>
      <c r="V337" s="1">
        <f t="shared" si="16"/>
        <v>1.02787147000529</v>
      </c>
      <c r="W337" s="1">
        <f t="shared" si="17"/>
        <v>1.17219516535043</v>
      </c>
      <c r="X337" s="1">
        <f t="shared" si="18"/>
        <v>1.04147772433651</v>
      </c>
      <c r="Y337" s="1">
        <f t="shared" si="19"/>
        <v>1.14623079835178</v>
      </c>
    </row>
    <row r="338" s="1" customFormat="1" spans="1:25">
      <c r="A338" s="2" t="s">
        <v>22</v>
      </c>
      <c r="B338" s="2">
        <v>7</v>
      </c>
      <c r="C338" s="2">
        <v>2022</v>
      </c>
      <c r="D338" s="7">
        <v>1185</v>
      </c>
      <c r="E338" s="7">
        <v>52431.3337323047</v>
      </c>
      <c r="F338" s="7">
        <v>7027.83</v>
      </c>
      <c r="G338" s="7">
        <v>13070.2</v>
      </c>
      <c r="H338" s="7">
        <v>16115.9494118575</v>
      </c>
      <c r="I338" s="7">
        <v>3.5552</v>
      </c>
      <c r="J338" s="7">
        <v>4820</v>
      </c>
      <c r="L338" s="1">
        <v>7</v>
      </c>
      <c r="M338" s="1">
        <v>2022</v>
      </c>
      <c r="N338" s="9">
        <v>1.02148812349181</v>
      </c>
      <c r="O338" s="9">
        <v>1.02141352172467</v>
      </c>
      <c r="P338" s="9">
        <v>1.00595820144408</v>
      </c>
      <c r="Q338" s="9">
        <v>1.00660546291793</v>
      </c>
      <c r="T338" s="1">
        <v>7</v>
      </c>
      <c r="U338" s="1">
        <v>2022</v>
      </c>
      <c r="V338" s="1">
        <f t="shared" si="16"/>
        <v>1.14685683621099</v>
      </c>
      <c r="W338" s="1">
        <f t="shared" si="17"/>
        <v>1.22153910991495</v>
      </c>
      <c r="X338" s="1">
        <f t="shared" si="18"/>
        <v>1.02677587674627</v>
      </c>
      <c r="Y338" s="1">
        <f t="shared" si="19"/>
        <v>1.18590153364911</v>
      </c>
    </row>
    <row r="339" s="1" customFormat="1" spans="1:25">
      <c r="A339" s="2" t="s">
        <v>23</v>
      </c>
      <c r="B339" s="2">
        <v>8</v>
      </c>
      <c r="C339" s="2">
        <v>2022</v>
      </c>
      <c r="D339" s="7">
        <v>1351</v>
      </c>
      <c r="E339" s="7">
        <v>48705.6264451082</v>
      </c>
      <c r="F339" s="7">
        <v>12305</v>
      </c>
      <c r="G339" s="7">
        <v>15901</v>
      </c>
      <c r="H339" s="7">
        <v>12466.29</v>
      </c>
      <c r="I339" s="7">
        <v>4.6245</v>
      </c>
      <c r="J339" s="7">
        <v>10118</v>
      </c>
      <c r="L339" s="1">
        <v>8</v>
      </c>
      <c r="M339" s="1">
        <v>2022</v>
      </c>
      <c r="N339" s="9">
        <v>1.07222231322638</v>
      </c>
      <c r="O339" s="9">
        <v>1.07389199646929</v>
      </c>
      <c r="P339" s="9">
        <v>1.07782948277137</v>
      </c>
      <c r="Q339" s="9">
        <v>1.08050241602766</v>
      </c>
      <c r="T339" s="1">
        <v>8</v>
      </c>
      <c r="U339" s="1">
        <v>2022</v>
      </c>
      <c r="V339" s="1">
        <f t="shared" si="16"/>
        <v>0.952809894188485</v>
      </c>
      <c r="W339" s="1">
        <f t="shared" si="17"/>
        <v>0.993262960882351</v>
      </c>
      <c r="X339" s="1">
        <f t="shared" si="18"/>
        <v>0.841225471942413</v>
      </c>
      <c r="Y339" s="1">
        <f t="shared" si="19"/>
        <v>0.972673529150698</v>
      </c>
    </row>
    <row r="340" s="1" customFormat="1" spans="1:25">
      <c r="A340" s="2" t="s">
        <v>24</v>
      </c>
      <c r="B340" s="2">
        <v>9</v>
      </c>
      <c r="C340" s="2">
        <v>2022</v>
      </c>
      <c r="D340" s="7">
        <v>1347</v>
      </c>
      <c r="E340" s="7">
        <v>63634.7511464025</v>
      </c>
      <c r="F340" s="7">
        <v>10951.01</v>
      </c>
      <c r="G340" s="7">
        <v>44652.8</v>
      </c>
      <c r="H340" s="7">
        <v>32300</v>
      </c>
      <c r="I340" s="7">
        <v>0.653</v>
      </c>
      <c r="J340" s="7">
        <v>2084</v>
      </c>
      <c r="L340" s="1">
        <v>9</v>
      </c>
      <c r="M340" s="1">
        <v>2022</v>
      </c>
      <c r="N340" s="9">
        <v>1.02374283681229</v>
      </c>
      <c r="O340" s="9">
        <v>1.34886002316297</v>
      </c>
      <c r="P340" s="9">
        <v>1.0373623334424</v>
      </c>
      <c r="Q340" s="9">
        <v>1.03666082041351</v>
      </c>
      <c r="T340" s="1">
        <v>9</v>
      </c>
      <c r="U340" s="1">
        <v>2022</v>
      </c>
      <c r="V340" s="1">
        <f t="shared" si="16"/>
        <v>1.32150031287721</v>
      </c>
      <c r="W340" s="1">
        <f t="shared" si="17"/>
        <v>6.69160483253084</v>
      </c>
      <c r="X340" s="1">
        <f t="shared" si="18"/>
        <v>1.65316210587864</v>
      </c>
      <c r="Y340" s="1">
        <f t="shared" si="19"/>
        <v>7.56895876134061</v>
      </c>
    </row>
    <row r="341" s="1" customFormat="1" spans="1:25">
      <c r="A341" s="2" t="s">
        <v>25</v>
      </c>
      <c r="B341" s="2">
        <v>10</v>
      </c>
      <c r="C341" s="2">
        <v>2022</v>
      </c>
      <c r="D341" s="7">
        <v>4805</v>
      </c>
      <c r="E341" s="7">
        <v>170772.722018208</v>
      </c>
      <c r="F341" s="7">
        <v>35823.95</v>
      </c>
      <c r="G341" s="7">
        <v>122875.6</v>
      </c>
      <c r="H341" s="7">
        <v>112921.829527446</v>
      </c>
      <c r="I341" s="7">
        <v>7.1112</v>
      </c>
      <c r="J341" s="7">
        <v>13278</v>
      </c>
      <c r="L341" s="1">
        <v>10</v>
      </c>
      <c r="M341" s="1">
        <v>2022</v>
      </c>
      <c r="N341" s="9">
        <v>1.1038578307989</v>
      </c>
      <c r="O341" s="9">
        <v>1.01737226270952</v>
      </c>
      <c r="P341" s="9">
        <v>1.0232323143702</v>
      </c>
      <c r="Q341" s="9">
        <v>1.02491502463466</v>
      </c>
      <c r="T341" s="1">
        <v>10</v>
      </c>
      <c r="U341" s="1">
        <v>2022</v>
      </c>
      <c r="V341" s="1">
        <f t="shared" si="16"/>
        <v>2.95734615183863</v>
      </c>
      <c r="W341" s="1">
        <f t="shared" si="17"/>
        <v>3.23049429584792</v>
      </c>
      <c r="X341" s="1">
        <f t="shared" si="18"/>
        <v>1.54117417451045</v>
      </c>
      <c r="Y341" s="1">
        <f t="shared" si="19"/>
        <v>3.68406467685369</v>
      </c>
    </row>
    <row r="342" s="1" customFormat="1" spans="1:25">
      <c r="A342" s="2" t="s">
        <v>26</v>
      </c>
      <c r="B342" s="2">
        <v>11</v>
      </c>
      <c r="C342" s="2">
        <v>2022</v>
      </c>
      <c r="D342" s="7">
        <v>3885</v>
      </c>
      <c r="E342" s="7">
        <v>119669.615372187</v>
      </c>
      <c r="F342" s="7">
        <v>29112</v>
      </c>
      <c r="G342" s="7">
        <v>77715.4</v>
      </c>
      <c r="H342" s="7">
        <v>101700</v>
      </c>
      <c r="I342" s="7">
        <v>3.9605</v>
      </c>
      <c r="J342" s="7">
        <v>5503</v>
      </c>
      <c r="L342" s="1">
        <v>11</v>
      </c>
      <c r="M342" s="1">
        <v>2022</v>
      </c>
      <c r="N342" s="9">
        <v>1.06525257012839</v>
      </c>
      <c r="O342" s="9">
        <v>1.07590404209766</v>
      </c>
      <c r="P342" s="9">
        <v>1.00443015322918</v>
      </c>
      <c r="Q342" s="9">
        <v>1.00580341905059</v>
      </c>
      <c r="T342" s="1">
        <v>11</v>
      </c>
      <c r="U342" s="1">
        <v>2022</v>
      </c>
      <c r="V342" s="1">
        <f t="shared" si="16"/>
        <v>2.03399397975887</v>
      </c>
      <c r="W342" s="1">
        <f t="shared" si="17"/>
        <v>9.92330710951031</v>
      </c>
      <c r="X342" s="1">
        <f t="shared" si="18"/>
        <v>1.31058004753675</v>
      </c>
      <c r="Y342" s="1">
        <f t="shared" si="19"/>
        <v>1.47165699336564</v>
      </c>
    </row>
    <row r="343" s="1" customFormat="1" spans="1:25">
      <c r="A343" s="2" t="s">
        <v>27</v>
      </c>
      <c r="B343" s="2">
        <v>12</v>
      </c>
      <c r="C343" s="2">
        <v>2022</v>
      </c>
      <c r="D343" s="7">
        <v>3176</v>
      </c>
      <c r="E343" s="7">
        <v>69753.394162627</v>
      </c>
      <c r="F343" s="7">
        <v>15882.7</v>
      </c>
      <c r="G343" s="7">
        <v>45045</v>
      </c>
      <c r="H343" s="7">
        <v>33682.5355265973</v>
      </c>
      <c r="I343" s="7">
        <v>6.857</v>
      </c>
      <c r="J343" s="7">
        <v>15164</v>
      </c>
      <c r="L343" s="1">
        <v>12</v>
      </c>
      <c r="M343" s="1">
        <v>2022</v>
      </c>
      <c r="N343" s="9">
        <v>0.997302331453235</v>
      </c>
      <c r="O343" s="9">
        <v>1.05229972784565</v>
      </c>
      <c r="P343" s="9">
        <v>1.00708099117021</v>
      </c>
      <c r="Q343" s="9">
        <v>1.00853280937498</v>
      </c>
      <c r="T343" s="1">
        <v>12</v>
      </c>
      <c r="U343" s="1">
        <v>2022</v>
      </c>
      <c r="V343" s="1">
        <f t="shared" si="16"/>
        <v>1.1924187628199</v>
      </c>
      <c r="W343" s="1">
        <f t="shared" si="17"/>
        <v>2.06852889401159</v>
      </c>
      <c r="X343" s="1">
        <f t="shared" si="18"/>
        <v>1.39808017447436</v>
      </c>
      <c r="Y343" s="1">
        <f t="shared" si="19"/>
        <v>2.12077522251206</v>
      </c>
    </row>
    <row r="344" s="1" customFormat="1" spans="1:25">
      <c r="A344" s="2" t="s">
        <v>28</v>
      </c>
      <c r="B344" s="2">
        <v>13</v>
      </c>
      <c r="C344" s="2">
        <v>2022</v>
      </c>
      <c r="D344" s="7">
        <v>2174</v>
      </c>
      <c r="E344" s="7">
        <v>95272.0065866392</v>
      </c>
      <c r="F344" s="7">
        <v>15157.51</v>
      </c>
      <c r="G344" s="7">
        <v>53109.9</v>
      </c>
      <c r="H344" s="7">
        <v>78178.6644424193</v>
      </c>
      <c r="I344" s="7">
        <v>5.2159</v>
      </c>
      <c r="J344" s="7">
        <v>6618</v>
      </c>
      <c r="L344" s="1">
        <v>13</v>
      </c>
      <c r="M344" s="1">
        <v>2022</v>
      </c>
      <c r="N344" s="9">
        <v>1.15341649018131</v>
      </c>
      <c r="O344" s="9">
        <v>1.16304143531094</v>
      </c>
      <c r="P344" s="9">
        <v>1.07048971314597</v>
      </c>
      <c r="Q344" s="9">
        <v>1.07210105775874</v>
      </c>
      <c r="T344" s="1">
        <v>13</v>
      </c>
      <c r="U344" s="1">
        <v>2022</v>
      </c>
      <c r="V344" s="1">
        <f t="shared" si="16"/>
        <v>1.52118006902233</v>
      </c>
      <c r="W344" s="1">
        <f t="shared" si="17"/>
        <v>4.27152577928374</v>
      </c>
      <c r="X344" s="1">
        <f t="shared" si="18"/>
        <v>1.58205595017068</v>
      </c>
      <c r="Y344" s="1">
        <f t="shared" si="19"/>
        <v>1.82254480033517</v>
      </c>
    </row>
    <row r="345" s="1" customFormat="1" spans="1:25">
      <c r="A345" s="2" t="s">
        <v>29</v>
      </c>
      <c r="B345" s="2">
        <v>14</v>
      </c>
      <c r="C345" s="2">
        <v>2022</v>
      </c>
      <c r="D345" s="7">
        <v>2193</v>
      </c>
      <c r="E345" s="7">
        <v>49685.405498231</v>
      </c>
      <c r="F345" s="7">
        <v>10785.69</v>
      </c>
      <c r="G345" s="7">
        <v>32074.7</v>
      </c>
      <c r="H345" s="7">
        <v>39725.34</v>
      </c>
      <c r="I345" s="7">
        <v>5.9634</v>
      </c>
      <c r="J345" s="7">
        <v>12714</v>
      </c>
      <c r="L345" s="1">
        <v>14</v>
      </c>
      <c r="M345" s="1">
        <v>2022</v>
      </c>
      <c r="N345" s="9">
        <v>0.950997001206581</v>
      </c>
      <c r="O345" s="9">
        <v>0.951404983282851</v>
      </c>
      <c r="P345" s="9">
        <v>0.974647098227691</v>
      </c>
      <c r="Q345" s="9">
        <v>0.973230972237561</v>
      </c>
      <c r="T345" s="1">
        <v>14</v>
      </c>
      <c r="U345" s="1">
        <v>2022</v>
      </c>
      <c r="V345" s="1">
        <f t="shared" si="16"/>
        <v>1.15468280722148</v>
      </c>
      <c r="W345" s="1">
        <f t="shared" si="17"/>
        <v>0.270361221765367</v>
      </c>
      <c r="X345" s="1">
        <f t="shared" si="18"/>
        <v>1.36567781797998</v>
      </c>
      <c r="Y345" s="1">
        <f t="shared" si="19"/>
        <v>1.33053402905818</v>
      </c>
    </row>
    <row r="346" s="1" customFormat="1" spans="1:25">
      <c r="A346" s="2" t="s">
        <v>30</v>
      </c>
      <c r="B346" s="2">
        <v>15</v>
      </c>
      <c r="C346" s="2">
        <v>2022</v>
      </c>
      <c r="D346" s="7">
        <v>5338</v>
      </c>
      <c r="E346" s="7">
        <v>165339.786055838</v>
      </c>
      <c r="F346" s="7">
        <v>48166.9</v>
      </c>
      <c r="G346" s="7">
        <v>87435.1</v>
      </c>
      <c r="H346" s="7">
        <v>131142</v>
      </c>
      <c r="I346" s="7">
        <v>10.8334</v>
      </c>
      <c r="J346" s="7">
        <v>25787</v>
      </c>
      <c r="L346" s="1">
        <v>15</v>
      </c>
      <c r="M346" s="1">
        <v>2022</v>
      </c>
      <c r="N346" s="9">
        <v>1.05796447396049</v>
      </c>
      <c r="O346" s="9">
        <v>1.06735453882609</v>
      </c>
      <c r="P346" s="9">
        <v>1.02803986305432</v>
      </c>
      <c r="Q346" s="9">
        <v>1.02913707306698</v>
      </c>
      <c r="T346" s="1">
        <v>15</v>
      </c>
      <c r="U346" s="1">
        <v>2022</v>
      </c>
      <c r="V346" s="1">
        <f t="shared" si="16"/>
        <v>1.71293762381872</v>
      </c>
      <c r="W346" s="1">
        <f t="shared" si="17"/>
        <v>3.12225241777441</v>
      </c>
      <c r="X346" s="1">
        <f t="shared" si="18"/>
        <v>1.21897565225132</v>
      </c>
      <c r="Y346" s="1">
        <f t="shared" si="19"/>
        <v>1.37416850129118</v>
      </c>
    </row>
    <row r="347" s="1" customFormat="1" spans="1:25">
      <c r="A347" s="2" t="s">
        <v>31</v>
      </c>
      <c r="B347" s="2">
        <v>16</v>
      </c>
      <c r="C347" s="2">
        <v>2022</v>
      </c>
      <c r="D347" s="7">
        <v>4782</v>
      </c>
      <c r="E347" s="7">
        <v>153660.620164402</v>
      </c>
      <c r="F347" s="7">
        <v>24371</v>
      </c>
      <c r="G347" s="7">
        <v>61345.1</v>
      </c>
      <c r="H347" s="7">
        <v>42937.39</v>
      </c>
      <c r="I347" s="7">
        <v>5.3005</v>
      </c>
      <c r="J347" s="7">
        <v>17854</v>
      </c>
      <c r="L347" s="1">
        <v>16</v>
      </c>
      <c r="M347" s="1">
        <v>2022</v>
      </c>
      <c r="N347" s="9">
        <v>1.04686860639185</v>
      </c>
      <c r="O347" s="9">
        <v>1.05398226810252</v>
      </c>
      <c r="P347" s="9">
        <v>1.01205270045542</v>
      </c>
      <c r="Q347" s="9">
        <v>1.01309281738653</v>
      </c>
      <c r="T347" s="1">
        <v>16</v>
      </c>
      <c r="U347" s="1">
        <v>2022</v>
      </c>
      <c r="V347" s="1">
        <f t="shared" si="16"/>
        <v>1.58048673467382</v>
      </c>
      <c r="W347" s="1">
        <f t="shared" si="17"/>
        <v>4.82455340776591</v>
      </c>
      <c r="X347" s="1">
        <f t="shared" si="18"/>
        <v>1.31643001454083</v>
      </c>
      <c r="Y347" s="1">
        <f t="shared" si="19"/>
        <v>1.55129976289846</v>
      </c>
    </row>
    <row r="348" s="1" customFormat="1" spans="1:25">
      <c r="A348" s="2" t="s">
        <v>32</v>
      </c>
      <c r="B348" s="2">
        <v>17</v>
      </c>
      <c r="C348" s="2">
        <v>2022</v>
      </c>
      <c r="D348" s="7">
        <v>3243</v>
      </c>
      <c r="E348" s="7">
        <v>92821.7828876805</v>
      </c>
      <c r="F348" s="7">
        <v>15374</v>
      </c>
      <c r="G348" s="7">
        <v>53734.9</v>
      </c>
      <c r="H348" s="7">
        <v>43843.3987878777</v>
      </c>
      <c r="I348" s="7">
        <v>4.6243</v>
      </c>
      <c r="J348" s="7">
        <v>9786</v>
      </c>
      <c r="L348" s="1">
        <v>17</v>
      </c>
      <c r="M348" s="1">
        <v>2022</v>
      </c>
      <c r="N348" s="9">
        <v>1.18640465914693</v>
      </c>
      <c r="O348" s="9">
        <v>1.20126278554129</v>
      </c>
      <c r="P348" s="9">
        <v>1.10825724831294</v>
      </c>
      <c r="Q348" s="9">
        <v>1.10979557926867</v>
      </c>
      <c r="T348" s="1">
        <v>17</v>
      </c>
      <c r="U348" s="1">
        <v>2022</v>
      </c>
      <c r="V348" s="1">
        <f t="shared" si="16"/>
        <v>1.58519163726074</v>
      </c>
      <c r="W348" s="1">
        <f t="shared" si="17"/>
        <v>4.35596048525788</v>
      </c>
      <c r="X348" s="1">
        <f t="shared" si="18"/>
        <v>1.53653727499917</v>
      </c>
      <c r="Y348" s="1">
        <f t="shared" si="19"/>
        <v>1.8250215419554</v>
      </c>
    </row>
    <row r="349" s="1" customFormat="1" spans="1:25">
      <c r="A349" s="2" t="s">
        <v>33</v>
      </c>
      <c r="B349" s="2">
        <v>18</v>
      </c>
      <c r="C349" s="2">
        <v>2022</v>
      </c>
      <c r="D349" s="7">
        <v>3219</v>
      </c>
      <c r="E349" s="7">
        <v>81416.0396378482</v>
      </c>
      <c r="F349" s="7">
        <v>17027.69</v>
      </c>
      <c r="G349" s="7">
        <v>48670.4</v>
      </c>
      <c r="H349" s="7">
        <v>32729.1546307417</v>
      </c>
      <c r="I349" s="7">
        <v>3.8076</v>
      </c>
      <c r="J349" s="7">
        <v>4790</v>
      </c>
      <c r="L349" s="1">
        <v>18</v>
      </c>
      <c r="M349" s="1">
        <v>2022</v>
      </c>
      <c r="N349" s="9">
        <v>1.09292396851674</v>
      </c>
      <c r="O349" s="9">
        <v>1.10896601996943</v>
      </c>
      <c r="P349" s="9">
        <v>1.02984285214874</v>
      </c>
      <c r="Q349" s="9">
        <v>1.0317952441804</v>
      </c>
      <c r="T349" s="1">
        <v>18</v>
      </c>
      <c r="U349" s="1">
        <v>2022</v>
      </c>
      <c r="V349" s="1">
        <f t="shared" si="16"/>
        <v>1.32614985403734</v>
      </c>
      <c r="W349" s="1">
        <f t="shared" si="17"/>
        <v>2.68472080136217</v>
      </c>
      <c r="X349" s="1">
        <f t="shared" si="18"/>
        <v>1.36843181894317</v>
      </c>
      <c r="Y349" s="1">
        <f t="shared" si="19"/>
        <v>1.2982215457758</v>
      </c>
    </row>
    <row r="350" s="1" customFormat="1" spans="1:25">
      <c r="A350" s="2" t="s">
        <v>34</v>
      </c>
      <c r="B350" s="2">
        <v>19</v>
      </c>
      <c r="C350" s="2">
        <v>2022</v>
      </c>
      <c r="D350" s="7">
        <v>6904</v>
      </c>
      <c r="E350" s="7">
        <v>200497.45027889</v>
      </c>
      <c r="F350" s="7">
        <v>36519.05</v>
      </c>
      <c r="G350" s="7">
        <v>129118.6</v>
      </c>
      <c r="H350" s="7">
        <v>101116.528529564</v>
      </c>
      <c r="I350" s="7">
        <v>7.2418</v>
      </c>
      <c r="J350" s="7">
        <v>8423</v>
      </c>
      <c r="L350" s="1">
        <v>19</v>
      </c>
      <c r="M350" s="1">
        <v>2022</v>
      </c>
      <c r="N350" s="9">
        <v>1.07530334003824</v>
      </c>
      <c r="O350" s="9">
        <v>1.00951167768901</v>
      </c>
      <c r="P350" s="9">
        <v>1.02010154726764</v>
      </c>
      <c r="Q350" s="9">
        <v>1.02156556769388</v>
      </c>
      <c r="T350" s="1">
        <v>19</v>
      </c>
      <c r="U350" s="1">
        <v>2022</v>
      </c>
      <c r="V350" s="1">
        <f t="shared" si="16"/>
        <v>0.830468720610472</v>
      </c>
      <c r="W350" s="1">
        <f t="shared" si="17"/>
        <v>1.55387399812288</v>
      </c>
      <c r="X350" s="1">
        <f t="shared" si="18"/>
        <v>1.25988771769215</v>
      </c>
      <c r="Y350" s="1">
        <f t="shared" si="19"/>
        <v>0.708260093326708</v>
      </c>
    </row>
    <row r="351" s="1" customFormat="1" spans="1:25">
      <c r="A351" s="2" t="s">
        <v>35</v>
      </c>
      <c r="B351" s="2">
        <v>20</v>
      </c>
      <c r="C351" s="2">
        <v>2022</v>
      </c>
      <c r="D351" s="7">
        <v>2508</v>
      </c>
      <c r="E351" s="7">
        <v>57246.4596763595</v>
      </c>
      <c r="F351" s="7">
        <v>13207.1</v>
      </c>
      <c r="G351" s="7">
        <v>26300.9</v>
      </c>
      <c r="H351" s="7">
        <v>38521</v>
      </c>
      <c r="I351" s="7">
        <v>5.7136</v>
      </c>
      <c r="J351" s="7">
        <v>10282</v>
      </c>
      <c r="L351" s="1">
        <v>20</v>
      </c>
      <c r="M351" s="1">
        <v>2022</v>
      </c>
      <c r="N351" s="9">
        <v>1.02699538825356</v>
      </c>
      <c r="O351" s="9">
        <v>1.02795706954968</v>
      </c>
      <c r="P351" s="9">
        <v>1.04664606705844</v>
      </c>
      <c r="Q351" s="9">
        <v>1.04686437792082</v>
      </c>
      <c r="T351" s="1">
        <v>20</v>
      </c>
      <c r="U351" s="1">
        <v>2022</v>
      </c>
      <c r="V351" s="1">
        <f t="shared" si="16"/>
        <v>1.12753013928494</v>
      </c>
      <c r="W351" s="1">
        <f t="shared" si="17"/>
        <v>1.24095324008036</v>
      </c>
      <c r="X351" s="1">
        <f t="shared" si="18"/>
        <v>1.27904222019682</v>
      </c>
      <c r="Y351" s="1">
        <f t="shared" si="19"/>
        <v>1.45174324335868</v>
      </c>
    </row>
    <row r="352" s="1" customFormat="1" spans="1:25">
      <c r="A352" s="2" t="s">
        <v>36</v>
      </c>
      <c r="B352" s="2">
        <v>21</v>
      </c>
      <c r="C352" s="2">
        <v>2022</v>
      </c>
      <c r="D352" s="7">
        <v>531</v>
      </c>
      <c r="E352" s="7">
        <v>11227.7878225388</v>
      </c>
      <c r="F352" s="7">
        <v>2424</v>
      </c>
      <c r="G352" s="7">
        <v>6818.2</v>
      </c>
      <c r="H352" s="7">
        <v>6722.78398520522</v>
      </c>
      <c r="I352" s="7">
        <v>0.3566</v>
      </c>
      <c r="J352" s="7">
        <v>714</v>
      </c>
      <c r="L352" s="1">
        <v>21</v>
      </c>
      <c r="M352" s="1">
        <v>2022</v>
      </c>
      <c r="N352" s="9">
        <v>1.00751238612755</v>
      </c>
      <c r="O352" s="9">
        <v>1.02207430314402</v>
      </c>
      <c r="P352" s="9">
        <v>1.05056152210831</v>
      </c>
      <c r="Q352" s="9">
        <v>1.05163646514116</v>
      </c>
      <c r="T352" s="1">
        <v>21</v>
      </c>
      <c r="U352" s="1">
        <v>2022</v>
      </c>
      <c r="V352" s="1">
        <f t="shared" si="16"/>
        <v>0.892667244819249</v>
      </c>
      <c r="W352" s="1">
        <f t="shared" si="17"/>
        <v>0.550353105670742</v>
      </c>
      <c r="X352" s="1">
        <f t="shared" si="18"/>
        <v>1.35525929704425</v>
      </c>
      <c r="Y352" s="1">
        <f t="shared" si="19"/>
        <v>1.60599813293936</v>
      </c>
    </row>
    <row r="353" s="1" customFormat="1" spans="1:25">
      <c r="A353" s="2" t="s">
        <v>37</v>
      </c>
      <c r="B353" s="2">
        <v>22</v>
      </c>
      <c r="C353" s="2">
        <v>2022</v>
      </c>
      <c r="D353" s="7">
        <v>1644</v>
      </c>
      <c r="E353" s="7">
        <v>47634.1533182139</v>
      </c>
      <c r="F353" s="7">
        <v>8022.76</v>
      </c>
      <c r="G353" s="7">
        <v>29129</v>
      </c>
      <c r="H353" s="7">
        <v>15720</v>
      </c>
      <c r="I353" s="7">
        <v>3.6837</v>
      </c>
      <c r="J353" s="7">
        <v>2472</v>
      </c>
      <c r="L353" s="1">
        <v>22</v>
      </c>
      <c r="M353" s="1">
        <v>2022</v>
      </c>
      <c r="N353" s="9">
        <v>1.01690332242999</v>
      </c>
      <c r="O353" s="9">
        <v>1.01823454608079</v>
      </c>
      <c r="P353" s="9">
        <v>1.03069834092757</v>
      </c>
      <c r="Q353" s="9">
        <v>1.03189354989291</v>
      </c>
      <c r="T353" s="1">
        <v>22</v>
      </c>
      <c r="U353" s="1">
        <v>2022</v>
      </c>
      <c r="V353" s="1">
        <f t="shared" ref="V353:V391" si="20">V323*N353</f>
        <v>1.40942801936006</v>
      </c>
      <c r="W353" s="1">
        <f t="shared" ref="W353:W391" si="21">W323*O353</f>
        <v>1.62191093025558</v>
      </c>
      <c r="X353" s="1">
        <f t="shared" ref="X353:X391" si="22">X323*P353</f>
        <v>1.7062311312479</v>
      </c>
      <c r="Y353" s="1">
        <f t="shared" ref="Y353:Y391" si="23">Y323*Q353</f>
        <v>2.05020058053992</v>
      </c>
    </row>
    <row r="354" s="1" customFormat="1" spans="1:25">
      <c r="A354" s="2" t="s">
        <v>38</v>
      </c>
      <c r="B354" s="2">
        <v>23</v>
      </c>
      <c r="C354" s="2">
        <v>2022</v>
      </c>
      <c r="D354" s="7">
        <v>4706</v>
      </c>
      <c r="E354" s="7">
        <v>84194.5622453869</v>
      </c>
      <c r="F354" s="7">
        <v>22545</v>
      </c>
      <c r="G354" s="7">
        <v>56749.8</v>
      </c>
      <c r="H354" s="7">
        <v>42119.386995558</v>
      </c>
      <c r="I354" s="7">
        <v>9.156</v>
      </c>
      <c r="J354" s="7">
        <v>15127</v>
      </c>
      <c r="L354" s="1">
        <v>23</v>
      </c>
      <c r="M354" s="1">
        <v>2022</v>
      </c>
      <c r="N354" s="9">
        <v>0.981578923859078</v>
      </c>
      <c r="O354" s="9">
        <v>0.986631741420332</v>
      </c>
      <c r="P354" s="9">
        <v>0.948402074110086</v>
      </c>
      <c r="Q354" s="9">
        <v>0.949226798563927</v>
      </c>
      <c r="T354" s="1">
        <v>23</v>
      </c>
      <c r="U354" s="1">
        <v>2022</v>
      </c>
      <c r="V354" s="1">
        <f t="shared" si="20"/>
        <v>1.51562706948673</v>
      </c>
      <c r="W354" s="1">
        <f t="shared" si="21"/>
        <v>4.5341486474186</v>
      </c>
      <c r="X354" s="1">
        <f t="shared" si="22"/>
        <v>1.4151235013118</v>
      </c>
      <c r="Y354" s="1">
        <f t="shared" si="23"/>
        <v>2.27547808184043</v>
      </c>
    </row>
    <row r="355" s="1" customFormat="1" spans="1:25">
      <c r="A355" s="2" t="s">
        <v>39</v>
      </c>
      <c r="B355" s="2">
        <v>24</v>
      </c>
      <c r="C355" s="2">
        <v>2022</v>
      </c>
      <c r="D355" s="7">
        <v>1878</v>
      </c>
      <c r="E355" s="7">
        <v>41984.4386368158</v>
      </c>
      <c r="F355" s="7">
        <v>10980</v>
      </c>
      <c r="G355" s="7">
        <v>20164.6</v>
      </c>
      <c r="H355" s="7">
        <v>24200</v>
      </c>
      <c r="I355" s="7">
        <v>9.0098</v>
      </c>
      <c r="J355" s="7">
        <v>11497</v>
      </c>
      <c r="L355" s="1">
        <v>24</v>
      </c>
      <c r="M355" s="1">
        <v>2022</v>
      </c>
      <c r="N355" s="9">
        <v>0.99603128659948</v>
      </c>
      <c r="O355" s="9">
        <v>0.990431307950272</v>
      </c>
      <c r="P355" s="9">
        <v>0.999792383568105</v>
      </c>
      <c r="Q355" s="9">
        <v>1.00010080745823</v>
      </c>
      <c r="T355" s="1">
        <v>24</v>
      </c>
      <c r="U355" s="1">
        <v>2022</v>
      </c>
      <c r="V355" s="1">
        <f t="shared" si="20"/>
        <v>1.05175683650107</v>
      </c>
      <c r="W355" s="1">
        <f t="shared" si="21"/>
        <v>1.14713280975056</v>
      </c>
      <c r="X355" s="1">
        <f t="shared" si="22"/>
        <v>1.31648370043216</v>
      </c>
      <c r="Y355" s="1">
        <f t="shared" si="23"/>
        <v>1.52323749629394</v>
      </c>
    </row>
    <row r="356" s="1" customFormat="1" spans="1:25">
      <c r="A356" s="2" t="s">
        <v>40</v>
      </c>
      <c r="B356" s="2">
        <v>25</v>
      </c>
      <c r="C356" s="2">
        <v>2022</v>
      </c>
      <c r="D356" s="7">
        <v>2735</v>
      </c>
      <c r="E356" s="7">
        <v>72325.317597905</v>
      </c>
      <c r="F356" s="7">
        <v>14158.53</v>
      </c>
      <c r="G356" s="7">
        <v>28954.2</v>
      </c>
      <c r="H356" s="7">
        <v>18100</v>
      </c>
      <c r="I356" s="7">
        <v>11.6326</v>
      </c>
      <c r="J356" s="7">
        <v>16923</v>
      </c>
      <c r="L356" s="1">
        <v>25</v>
      </c>
      <c r="M356" s="1">
        <v>2022</v>
      </c>
      <c r="N356" s="9">
        <v>1.0073725367765</v>
      </c>
      <c r="O356" s="9">
        <v>1.00733107839364</v>
      </c>
      <c r="P356" s="9">
        <v>1.02167905180466</v>
      </c>
      <c r="Q356" s="9">
        <v>1.02324685184408</v>
      </c>
      <c r="T356" s="1">
        <v>25</v>
      </c>
      <c r="U356" s="1">
        <v>2022</v>
      </c>
      <c r="V356" s="1">
        <f t="shared" si="20"/>
        <v>1.06749540615367</v>
      </c>
      <c r="W356" s="1">
        <f t="shared" si="21"/>
        <v>1.18256987773079</v>
      </c>
      <c r="X356" s="1">
        <f t="shared" si="22"/>
        <v>1.27673039944377</v>
      </c>
      <c r="Y356" s="1">
        <f t="shared" si="23"/>
        <v>1.49277683283314</v>
      </c>
    </row>
    <row r="357" s="1" customFormat="1" spans="1:25">
      <c r="A357" s="2" t="s">
        <v>41</v>
      </c>
      <c r="B357" s="2">
        <v>26</v>
      </c>
      <c r="C357" s="2">
        <v>2022</v>
      </c>
      <c r="D357" s="7">
        <v>2066</v>
      </c>
      <c r="E357" s="7">
        <v>62237.2755089529</v>
      </c>
      <c r="F357" s="7">
        <v>16099.28</v>
      </c>
      <c r="G357" s="7">
        <v>32772.7</v>
      </c>
      <c r="H357" s="7">
        <v>31607.99</v>
      </c>
      <c r="I357" s="7">
        <v>4.6177</v>
      </c>
      <c r="J357" s="7">
        <v>13745</v>
      </c>
      <c r="L357" s="1">
        <v>26</v>
      </c>
      <c r="M357" s="1">
        <v>2022</v>
      </c>
      <c r="N357" s="9">
        <v>1.02908679622134</v>
      </c>
      <c r="O357" s="9">
        <v>1.03077170631498</v>
      </c>
      <c r="P357" s="9">
        <v>1.05492269765446</v>
      </c>
      <c r="Q357" s="9">
        <v>1.05626835884748</v>
      </c>
      <c r="T357" s="1">
        <v>26</v>
      </c>
      <c r="U357" s="1">
        <v>2022</v>
      </c>
      <c r="V357" s="1">
        <f t="shared" si="20"/>
        <v>1.09695990493702</v>
      </c>
      <c r="W357" s="1">
        <f t="shared" si="21"/>
        <v>1.22106378993866</v>
      </c>
      <c r="X357" s="1">
        <f t="shared" si="22"/>
        <v>1.3080189923156</v>
      </c>
      <c r="Y357" s="1">
        <f t="shared" si="23"/>
        <v>1.48914042682338</v>
      </c>
    </row>
    <row r="358" s="1" customFormat="1" spans="1:25">
      <c r="A358" s="2" t="s">
        <v>42</v>
      </c>
      <c r="B358" s="2">
        <v>27</v>
      </c>
      <c r="C358" s="2">
        <v>2022</v>
      </c>
      <c r="D358" s="7">
        <v>1307</v>
      </c>
      <c r="E358" s="7">
        <v>19679.5472515152</v>
      </c>
      <c r="F358" s="7">
        <v>8002.5432</v>
      </c>
      <c r="G358" s="7">
        <v>11201.6</v>
      </c>
      <c r="H358" s="7">
        <v>8832.98588761288</v>
      </c>
      <c r="I358" s="7">
        <v>6.0367</v>
      </c>
      <c r="J358" s="7">
        <v>7002</v>
      </c>
      <c r="L358" s="1">
        <v>27</v>
      </c>
      <c r="M358" s="1">
        <v>2022</v>
      </c>
      <c r="N358" s="9">
        <v>1.04825317516323</v>
      </c>
      <c r="O358" s="9">
        <v>1.03751029116085</v>
      </c>
      <c r="P358" s="9">
        <v>1.07131319169897</v>
      </c>
      <c r="Q358" s="9">
        <v>1.07232478971355</v>
      </c>
      <c r="T358" s="1">
        <v>27</v>
      </c>
      <c r="U358" s="1">
        <v>2022</v>
      </c>
      <c r="V358" s="1">
        <f t="shared" si="20"/>
        <v>1.1457924881504</v>
      </c>
      <c r="W358" s="1">
        <f t="shared" si="21"/>
        <v>0.659238565807669</v>
      </c>
      <c r="X358" s="1">
        <f t="shared" si="22"/>
        <v>1.2056123867777</v>
      </c>
      <c r="Y358" s="1">
        <f t="shared" si="23"/>
        <v>1.34321967111673</v>
      </c>
    </row>
    <row r="359" s="1" customFormat="1" spans="1:25">
      <c r="A359" s="2" t="s">
        <v>43</v>
      </c>
      <c r="B359" s="2">
        <v>28</v>
      </c>
      <c r="C359" s="2">
        <v>2022</v>
      </c>
      <c r="D359" s="7">
        <v>256</v>
      </c>
      <c r="E359" s="7">
        <v>15337.1904246221</v>
      </c>
      <c r="F359" s="7">
        <v>4798.04</v>
      </c>
      <c r="G359" s="7">
        <v>3610.1</v>
      </c>
      <c r="H359" s="7">
        <v>9312.05359468621</v>
      </c>
      <c r="I359" s="7">
        <v>3.9748</v>
      </c>
      <c r="J359" s="7">
        <v>16663</v>
      </c>
      <c r="L359" s="1">
        <v>28</v>
      </c>
      <c r="M359" s="1">
        <v>2022</v>
      </c>
      <c r="N359" s="9">
        <v>1.09038572441016</v>
      </c>
      <c r="O359" s="9">
        <v>1.06161586406084</v>
      </c>
      <c r="P359" s="9">
        <v>1.10638511067519</v>
      </c>
      <c r="Q359" s="9">
        <v>1.10802967772778</v>
      </c>
      <c r="T359" s="1">
        <v>28</v>
      </c>
      <c r="U359" s="1">
        <v>2022</v>
      </c>
      <c r="V359" s="1">
        <f t="shared" si="20"/>
        <v>0.927478160283514</v>
      </c>
      <c r="W359" s="1">
        <f t="shared" si="21"/>
        <v>0.912059649125227</v>
      </c>
      <c r="X359" s="1">
        <f t="shared" si="22"/>
        <v>0.983139794663162</v>
      </c>
      <c r="Y359" s="1">
        <f t="shared" si="23"/>
        <v>1.15473520787698</v>
      </c>
    </row>
    <row r="360" s="1" customFormat="1" spans="1:25">
      <c r="A360" s="2" t="s">
        <v>44</v>
      </c>
      <c r="B360" s="2">
        <v>29</v>
      </c>
      <c r="C360" s="2">
        <v>2022</v>
      </c>
      <c r="D360" s="7">
        <v>336</v>
      </c>
      <c r="E360" s="7">
        <v>14509.7604564484</v>
      </c>
      <c r="F360" s="7">
        <v>8679</v>
      </c>
      <c r="G360" s="7">
        <v>5069.6</v>
      </c>
      <c r="H360" s="7">
        <v>8389.92498941443</v>
      </c>
      <c r="I360" s="7">
        <v>5.3188</v>
      </c>
      <c r="J360" s="7">
        <v>7888</v>
      </c>
      <c r="L360" s="1">
        <v>29</v>
      </c>
      <c r="M360" s="1">
        <v>2022</v>
      </c>
      <c r="N360" s="9">
        <v>1.16503444886106</v>
      </c>
      <c r="O360" s="9">
        <v>1.01678533576141</v>
      </c>
      <c r="P360" s="9">
        <v>1.11937128726095</v>
      </c>
      <c r="Q360" s="9">
        <v>1.1206329812275</v>
      </c>
      <c r="T360" s="1">
        <v>29</v>
      </c>
      <c r="U360" s="1">
        <v>2022</v>
      </c>
      <c r="V360" s="1">
        <f t="shared" si="20"/>
        <v>0.97748995768382</v>
      </c>
      <c r="W360" s="1">
        <f t="shared" si="21"/>
        <v>0.90930048419274</v>
      </c>
      <c r="X360" s="1">
        <f t="shared" si="22"/>
        <v>1.19208958624138</v>
      </c>
      <c r="Y360" s="1">
        <f t="shared" si="23"/>
        <v>1.35639853505169</v>
      </c>
    </row>
    <row r="361" s="1" customFormat="1" spans="1:25">
      <c r="A361" s="2" t="s">
        <v>45</v>
      </c>
      <c r="B361" s="2">
        <v>30</v>
      </c>
      <c r="C361" s="2">
        <v>2022</v>
      </c>
      <c r="D361" s="7">
        <v>1273</v>
      </c>
      <c r="E361" s="7">
        <v>41723.2629902961</v>
      </c>
      <c r="F361" s="7">
        <v>19932</v>
      </c>
      <c r="G361" s="7">
        <v>17741.3</v>
      </c>
      <c r="H361" s="7">
        <v>17169.1527300089</v>
      </c>
      <c r="I361" s="7">
        <v>8.8706</v>
      </c>
      <c r="J361" s="7">
        <v>10730</v>
      </c>
      <c r="L361" s="1">
        <v>30</v>
      </c>
      <c r="M361" s="1">
        <v>2022</v>
      </c>
      <c r="N361" s="9">
        <v>1.08018168090762</v>
      </c>
      <c r="O361" s="9">
        <v>1.06884980172557</v>
      </c>
      <c r="P361" s="9">
        <v>1.09821725253821</v>
      </c>
      <c r="Q361" s="9">
        <v>1.1006605829299</v>
      </c>
      <c r="T361" s="1">
        <v>30</v>
      </c>
      <c r="U361" s="1">
        <v>2022</v>
      </c>
      <c r="V361" s="1">
        <f t="shared" si="20"/>
        <v>0.957108524150053</v>
      </c>
      <c r="W361" s="1">
        <f t="shared" si="21"/>
        <v>0.996674918433411</v>
      </c>
      <c r="X361" s="1">
        <f t="shared" si="22"/>
        <v>1.12978794751353</v>
      </c>
      <c r="Y361" s="1">
        <f t="shared" si="23"/>
        <v>1.27149377400454</v>
      </c>
    </row>
    <row r="362" s="1" customFormat="1" spans="1:25">
      <c r="A362" s="2" t="s">
        <v>16</v>
      </c>
      <c r="B362" s="2">
        <v>1</v>
      </c>
      <c r="C362" s="2">
        <v>2023</v>
      </c>
      <c r="D362" s="7">
        <v>1129</v>
      </c>
      <c r="E362" s="7">
        <v>54727.3220119653</v>
      </c>
      <c r="F362" s="10">
        <v>7492.54432553935</v>
      </c>
      <c r="G362" s="7">
        <v>45038.9078530996</v>
      </c>
      <c r="H362" s="10">
        <v>7870.28028001057</v>
      </c>
      <c r="I362" s="10">
        <v>0.0589188549862414</v>
      </c>
      <c r="J362" s="10">
        <v>148.386654592457</v>
      </c>
      <c r="L362" s="1">
        <v>1</v>
      </c>
      <c r="M362" s="1">
        <v>2023</v>
      </c>
      <c r="N362" s="9">
        <v>1.23535873787192</v>
      </c>
      <c r="O362" s="9">
        <v>1.60265604827067</v>
      </c>
      <c r="P362" s="9">
        <v>1.33515060969872</v>
      </c>
      <c r="Q362" s="9">
        <v>1.15751827222862</v>
      </c>
      <c r="T362" s="1">
        <v>1</v>
      </c>
      <c r="U362" s="1">
        <v>2023</v>
      </c>
      <c r="V362" s="1">
        <f t="shared" si="20"/>
        <v>2.49915344371458</v>
      </c>
      <c r="W362" s="1">
        <f t="shared" si="21"/>
        <v>61.3202104514787</v>
      </c>
      <c r="X362" s="1">
        <f t="shared" si="22"/>
        <v>3.42671597203481</v>
      </c>
      <c r="Y362" s="1">
        <f t="shared" si="23"/>
        <v>3.86301504509958</v>
      </c>
    </row>
    <row r="363" s="1" customFormat="1" spans="1:25">
      <c r="A363" s="2" t="s">
        <v>17</v>
      </c>
      <c r="B363" s="2">
        <v>2</v>
      </c>
      <c r="C363" s="2">
        <v>2023</v>
      </c>
      <c r="D363" s="7">
        <v>635</v>
      </c>
      <c r="E363" s="7">
        <v>54919.6476180058</v>
      </c>
      <c r="F363" s="10">
        <v>8175.8057784559</v>
      </c>
      <c r="G363" s="7">
        <v>17183.0603579936</v>
      </c>
      <c r="H363" s="10">
        <v>9620.12841732414</v>
      </c>
      <c r="I363" s="10">
        <v>0.494296385133553</v>
      </c>
      <c r="J363" s="10">
        <v>1972.87721110798</v>
      </c>
      <c r="L363" s="1">
        <v>2</v>
      </c>
      <c r="M363" s="1">
        <v>2023</v>
      </c>
      <c r="N363" s="9">
        <v>1.00928550428552</v>
      </c>
      <c r="O363" s="9">
        <v>1.00391453554069</v>
      </c>
      <c r="P363" s="9">
        <v>1.04889344880256</v>
      </c>
      <c r="Q363" s="9">
        <v>1.04949038997867</v>
      </c>
      <c r="T363" s="1">
        <v>2</v>
      </c>
      <c r="U363" s="1">
        <v>2023</v>
      </c>
      <c r="V363" s="1">
        <f t="shared" si="20"/>
        <v>2.62250624318574</v>
      </c>
      <c r="W363" s="1">
        <f t="shared" si="21"/>
        <v>7.4920424216372</v>
      </c>
      <c r="X363" s="1">
        <f t="shared" si="22"/>
        <v>1.17101800834055</v>
      </c>
      <c r="Y363" s="1">
        <f t="shared" si="23"/>
        <v>4.41096828519161</v>
      </c>
    </row>
    <row r="364" s="1" customFormat="1" spans="1:25">
      <c r="A364" s="2" t="s">
        <v>18</v>
      </c>
      <c r="B364" s="2">
        <v>3</v>
      </c>
      <c r="C364" s="2">
        <v>2023</v>
      </c>
      <c r="D364" s="7">
        <v>3623</v>
      </c>
      <c r="E364" s="7">
        <v>107518.223069748</v>
      </c>
      <c r="F364" s="10">
        <v>32836.9371435394</v>
      </c>
      <c r="G364" s="7">
        <v>44656.3584109919</v>
      </c>
      <c r="H364" s="10">
        <v>23301.8300558527</v>
      </c>
      <c r="I364" s="10">
        <v>10.2406167975573</v>
      </c>
      <c r="J364" s="10">
        <v>36568.3733538541</v>
      </c>
      <c r="L364" s="1">
        <v>3</v>
      </c>
      <c r="M364" s="1">
        <v>2023</v>
      </c>
      <c r="N364" s="9">
        <v>1.01961878062371</v>
      </c>
      <c r="O364" s="9">
        <v>1.05015201799947</v>
      </c>
      <c r="P364" s="9">
        <v>1.03214344561758</v>
      </c>
      <c r="Q364" s="9">
        <v>1.03272402153106</v>
      </c>
      <c r="T364" s="1">
        <v>3</v>
      </c>
      <c r="U364" s="1">
        <v>2023</v>
      </c>
      <c r="V364" s="1">
        <f t="shared" si="20"/>
        <v>1.00001370873906</v>
      </c>
      <c r="W364" s="1">
        <f t="shared" si="21"/>
        <v>1.75369093390929</v>
      </c>
      <c r="X364" s="1">
        <f t="shared" si="22"/>
        <v>1.0823543379074</v>
      </c>
      <c r="Y364" s="1">
        <f t="shared" si="23"/>
        <v>1.23044747840943</v>
      </c>
    </row>
    <row r="365" s="1" customFormat="1" spans="1:25">
      <c r="A365" s="2" t="s">
        <v>19</v>
      </c>
      <c r="B365" s="2">
        <v>4</v>
      </c>
      <c r="C365" s="2">
        <v>2023</v>
      </c>
      <c r="D365" s="7">
        <v>1704</v>
      </c>
      <c r="E365" s="7">
        <v>40333.1917036031</v>
      </c>
      <c r="F365" s="10">
        <v>19718.7123113178</v>
      </c>
      <c r="G365" s="7">
        <v>27734.968060123</v>
      </c>
      <c r="H365" s="10">
        <v>16179.6136218149</v>
      </c>
      <c r="I365" s="10">
        <v>7.26203749514958</v>
      </c>
      <c r="J365" s="10">
        <v>50748.0570285288</v>
      </c>
      <c r="L365" s="1">
        <v>4</v>
      </c>
      <c r="M365" s="1">
        <v>2023</v>
      </c>
      <c r="N365" s="9">
        <v>1.04683202816196</v>
      </c>
      <c r="O365" s="9">
        <v>1.04755462950267</v>
      </c>
      <c r="P365" s="9">
        <v>1.06867645181143</v>
      </c>
      <c r="Q365" s="9">
        <v>1.06904441390705</v>
      </c>
      <c r="T365" s="1">
        <v>4</v>
      </c>
      <c r="U365" s="1">
        <v>2023</v>
      </c>
      <c r="V365" s="1">
        <f t="shared" si="20"/>
        <v>1.37132253824557</v>
      </c>
      <c r="W365" s="1">
        <f t="shared" si="21"/>
        <v>1.41689800522916</v>
      </c>
      <c r="X365" s="1">
        <f t="shared" si="22"/>
        <v>1.57904684688655</v>
      </c>
      <c r="Y365" s="1">
        <f t="shared" si="23"/>
        <v>1.74188905589267</v>
      </c>
    </row>
    <row r="366" s="1" customFormat="1" spans="1:25">
      <c r="A366" s="2" t="s">
        <v>20</v>
      </c>
      <c r="B366" s="2">
        <v>5</v>
      </c>
      <c r="C366" s="2">
        <v>2023</v>
      </c>
      <c r="D366" s="7">
        <v>1211</v>
      </c>
      <c r="E366" s="7">
        <v>53471.0119453585</v>
      </c>
      <c r="F366" s="10">
        <v>27873.0718248827</v>
      </c>
      <c r="G366" s="7">
        <v>25422.8301714979</v>
      </c>
      <c r="H366" s="10">
        <v>24909.7974804444</v>
      </c>
      <c r="I366" s="10">
        <v>12.445810598029</v>
      </c>
      <c r="J366" s="10">
        <v>43812.2135227085</v>
      </c>
      <c r="L366" s="1">
        <v>5</v>
      </c>
      <c r="M366" s="1">
        <v>2023</v>
      </c>
      <c r="N366" s="9">
        <v>1.04105814963384</v>
      </c>
      <c r="O366" s="9">
        <v>1.03815117396786</v>
      </c>
      <c r="P366" s="9">
        <v>1.07114083134518</v>
      </c>
      <c r="Q366" s="9">
        <v>1.07131329959826</v>
      </c>
      <c r="T366" s="1">
        <v>5</v>
      </c>
      <c r="U366" s="1">
        <v>2023</v>
      </c>
      <c r="V366" s="1">
        <f t="shared" si="20"/>
        <v>1.14171050448563</v>
      </c>
      <c r="W366" s="1">
        <f t="shared" si="21"/>
        <v>1.2049103372728</v>
      </c>
      <c r="X366" s="1">
        <f t="shared" si="22"/>
        <v>1.25500390668413</v>
      </c>
      <c r="Y366" s="1">
        <f t="shared" si="23"/>
        <v>1.41648247879341</v>
      </c>
    </row>
    <row r="367" s="1" customFormat="1" spans="1:25">
      <c r="A367" s="2" t="s">
        <v>21</v>
      </c>
      <c r="B367" s="2">
        <v>6</v>
      </c>
      <c r="C367" s="2">
        <v>2023</v>
      </c>
      <c r="D367" s="7">
        <v>2091</v>
      </c>
      <c r="E367" s="7">
        <v>62029.7451313618</v>
      </c>
      <c r="F367" s="10">
        <v>24915.6766214454</v>
      </c>
      <c r="G367" s="7">
        <v>30364.8689310209</v>
      </c>
      <c r="H367" s="10">
        <v>26609.530078047</v>
      </c>
      <c r="I367" s="10">
        <v>6.73701761868238</v>
      </c>
      <c r="J367" s="10">
        <v>26473.1769960757</v>
      </c>
      <c r="L367" s="1">
        <v>6</v>
      </c>
      <c r="M367" s="1">
        <v>2023</v>
      </c>
      <c r="N367" s="9">
        <v>1.04058737831455</v>
      </c>
      <c r="O367" s="9">
        <v>1.041033493152</v>
      </c>
      <c r="P367" s="9">
        <v>1.05200783635262</v>
      </c>
      <c r="Q367" s="9">
        <v>1.052316573649</v>
      </c>
      <c r="T367" s="1">
        <v>6</v>
      </c>
      <c r="U367" s="1">
        <v>2023</v>
      </c>
      <c r="V367" s="1">
        <f t="shared" si="20"/>
        <v>1.06959007821712</v>
      </c>
      <c r="W367" s="1">
        <f t="shared" si="21"/>
        <v>1.22029442764065</v>
      </c>
      <c r="X367" s="1">
        <f t="shared" si="22"/>
        <v>1.0956427273887</v>
      </c>
      <c r="Y367" s="1">
        <f t="shared" si="23"/>
        <v>1.2061976663325</v>
      </c>
    </row>
    <row r="368" s="1" customFormat="1" spans="1:25">
      <c r="A368" s="2" t="s">
        <v>22</v>
      </c>
      <c r="B368" s="2">
        <v>7</v>
      </c>
      <c r="C368" s="2">
        <v>2023</v>
      </c>
      <c r="D368" s="7">
        <v>1170</v>
      </c>
      <c r="E368" s="7">
        <v>53210.6637226666</v>
      </c>
      <c r="F368" s="10">
        <v>6878.01332995454</v>
      </c>
      <c r="G368" s="7">
        <v>13429.0869611878</v>
      </c>
      <c r="H368" s="10">
        <v>15651.3037062238</v>
      </c>
      <c r="I368" s="10">
        <v>2.97659133019866</v>
      </c>
      <c r="J368" s="10">
        <v>4795.45574292296</v>
      </c>
      <c r="L368" s="1">
        <v>7</v>
      </c>
      <c r="M368" s="1">
        <v>2023</v>
      </c>
      <c r="N368" s="9">
        <v>1.03092693218911</v>
      </c>
      <c r="O368" s="9">
        <v>1.02823020716816</v>
      </c>
      <c r="P368" s="9">
        <v>1.03567055867627</v>
      </c>
      <c r="Q368" s="9">
        <v>1.03588480631977</v>
      </c>
      <c r="T368" s="1">
        <v>7</v>
      </c>
      <c r="U368" s="1">
        <v>2023</v>
      </c>
      <c r="V368" s="1">
        <f t="shared" si="20"/>
        <v>1.1823255998151</v>
      </c>
      <c r="W368" s="1">
        <f t="shared" si="21"/>
        <v>1.25602341205185</v>
      </c>
      <c r="X368" s="1">
        <f t="shared" si="22"/>
        <v>1.06340154590513</v>
      </c>
      <c r="Y368" s="1">
        <f t="shared" si="23"/>
        <v>1.22845738049843</v>
      </c>
    </row>
    <row r="369" s="1" customFormat="1" spans="1:25">
      <c r="A369" s="2" t="s">
        <v>23</v>
      </c>
      <c r="B369" s="2">
        <v>8</v>
      </c>
      <c r="C369" s="2">
        <v>2023</v>
      </c>
      <c r="D369" s="7">
        <v>1319</v>
      </c>
      <c r="E369" s="7">
        <v>49162.4452074734</v>
      </c>
      <c r="F369" s="10">
        <v>12331.6411008603</v>
      </c>
      <c r="G369" s="7">
        <v>16528.5535924985</v>
      </c>
      <c r="H369" s="10">
        <v>11363.9595372379</v>
      </c>
      <c r="I369" s="10">
        <v>3.8308846687136</v>
      </c>
      <c r="J369" s="10">
        <v>10729.6023632611</v>
      </c>
      <c r="L369" s="1">
        <v>8</v>
      </c>
      <c r="M369" s="1">
        <v>2023</v>
      </c>
      <c r="N369" s="9">
        <v>1.03970280401248</v>
      </c>
      <c r="O369" s="9">
        <v>1.04024948713256</v>
      </c>
      <c r="P369" s="9">
        <v>1.04791758467799</v>
      </c>
      <c r="Q369" s="9">
        <v>1.04829778492682</v>
      </c>
      <c r="T369" s="1">
        <v>8</v>
      </c>
      <c r="U369" s="1">
        <v>2023</v>
      </c>
      <c r="V369" s="1">
        <f t="shared" si="20"/>
        <v>0.990639118678602</v>
      </c>
      <c r="W369" s="1">
        <f t="shared" si="21"/>
        <v>1.03324128564563</v>
      </c>
      <c r="X369" s="1">
        <f t="shared" si="22"/>
        <v>0.881534964727496</v>
      </c>
      <c r="Y369" s="1">
        <f t="shared" si="23"/>
        <v>1.01965150606563</v>
      </c>
    </row>
    <row r="370" s="1" customFormat="1" spans="1:25">
      <c r="A370" s="2" t="s">
        <v>24</v>
      </c>
      <c r="B370" s="2">
        <v>9</v>
      </c>
      <c r="C370" s="2">
        <v>2023</v>
      </c>
      <c r="D370" s="7">
        <v>1345</v>
      </c>
      <c r="E370" s="7">
        <v>67613.8288438035</v>
      </c>
      <c r="F370" s="10">
        <v>10928.2434892456</v>
      </c>
      <c r="G370" s="7">
        <v>48236.0528746514</v>
      </c>
      <c r="H370" s="10">
        <v>31536.879304327</v>
      </c>
      <c r="I370" s="10">
        <v>0.512873884260897</v>
      </c>
      <c r="J370" s="10">
        <v>2057.89914451744</v>
      </c>
      <c r="L370" s="1">
        <v>9</v>
      </c>
      <c r="M370" s="1">
        <v>2023</v>
      </c>
      <c r="N370" s="9">
        <v>1.24192452820899</v>
      </c>
      <c r="O370" s="9">
        <v>1.44480133993645</v>
      </c>
      <c r="P370" s="9">
        <v>1.06918654416708</v>
      </c>
      <c r="Q370" s="9">
        <v>1.0711361426793</v>
      </c>
      <c r="T370" s="1">
        <v>9</v>
      </c>
      <c r="U370" s="1">
        <v>2023</v>
      </c>
      <c r="V370" s="1">
        <f t="shared" si="20"/>
        <v>1.64120365259806</v>
      </c>
      <c r="W370" s="1">
        <f t="shared" si="21"/>
        <v>9.66803962836578</v>
      </c>
      <c r="X370" s="1">
        <f t="shared" si="22"/>
        <v>1.76753867893235</v>
      </c>
      <c r="Y370" s="1">
        <f t="shared" si="23"/>
        <v>8.10738529172107</v>
      </c>
    </row>
    <row r="371" s="1" customFormat="1" spans="1:25">
      <c r="A371" s="2" t="s">
        <v>25</v>
      </c>
      <c r="B371" s="2">
        <v>10</v>
      </c>
      <c r="C371" s="2">
        <v>2023</v>
      </c>
      <c r="D371" s="7">
        <v>4840</v>
      </c>
      <c r="E371" s="7">
        <v>178389.564027968</v>
      </c>
      <c r="F371" s="10">
        <v>36692.2525972229</v>
      </c>
      <c r="G371" s="7">
        <v>132741.337627097</v>
      </c>
      <c r="H371" s="10">
        <v>105381.984264555</v>
      </c>
      <c r="I371" s="10">
        <v>5.72830344425969</v>
      </c>
      <c r="J371" s="10">
        <v>13613.1206619848</v>
      </c>
      <c r="L371" s="1">
        <v>10</v>
      </c>
      <c r="M371" s="1">
        <v>2023</v>
      </c>
      <c r="N371" s="9">
        <v>1.24846956232539</v>
      </c>
      <c r="O371" s="9">
        <v>1.12538034318029</v>
      </c>
      <c r="P371" s="9">
        <v>1.05771670622473</v>
      </c>
      <c r="Q371" s="9">
        <v>1.05839504505312</v>
      </c>
      <c r="T371" s="1">
        <v>10</v>
      </c>
      <c r="U371" s="1">
        <v>2023</v>
      </c>
      <c r="V371" s="1">
        <f t="shared" si="20"/>
        <v>3.69215665583066</v>
      </c>
      <c r="W371" s="1">
        <f t="shared" si="21"/>
        <v>3.6355347793033</v>
      </c>
      <c r="X371" s="1">
        <f t="shared" si="22"/>
        <v>1.63012567158181</v>
      </c>
      <c r="Y371" s="1">
        <f t="shared" si="23"/>
        <v>3.89919579963717</v>
      </c>
    </row>
    <row r="372" s="1" customFormat="1" spans="1:25">
      <c r="A372" s="2" t="s">
        <v>26</v>
      </c>
      <c r="B372" s="2">
        <v>11</v>
      </c>
      <c r="C372" s="2">
        <v>2023</v>
      </c>
      <c r="D372" s="7">
        <v>3921</v>
      </c>
      <c r="E372" s="7">
        <v>127737.743309469</v>
      </c>
      <c r="F372" s="10">
        <v>30451.3302145405</v>
      </c>
      <c r="G372" s="7">
        <v>84714.2567080943</v>
      </c>
      <c r="H372" s="10">
        <v>96604.2002645006</v>
      </c>
      <c r="I372" s="10">
        <v>3.24768852205853</v>
      </c>
      <c r="J372" s="10">
        <v>5640.60815598248</v>
      </c>
      <c r="L372" s="1">
        <v>11</v>
      </c>
      <c r="M372" s="1">
        <v>2023</v>
      </c>
      <c r="N372" s="9">
        <v>1.1774963291111</v>
      </c>
      <c r="O372" s="9">
        <v>1.34854579386789</v>
      </c>
      <c r="P372" s="9">
        <v>1.04836946393094</v>
      </c>
      <c r="Q372" s="9">
        <v>1.04907620544765</v>
      </c>
      <c r="T372" s="1">
        <v>11</v>
      </c>
      <c r="U372" s="1">
        <v>2023</v>
      </c>
      <c r="V372" s="1">
        <f t="shared" si="20"/>
        <v>2.39502044460015</v>
      </c>
      <c r="W372" s="1">
        <f t="shared" si="21"/>
        <v>13.3820340637895</v>
      </c>
      <c r="X372" s="1">
        <f t="shared" si="22"/>
        <v>1.37397210187469</v>
      </c>
      <c r="Y372" s="1">
        <f t="shared" si="23"/>
        <v>1.54388033432052</v>
      </c>
    </row>
    <row r="373" s="1" customFormat="1" spans="1:25">
      <c r="A373" s="2" t="s">
        <v>27</v>
      </c>
      <c r="B373" s="2">
        <v>12</v>
      </c>
      <c r="C373" s="2">
        <v>2023</v>
      </c>
      <c r="D373" s="7">
        <v>3191</v>
      </c>
      <c r="E373" s="7">
        <v>74644.3186843509</v>
      </c>
      <c r="F373" s="10">
        <v>16483.5472575384</v>
      </c>
      <c r="G373" s="7">
        <v>48912.4057380152</v>
      </c>
      <c r="H373" s="10">
        <v>31762.698340445</v>
      </c>
      <c r="I373" s="10">
        <v>5.8027553350398</v>
      </c>
      <c r="J373" s="10">
        <v>15590.9321729234</v>
      </c>
      <c r="L373" s="1">
        <v>12</v>
      </c>
      <c r="M373" s="1">
        <v>2023</v>
      </c>
      <c r="N373" s="9">
        <v>1.12050359179208</v>
      </c>
      <c r="O373" s="9">
        <v>1.12304760736575</v>
      </c>
      <c r="P373" s="9">
        <v>1.04445399736637</v>
      </c>
      <c r="Q373" s="9">
        <v>1.04501927354293</v>
      </c>
      <c r="T373" s="1">
        <v>12</v>
      </c>
      <c r="U373" s="1">
        <v>2023</v>
      </c>
      <c r="V373" s="1">
        <f t="shared" si="20"/>
        <v>1.33610950665996</v>
      </c>
      <c r="W373" s="1">
        <f t="shared" si="21"/>
        <v>2.32305642518664</v>
      </c>
      <c r="X373" s="1">
        <f t="shared" si="22"/>
        <v>1.46023042686842</v>
      </c>
      <c r="Y373" s="1">
        <f t="shared" si="23"/>
        <v>2.2162509823774</v>
      </c>
    </row>
    <row r="374" s="1" customFormat="1" spans="1:25">
      <c r="A374" s="2" t="s">
        <v>28</v>
      </c>
      <c r="B374" s="2">
        <v>13</v>
      </c>
      <c r="C374" s="2">
        <v>2023</v>
      </c>
      <c r="D374" s="7">
        <v>2192</v>
      </c>
      <c r="E374" s="7">
        <v>100928.607064158</v>
      </c>
      <c r="F374" s="10">
        <v>15659.35879583</v>
      </c>
      <c r="G374" s="7">
        <v>57038.1986530178</v>
      </c>
      <c r="H374" s="10">
        <v>76994.4340692287</v>
      </c>
      <c r="I374" s="10">
        <v>4.50339805144326</v>
      </c>
      <c r="J374" s="10">
        <v>7164.71894372975</v>
      </c>
      <c r="L374" s="1">
        <v>13</v>
      </c>
      <c r="M374" s="1">
        <v>2023</v>
      </c>
      <c r="N374" s="9">
        <v>1.10725361345217</v>
      </c>
      <c r="O374" s="9">
        <v>1.10969367311217</v>
      </c>
      <c r="P374" s="9">
        <v>1.04069181073827</v>
      </c>
      <c r="Q374" s="9">
        <v>1.04104604072623</v>
      </c>
      <c r="T374" s="1">
        <v>13</v>
      </c>
      <c r="U374" s="1">
        <v>2023</v>
      </c>
      <c r="V374" s="1">
        <f t="shared" si="20"/>
        <v>1.68433212813639</v>
      </c>
      <c r="W374" s="1">
        <f t="shared" si="21"/>
        <v>4.74008513180669</v>
      </c>
      <c r="X374" s="1">
        <f t="shared" si="22"/>
        <v>1.64643267147238</v>
      </c>
      <c r="Y374" s="1">
        <f t="shared" si="23"/>
        <v>1.8973530484351</v>
      </c>
    </row>
    <row r="375" s="1" customFormat="1" spans="1:25">
      <c r="A375" s="2" t="s">
        <v>29</v>
      </c>
      <c r="B375" s="2">
        <v>14</v>
      </c>
      <c r="C375" s="2">
        <v>2023</v>
      </c>
      <c r="D375" s="7">
        <v>2231</v>
      </c>
      <c r="E375" s="7">
        <v>52420.3392203558</v>
      </c>
      <c r="F375" s="10">
        <v>11229.3432310296</v>
      </c>
      <c r="G375" s="7">
        <v>34170.9747314366</v>
      </c>
      <c r="H375" s="10">
        <v>38680.5339382405</v>
      </c>
      <c r="I375" s="10">
        <v>4.98452356885183</v>
      </c>
      <c r="J375" s="10">
        <v>12873.7278036944</v>
      </c>
      <c r="L375" s="1">
        <v>14</v>
      </c>
      <c r="M375" s="1">
        <v>2023</v>
      </c>
      <c r="N375" s="9">
        <v>1.00954413614582</v>
      </c>
      <c r="O375" s="9">
        <v>1.01004834549908</v>
      </c>
      <c r="P375" s="9">
        <v>1.02451105965083</v>
      </c>
      <c r="Q375" s="9">
        <v>1.02478799669158</v>
      </c>
      <c r="T375" s="1">
        <v>14</v>
      </c>
      <c r="U375" s="1">
        <v>2023</v>
      </c>
      <c r="V375" s="1">
        <f t="shared" si="20"/>
        <v>1.16570325713884</v>
      </c>
      <c r="W375" s="1">
        <f t="shared" si="21"/>
        <v>0.273077904731219</v>
      </c>
      <c r="X375" s="1">
        <f t="shared" si="22"/>
        <v>1.3991520284403</v>
      </c>
      <c r="Y375" s="1">
        <f t="shared" si="23"/>
        <v>1.36351530216851</v>
      </c>
    </row>
    <row r="376" s="1" customFormat="1" spans="1:25">
      <c r="A376" s="2" t="s">
        <v>30</v>
      </c>
      <c r="B376" s="2">
        <v>15</v>
      </c>
      <c r="C376" s="2">
        <v>2023</v>
      </c>
      <c r="D376" s="7">
        <v>5370</v>
      </c>
      <c r="E376" s="7">
        <v>170965.468674489</v>
      </c>
      <c r="F376" s="10">
        <v>49368.3606738188</v>
      </c>
      <c r="G376" s="7">
        <v>94276.8406138904</v>
      </c>
      <c r="H376" s="10">
        <v>127210.109268193</v>
      </c>
      <c r="I376" s="10">
        <v>8.6290438872756</v>
      </c>
      <c r="J376" s="10">
        <v>26638.1638036318</v>
      </c>
      <c r="L376" s="1">
        <v>15</v>
      </c>
      <c r="M376" s="1">
        <v>2023</v>
      </c>
      <c r="N376" s="9">
        <v>1.11130935228733</v>
      </c>
      <c r="O376" s="9">
        <v>1.11729936689936</v>
      </c>
      <c r="P376" s="9">
        <v>1.05628237395747</v>
      </c>
      <c r="Q376" s="9">
        <v>1.05661798673305</v>
      </c>
      <c r="T376" s="1">
        <v>15</v>
      </c>
      <c r="U376" s="1">
        <v>2023</v>
      </c>
      <c r="V376" s="1">
        <f t="shared" si="20"/>
        <v>1.90360360123458</v>
      </c>
      <c r="W376" s="1">
        <f t="shared" si="21"/>
        <v>3.48849064967934</v>
      </c>
      <c r="X376" s="1">
        <f t="shared" si="22"/>
        <v>1.28758249575638</v>
      </c>
      <c r="Y376" s="1">
        <f t="shared" si="23"/>
        <v>1.45197115526626</v>
      </c>
    </row>
    <row r="377" s="1" customFormat="1" spans="1:25">
      <c r="A377" s="2" t="s">
        <v>31</v>
      </c>
      <c r="B377" s="2">
        <v>16</v>
      </c>
      <c r="C377" s="2">
        <v>2023</v>
      </c>
      <c r="D377" s="7">
        <v>4828</v>
      </c>
      <c r="E377" s="7">
        <v>161487.251016551</v>
      </c>
      <c r="F377" s="10">
        <v>24507.1045563251</v>
      </c>
      <c r="G377" s="7">
        <v>62612.649882498</v>
      </c>
      <c r="H377" s="10">
        <v>39391.4951414656</v>
      </c>
      <c r="I377" s="10">
        <v>4.1992406237962</v>
      </c>
      <c r="J377" s="10">
        <v>18445.608702945</v>
      </c>
      <c r="L377" s="1">
        <v>16</v>
      </c>
      <c r="M377" s="1">
        <v>2023</v>
      </c>
      <c r="N377" s="9">
        <v>1.03513704348128</v>
      </c>
      <c r="O377" s="9">
        <v>1.04151344886711</v>
      </c>
      <c r="P377" s="9">
        <v>1.00140527444065</v>
      </c>
      <c r="Q377" s="9">
        <v>1.00191498426222</v>
      </c>
      <c r="T377" s="1">
        <v>16</v>
      </c>
      <c r="U377" s="1">
        <v>2023</v>
      </c>
      <c r="V377" s="1">
        <f t="shared" si="20"/>
        <v>1.63602036579164</v>
      </c>
      <c r="W377" s="1">
        <f t="shared" si="21"/>
        <v>5.02483725896584</v>
      </c>
      <c r="X377" s="1">
        <f t="shared" si="22"/>
        <v>1.31827995999317</v>
      </c>
      <c r="Y377" s="1">
        <f t="shared" si="23"/>
        <v>1.5542704775304</v>
      </c>
    </row>
    <row r="378" s="1" customFormat="1" spans="1:25">
      <c r="A378" s="2" t="s">
        <v>32</v>
      </c>
      <c r="B378" s="2">
        <v>17</v>
      </c>
      <c r="C378" s="2">
        <v>2023</v>
      </c>
      <c r="D378" s="7">
        <v>3254</v>
      </c>
      <c r="E378" s="7">
        <v>98983.1239101181</v>
      </c>
      <c r="F378" s="10">
        <v>15316.9286690949</v>
      </c>
      <c r="G378" s="7">
        <v>57694.5452041044</v>
      </c>
      <c r="H378" s="10">
        <v>40880.1348395834</v>
      </c>
      <c r="I378" s="10">
        <v>3.82260967121847</v>
      </c>
      <c r="J378" s="10">
        <v>10142.0871720254</v>
      </c>
      <c r="L378" s="1">
        <v>17</v>
      </c>
      <c r="M378" s="1">
        <v>2023</v>
      </c>
      <c r="N378" s="9">
        <v>1.1320443948946</v>
      </c>
      <c r="O378" s="9">
        <v>1.13898022095438</v>
      </c>
      <c r="P378" s="9">
        <v>1.05238587648496</v>
      </c>
      <c r="Q378" s="9">
        <v>1.05306423575804</v>
      </c>
      <c r="T378" s="1">
        <v>17</v>
      </c>
      <c r="U378" s="1">
        <v>2023</v>
      </c>
      <c r="V378" s="1">
        <f t="shared" si="20"/>
        <v>1.79450730779482</v>
      </c>
      <c r="W378" s="1">
        <f t="shared" si="21"/>
        <v>4.96135283596757</v>
      </c>
      <c r="X378" s="1">
        <f t="shared" si="22"/>
        <v>1.61703012690181</v>
      </c>
      <c r="Y378" s="1">
        <f t="shared" si="23"/>
        <v>1.92186491532122</v>
      </c>
    </row>
    <row r="379" s="1" customFormat="1" spans="1:25">
      <c r="A379" s="2" t="s">
        <v>33</v>
      </c>
      <c r="B379" s="2">
        <v>18</v>
      </c>
      <c r="C379" s="2">
        <v>2023</v>
      </c>
      <c r="D379" s="7">
        <v>3238</v>
      </c>
      <c r="E379" s="7">
        <v>85661.5399790883</v>
      </c>
      <c r="F379" s="10">
        <v>17125.4961278431</v>
      </c>
      <c r="G379" s="7">
        <v>51730.7554329183</v>
      </c>
      <c r="H379" s="10">
        <v>30088.1601130235</v>
      </c>
      <c r="I379" s="10">
        <v>3.01676320892096</v>
      </c>
      <c r="J379" s="10">
        <v>4615.74935292086</v>
      </c>
      <c r="L379" s="1">
        <v>18</v>
      </c>
      <c r="M379" s="1">
        <v>2023</v>
      </c>
      <c r="N379" s="9">
        <v>1.12511962007303</v>
      </c>
      <c r="O379" s="9">
        <v>1.1346515070775</v>
      </c>
      <c r="P379" s="9">
        <v>1.04310928086817</v>
      </c>
      <c r="Q379" s="9">
        <v>1.0438842941199</v>
      </c>
      <c r="T379" s="1">
        <v>18</v>
      </c>
      <c r="U379" s="1">
        <v>2023</v>
      </c>
      <c r="V379" s="1">
        <f t="shared" si="20"/>
        <v>1.49207721993439</v>
      </c>
      <c r="W379" s="1">
        <f t="shared" si="21"/>
        <v>3.0462225033479</v>
      </c>
      <c r="X379" s="1">
        <f t="shared" si="22"/>
        <v>1.42742393057493</v>
      </c>
      <c r="Y379" s="1">
        <f t="shared" si="23"/>
        <v>1.35519308192341</v>
      </c>
    </row>
    <row r="380" s="1" customFormat="1" spans="1:25">
      <c r="A380" s="2" t="s">
        <v>34</v>
      </c>
      <c r="B380" s="2">
        <v>19</v>
      </c>
      <c r="C380" s="2">
        <v>2023</v>
      </c>
      <c r="D380" s="7">
        <v>7057</v>
      </c>
      <c r="E380" s="7">
        <v>210767.491718148</v>
      </c>
      <c r="F380" s="10">
        <v>37375.3519840662</v>
      </c>
      <c r="G380" s="7">
        <v>140500.441807079</v>
      </c>
      <c r="H380" s="10">
        <v>96226.0897322469</v>
      </c>
      <c r="I380" s="10">
        <v>5.95701586700854</v>
      </c>
      <c r="J380" s="10">
        <v>8833.87700736716</v>
      </c>
      <c r="L380" s="1">
        <v>19</v>
      </c>
      <c r="M380" s="1">
        <v>2023</v>
      </c>
      <c r="N380" s="9">
        <v>1.24973582602428</v>
      </c>
      <c r="O380" s="9">
        <v>1.12366867702731</v>
      </c>
      <c r="P380" s="9">
        <v>1.05815153384164</v>
      </c>
      <c r="Q380" s="9">
        <v>1.05883517750318</v>
      </c>
      <c r="T380" s="1">
        <v>19</v>
      </c>
      <c r="U380" s="1">
        <v>2023</v>
      </c>
      <c r="V380" s="1">
        <f t="shared" si="20"/>
        <v>1.03786651253945</v>
      </c>
      <c r="W380" s="1">
        <f t="shared" si="21"/>
        <v>1.74603953973787</v>
      </c>
      <c r="X380" s="1">
        <f t="shared" si="22"/>
        <v>1.33315212094419</v>
      </c>
      <c r="Y380" s="1">
        <f t="shared" si="23"/>
        <v>0.749930701636004</v>
      </c>
    </row>
    <row r="381" s="1" customFormat="1" spans="1:25">
      <c r="A381" s="2" t="s">
        <v>35</v>
      </c>
      <c r="B381" s="2">
        <v>20</v>
      </c>
      <c r="C381" s="2">
        <v>2023</v>
      </c>
      <c r="D381" s="7">
        <v>2529</v>
      </c>
      <c r="E381" s="7">
        <v>57615.4128034338</v>
      </c>
      <c r="F381" s="10">
        <v>13739.6240310147</v>
      </c>
      <c r="G381" s="7">
        <v>28513.1654881414</v>
      </c>
      <c r="H381" s="10">
        <v>36099.8215656804</v>
      </c>
      <c r="I381" s="10">
        <v>4.84694868086981</v>
      </c>
      <c r="J381" s="10">
        <v>10659.1713622656</v>
      </c>
      <c r="L381" s="1">
        <v>20</v>
      </c>
      <c r="M381" s="1">
        <v>2023</v>
      </c>
      <c r="N381" s="9">
        <v>1.04679188457445</v>
      </c>
      <c r="O381" s="9">
        <v>1.04752050037506</v>
      </c>
      <c r="P381" s="9">
        <v>1.06985436124683</v>
      </c>
      <c r="Q381" s="9">
        <v>1.06999591296924</v>
      </c>
      <c r="T381" s="1">
        <v>20</v>
      </c>
      <c r="U381" s="1">
        <v>2023</v>
      </c>
      <c r="V381" s="1">
        <f t="shared" si="20"/>
        <v>1.18028939941657</v>
      </c>
      <c r="W381" s="1">
        <f t="shared" si="21"/>
        <v>1.29992395899103</v>
      </c>
      <c r="X381" s="1">
        <f t="shared" si="22"/>
        <v>1.36838889749639</v>
      </c>
      <c r="Y381" s="1">
        <f t="shared" si="23"/>
        <v>1.5533593370745</v>
      </c>
    </row>
    <row r="382" s="1" customFormat="1" spans="1:25">
      <c r="A382" s="2" t="s">
        <v>36</v>
      </c>
      <c r="B382" s="2">
        <v>21</v>
      </c>
      <c r="C382" s="2">
        <v>2023</v>
      </c>
      <c r="D382" s="7">
        <v>552</v>
      </c>
      <c r="E382" s="7">
        <v>11470.2984245556</v>
      </c>
      <c r="F382" s="10">
        <v>2517.83627772671</v>
      </c>
      <c r="G382" s="7">
        <v>7567.9508694548</v>
      </c>
      <c r="H382" s="10">
        <v>6774.57146337577</v>
      </c>
      <c r="I382" s="10">
        <v>0.300552887873438</v>
      </c>
      <c r="J382" s="10">
        <v>760.77621494182</v>
      </c>
      <c r="L382" s="1">
        <v>21</v>
      </c>
      <c r="M382" s="1">
        <v>2023</v>
      </c>
      <c r="N382" s="9">
        <v>1.04128255762673</v>
      </c>
      <c r="O382" s="9">
        <v>0.996732101128105</v>
      </c>
      <c r="P382" s="9">
        <v>1.0814106511353</v>
      </c>
      <c r="Q382" s="9">
        <v>1.0818048551869</v>
      </c>
      <c r="T382" s="1">
        <v>21</v>
      </c>
      <c r="U382" s="1">
        <v>2023</v>
      </c>
      <c r="V382" s="1">
        <f t="shared" si="20"/>
        <v>0.929518831794994</v>
      </c>
      <c r="W382" s="1">
        <f t="shared" si="21"/>
        <v>0.548554607377576</v>
      </c>
      <c r="X382" s="1">
        <f t="shared" si="22"/>
        <v>1.4655918388738</v>
      </c>
      <c r="Y382" s="1">
        <f t="shared" si="23"/>
        <v>1.73737657763489</v>
      </c>
    </row>
    <row r="383" s="1" customFormat="1" spans="1:25">
      <c r="A383" s="2" t="s">
        <v>37</v>
      </c>
      <c r="B383" s="2">
        <v>22</v>
      </c>
      <c r="C383" s="2">
        <v>2023</v>
      </c>
      <c r="D383" s="7">
        <v>1662</v>
      </c>
      <c r="E383" s="7">
        <v>50052.2004734217</v>
      </c>
      <c r="F383" s="10">
        <v>7980.51508609107</v>
      </c>
      <c r="G383" s="7">
        <v>31408.1028346768</v>
      </c>
      <c r="H383" s="10">
        <v>15065.1625604122</v>
      </c>
      <c r="I383" s="10">
        <v>3.03576235522537</v>
      </c>
      <c r="J383" s="10">
        <v>2414.77704419427</v>
      </c>
      <c r="L383" s="1">
        <v>22</v>
      </c>
      <c r="M383" s="1">
        <v>2023</v>
      </c>
      <c r="N383" s="9">
        <v>1.03953105253235</v>
      </c>
      <c r="O383" s="9">
        <v>1.04052458013681</v>
      </c>
      <c r="P383" s="9">
        <v>1.06332001746602</v>
      </c>
      <c r="Q383" s="9">
        <v>1.0640271943218</v>
      </c>
      <c r="T383" s="1">
        <v>22</v>
      </c>
      <c r="U383" s="1">
        <v>2023</v>
      </c>
      <c r="V383" s="1">
        <f t="shared" si="20"/>
        <v>1.46514419243395</v>
      </c>
      <c r="W383" s="1">
        <f t="shared" si="21"/>
        <v>1.68763818972349</v>
      </c>
      <c r="X383" s="1">
        <f t="shared" si="22"/>
        <v>1.81426971627959</v>
      </c>
      <c r="Y383" s="1">
        <f t="shared" si="23"/>
        <v>2.18146917150882</v>
      </c>
    </row>
    <row r="384" s="1" customFormat="1" spans="1:25">
      <c r="A384" s="2" t="s">
        <v>38</v>
      </c>
      <c r="B384" s="2">
        <v>23</v>
      </c>
      <c r="C384" s="2">
        <v>2023</v>
      </c>
      <c r="D384" s="7">
        <v>4722</v>
      </c>
      <c r="E384" s="7">
        <v>88719.102866729</v>
      </c>
      <c r="F384" s="10">
        <v>22979.2585502551</v>
      </c>
      <c r="G384" s="7">
        <v>61967.8974128898</v>
      </c>
      <c r="H384" s="10">
        <v>40022.8745067209</v>
      </c>
      <c r="I384" s="10">
        <v>7.63525360695317</v>
      </c>
      <c r="J384" s="10">
        <v>15453.7938017002</v>
      </c>
      <c r="L384" s="1">
        <v>23</v>
      </c>
      <c r="M384" s="1">
        <v>2023</v>
      </c>
      <c r="N384" s="9">
        <v>1.14040714135426</v>
      </c>
      <c r="O384" s="9">
        <v>1.14569127081212</v>
      </c>
      <c r="P384" s="9">
        <v>1.0620556199929</v>
      </c>
      <c r="Q384" s="9">
        <v>1.06260529177439</v>
      </c>
      <c r="T384" s="1">
        <v>23</v>
      </c>
      <c r="U384" s="1">
        <v>2023</v>
      </c>
      <c r="V384" s="1">
        <f t="shared" si="20"/>
        <v>1.7284319336725</v>
      </c>
      <c r="W384" s="1">
        <f t="shared" si="21"/>
        <v>5.19473452591207</v>
      </c>
      <c r="X384" s="1">
        <f t="shared" si="22"/>
        <v>1.50293986755223</v>
      </c>
      <c r="Y384" s="1">
        <f t="shared" si="23"/>
        <v>2.41793505108028</v>
      </c>
    </row>
    <row r="385" s="1" customFormat="1" spans="1:25">
      <c r="A385" s="2" t="s">
        <v>39</v>
      </c>
      <c r="B385" s="2">
        <v>24</v>
      </c>
      <c r="C385" s="2">
        <v>2023</v>
      </c>
      <c r="D385" s="7">
        <v>1884</v>
      </c>
      <c r="E385" s="7">
        <v>43249.7309308929</v>
      </c>
      <c r="F385" s="10">
        <v>11182.3131470915</v>
      </c>
      <c r="G385" s="7">
        <v>22482.3719687995</v>
      </c>
      <c r="H385" s="10">
        <v>25086.6169676134</v>
      </c>
      <c r="I385" s="10">
        <v>7.44081012017988</v>
      </c>
      <c r="J385" s="10">
        <v>12051.2436470667</v>
      </c>
      <c r="L385" s="1">
        <v>24</v>
      </c>
      <c r="M385" s="1">
        <v>2023</v>
      </c>
      <c r="N385" s="9">
        <v>1.05986734795229</v>
      </c>
      <c r="O385" s="9">
        <v>1.05813821708892</v>
      </c>
      <c r="P385" s="9">
        <v>1.09434275669944</v>
      </c>
      <c r="Q385" s="9">
        <v>1.0945609711336</v>
      </c>
      <c r="T385" s="1">
        <v>24</v>
      </c>
      <c r="U385" s="1">
        <v>2023</v>
      </c>
      <c r="V385" s="1">
        <f t="shared" si="20"/>
        <v>1.11472272899308</v>
      </c>
      <c r="W385" s="1">
        <f t="shared" si="21"/>
        <v>1.21382506607366</v>
      </c>
      <c r="X385" s="1">
        <f t="shared" si="22"/>
        <v>1.44068440188081</v>
      </c>
      <c r="Y385" s="1">
        <f t="shared" si="23"/>
        <v>1.66727631321061</v>
      </c>
    </row>
    <row r="386" s="1" customFormat="1" spans="1:25">
      <c r="A386" s="2" t="s">
        <v>40</v>
      </c>
      <c r="B386" s="2">
        <v>25</v>
      </c>
      <c r="C386" s="2">
        <v>2023</v>
      </c>
      <c r="D386" s="7">
        <v>2748</v>
      </c>
      <c r="E386" s="7">
        <v>75683.7379837228</v>
      </c>
      <c r="F386" s="10">
        <v>14683.1459556781</v>
      </c>
      <c r="G386" s="7">
        <v>31570.9555590858</v>
      </c>
      <c r="H386" s="10">
        <v>17077.6146500547</v>
      </c>
      <c r="I386" s="10">
        <v>10.1014200515736</v>
      </c>
      <c r="J386" s="10">
        <v>16976.2220179857</v>
      </c>
      <c r="L386" s="1">
        <v>25</v>
      </c>
      <c r="M386" s="1">
        <v>2023</v>
      </c>
      <c r="N386" s="9">
        <v>1.04044468000696</v>
      </c>
      <c r="O386" s="9">
        <v>1.0392414399734</v>
      </c>
      <c r="P386" s="9">
        <v>1.06252977887712</v>
      </c>
      <c r="Q386" s="9">
        <v>1.06301508012161</v>
      </c>
      <c r="T386" s="1">
        <v>25</v>
      </c>
      <c r="U386" s="1">
        <v>2023</v>
      </c>
      <c r="V386" s="1">
        <f t="shared" si="20"/>
        <v>1.11066991626446</v>
      </c>
      <c r="W386" s="1">
        <f t="shared" si="21"/>
        <v>1.22897562260211</v>
      </c>
      <c r="X386" s="1">
        <f t="shared" si="22"/>
        <v>1.35656406900668</v>
      </c>
      <c r="Y386" s="1">
        <f t="shared" si="23"/>
        <v>1.5868442845578</v>
      </c>
    </row>
    <row r="387" s="1" customFormat="1" spans="1:25">
      <c r="A387" s="2" t="s">
        <v>41</v>
      </c>
      <c r="B387" s="2">
        <v>26</v>
      </c>
      <c r="C387" s="2">
        <v>2023</v>
      </c>
      <c r="D387" s="7">
        <v>2085</v>
      </c>
      <c r="E387" s="7">
        <v>64755.5054802753</v>
      </c>
      <c r="F387" s="10">
        <v>16856.5268983883</v>
      </c>
      <c r="G387" s="7">
        <v>35970.8468357499</v>
      </c>
      <c r="H387" s="10">
        <v>31253.1780305451</v>
      </c>
      <c r="I387" s="10">
        <v>3.67732702436246</v>
      </c>
      <c r="J387" s="10">
        <v>14649.2996318214</v>
      </c>
      <c r="L387" s="1">
        <v>26</v>
      </c>
      <c r="M387" s="1">
        <v>2023</v>
      </c>
      <c r="N387" s="9">
        <v>1.04116401416911</v>
      </c>
      <c r="O387" s="9">
        <v>1.04196272977197</v>
      </c>
      <c r="P387" s="9">
        <v>1.06642918163905</v>
      </c>
      <c r="Q387" s="9">
        <v>1.06679480534093</v>
      </c>
      <c r="T387" s="1">
        <v>26</v>
      </c>
      <c r="U387" s="1">
        <v>2023</v>
      </c>
      <c r="V387" s="1">
        <f t="shared" si="20"/>
        <v>1.14211517800679</v>
      </c>
      <c r="W387" s="1">
        <f t="shared" si="21"/>
        <v>1.27230295979019</v>
      </c>
      <c r="X387" s="1">
        <f t="shared" si="22"/>
        <v>1.39490962354346</v>
      </c>
      <c r="Y387" s="1">
        <f t="shared" si="23"/>
        <v>1.58860727175836</v>
      </c>
    </row>
    <row r="388" s="1" customFormat="1" spans="1:25">
      <c r="A388" s="2" t="s">
        <v>42</v>
      </c>
      <c r="B388" s="2">
        <v>27</v>
      </c>
      <c r="C388" s="2">
        <v>2023</v>
      </c>
      <c r="D388" s="7">
        <v>1316</v>
      </c>
      <c r="E388" s="7">
        <v>20572.8280565288</v>
      </c>
      <c r="F388" s="10">
        <v>8158.67285365819</v>
      </c>
      <c r="G388" s="7">
        <v>12007.9323358564</v>
      </c>
      <c r="H388" s="10">
        <v>8473.38920683721</v>
      </c>
      <c r="I388" s="10">
        <v>5.20429540235677</v>
      </c>
      <c r="J388" s="10">
        <v>7084.14170452928</v>
      </c>
      <c r="L388" s="1">
        <v>27</v>
      </c>
      <c r="M388" s="1">
        <v>2023</v>
      </c>
      <c r="N388" s="9">
        <v>1.02307786104934</v>
      </c>
      <c r="O388" s="9">
        <v>1.02111428644994</v>
      </c>
      <c r="P388" s="9">
        <v>1.0422994551977</v>
      </c>
      <c r="Q388" s="9">
        <v>1.04264612837417</v>
      </c>
      <c r="T388" s="1">
        <v>27</v>
      </c>
      <c r="U388" s="1">
        <v>2023</v>
      </c>
      <c r="V388" s="1">
        <f t="shared" si="20"/>
        <v>1.17223492798332</v>
      </c>
      <c r="W388" s="1">
        <f t="shared" si="21"/>
        <v>0.67315791772498</v>
      </c>
      <c r="X388" s="1">
        <f t="shared" si="22"/>
        <v>1.256609133918</v>
      </c>
      <c r="Y388" s="1">
        <f t="shared" si="23"/>
        <v>1.40050278964588</v>
      </c>
    </row>
    <row r="389" s="1" customFormat="1" spans="1:25">
      <c r="A389" s="2" t="s">
        <v>43</v>
      </c>
      <c r="B389" s="2">
        <v>28</v>
      </c>
      <c r="C389" s="2">
        <v>2023</v>
      </c>
      <c r="D389" s="7">
        <v>271</v>
      </c>
      <c r="E389" s="7">
        <v>15433.3902869388</v>
      </c>
      <c r="F389" s="10">
        <v>4984.75619717325</v>
      </c>
      <c r="G389" s="7">
        <v>3959.63818522222</v>
      </c>
      <c r="H389" s="10">
        <v>9394.80968965201</v>
      </c>
      <c r="I389" s="10">
        <v>3.63265229411022</v>
      </c>
      <c r="J389" s="10">
        <v>17242.2090970002</v>
      </c>
      <c r="L389" s="1">
        <v>28</v>
      </c>
      <c r="M389" s="1">
        <v>2023</v>
      </c>
      <c r="N389" s="9">
        <v>0.989172358561701</v>
      </c>
      <c r="O389" s="9">
        <v>0.983114547319437</v>
      </c>
      <c r="P389" s="9">
        <v>1.06042169151623</v>
      </c>
      <c r="Q389" s="9">
        <v>1.06026418824876</v>
      </c>
      <c r="T389" s="1">
        <v>28</v>
      </c>
      <c r="U389" s="1">
        <v>2023</v>
      </c>
      <c r="V389" s="1">
        <f t="shared" si="20"/>
        <v>0.917435759322111</v>
      </c>
      <c r="W389" s="1">
        <f t="shared" si="21"/>
        <v>0.896659109078072</v>
      </c>
      <c r="X389" s="1">
        <f t="shared" si="22"/>
        <v>1.04254276405363</v>
      </c>
      <c r="Y389" s="1">
        <f t="shared" si="23"/>
        <v>1.22432438782195</v>
      </c>
    </row>
    <row r="390" s="1" customFormat="1" spans="1:25">
      <c r="A390" s="2" t="s">
        <v>44</v>
      </c>
      <c r="B390" s="2">
        <v>29</v>
      </c>
      <c r="C390" s="2">
        <v>2023</v>
      </c>
      <c r="D390" s="7">
        <v>341</v>
      </c>
      <c r="E390" s="7">
        <v>14991.5513184288</v>
      </c>
      <c r="F390" s="10">
        <v>9256.71167018659</v>
      </c>
      <c r="G390" s="7">
        <v>5578.96690990999</v>
      </c>
      <c r="H390" s="10">
        <v>7842.41376366377</v>
      </c>
      <c r="I390" s="10">
        <v>4.50440420867935</v>
      </c>
      <c r="J390" s="10">
        <v>8576.38681340161</v>
      </c>
      <c r="L390" s="1">
        <v>29</v>
      </c>
      <c r="M390" s="1">
        <v>2023</v>
      </c>
      <c r="N390" s="9">
        <v>1.01798348890368</v>
      </c>
      <c r="O390" s="9">
        <v>1.00685922133093</v>
      </c>
      <c r="P390" s="9">
        <v>1.07256908155059</v>
      </c>
      <c r="Q390" s="9">
        <v>1.07277479649274</v>
      </c>
      <c r="T390" s="1">
        <v>29</v>
      </c>
      <c r="U390" s="1">
        <v>2023</v>
      </c>
      <c r="V390" s="1">
        <f t="shared" si="20"/>
        <v>0.995068637491286</v>
      </c>
      <c r="W390" s="1">
        <f t="shared" si="21"/>
        <v>0.91553757747014</v>
      </c>
      <c r="X390" s="1">
        <f t="shared" si="22"/>
        <v>1.27859843264094</v>
      </c>
      <c r="Y390" s="1">
        <f t="shared" si="23"/>
        <v>1.45511016240313</v>
      </c>
    </row>
    <row r="391" s="1" customFormat="1" spans="1:25">
      <c r="A391" s="2" t="s">
        <v>45</v>
      </c>
      <c r="B391" s="2">
        <v>30</v>
      </c>
      <c r="C391" s="2">
        <v>2023</v>
      </c>
      <c r="D391" s="7">
        <v>1388</v>
      </c>
      <c r="E391" s="7">
        <v>44912.5691948275</v>
      </c>
      <c r="F391" s="10">
        <v>21262.8912318679</v>
      </c>
      <c r="G391" s="7">
        <v>19816.4625293992</v>
      </c>
      <c r="H391" s="10">
        <v>17108.1937747518</v>
      </c>
      <c r="I391" s="10">
        <v>7.5012065694541</v>
      </c>
      <c r="J391" s="10">
        <v>11738.5170333498</v>
      </c>
      <c r="L391" s="1">
        <v>30</v>
      </c>
      <c r="M391" s="1">
        <v>2023</v>
      </c>
      <c r="N391" s="9">
        <v>0.993717871771358</v>
      </c>
      <c r="O391" s="9">
        <v>0.994882517149356</v>
      </c>
      <c r="P391" s="9">
        <v>1.03794028332385</v>
      </c>
      <c r="Q391" s="9">
        <v>1.03808865247719</v>
      </c>
      <c r="T391" s="1">
        <v>30</v>
      </c>
      <c r="U391" s="1">
        <v>2023</v>
      </c>
      <c r="V391" s="1">
        <f t="shared" si="20"/>
        <v>0.951095845672616</v>
      </c>
      <c r="W391" s="1">
        <f t="shared" si="21"/>
        <v>0.991574451630661</v>
      </c>
      <c r="X391" s="1">
        <f t="shared" si="22"/>
        <v>1.17265242233806</v>
      </c>
      <c r="Y391" s="1">
        <f t="shared" si="23"/>
        <v>1.31992325848951</v>
      </c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sheetProtection formatCells="0" insertHyperlinks="0" autoFilter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吴建龙</dc:creator>
  <cp:lastModifiedBy>成长</cp:lastModifiedBy>
  <dcterms:created xsi:type="dcterms:W3CDTF">2023-05-12T19:15:00Z</dcterms:created>
  <dcterms:modified xsi:type="dcterms:W3CDTF">2025-03-25T02:40:42Z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DEB9E716524D4978A4FCA1838C84D83F_13</vt:lpwstr>
  </property>
</Properties>
</file>