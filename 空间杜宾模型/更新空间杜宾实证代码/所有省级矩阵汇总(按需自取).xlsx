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 tabRatio="928" activeTab="1"/>
  </bookViews>
  <sheets>
    <sheet name="空间邻接矩阵" sheetId="1" r:id="rId1"/>
    <sheet name="空间经济地理权重矩阵（经纬度和GDP）" sheetId="5" r:id="rId2"/>
    <sheet name="空间经济地理矩阵（非对称）" sheetId="13" r:id="rId3"/>
    <sheet name="经济地理嵌套矩阵（经纬度和GDP）" sheetId="11" r:id="rId4"/>
    <sheet name="空间经济距离矩阵（基于GDP）" sheetId="10" r:id="rId5"/>
    <sheet name="空间地理距离矩阵（基于经纬度）" sheetId="2" r:id="rId6"/>
    <sheet name="空间距离矩阵距离平方倒数（基于经纬度）" sheetId="3" r:id="rId7"/>
    <sheet name="空间经济矩阵（非对称）" sheetId="12" r:id="rId8"/>
    <sheet name="人均GDP" sheetId="7" r:id="rId9"/>
    <sheet name="参考文献" sheetId="14" r:id="rId10"/>
  </sheets>
  <definedNames>
    <definedName name="_xlnm._FilterDatabase" localSheetId="8" hidden="1">人均GDP!$A$1:$D$652</definedName>
  </definedNames>
  <calcPr calcId="144525"/>
</workbook>
</file>

<file path=xl/sharedStrings.xml><?xml version="1.0" encoding="utf-8"?>
<sst xmlns="http://schemas.openxmlformats.org/spreadsheetml/2006/main" count="2658" uniqueCount="97">
  <si>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</si>
  <si>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</si>
  <si>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</si>
  <si>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</si>
  <si>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</si>
  <si>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</si>
  <si>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</si>
  <si>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</si>
  <si>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</si>
  <si>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</si>
  <si>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</si>
  <si>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</si>
  <si>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</si>
  <si>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</si>
  <si>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</si>
  <si>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</si>
  <si>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</si>
  <si>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</si>
  <si>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</si>
  <si>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</si>
  <si>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</si>
  <si>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</si>
  <si>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</si>
  <si>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</si>
  <si>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</si>
  <si>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</si>
  <si>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</si>
  <si>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</si>
  <si>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</si>
  <si>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</si>
  <si>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</si>
  <si>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2000-2020年人均GDP差值</t>
  </si>
  <si>
    <t>对称</t>
  </si>
  <si>
    <t>2000-2020</t>
  </si>
  <si>
    <t>1/绝对值</t>
  </si>
  <si>
    <t>1/绝对值行标准化</t>
  </si>
  <si>
    <t>1/距离行标准化</t>
  </si>
  <si>
    <t>一样</t>
  </si>
  <si>
    <t>1/距离(千米)行标准化</t>
  </si>
  <si>
    <t>经济空间权重矩阵行标准化</t>
  </si>
  <si>
    <t>行之和</t>
  </si>
  <si>
    <t>最终经济空间权重矩阵(行标准化)</t>
  </si>
  <si>
    <t>JD1</t>
  </si>
  <si>
    <t>不对称</t>
  </si>
  <si>
    <t>地理距离标准化</t>
  </si>
  <si>
    <t>经济地理矩阵</t>
  </si>
  <si>
    <t>经济地理矩阵标准化结果</t>
  </si>
  <si>
    <t>经济距离矩阵</t>
  </si>
  <si>
    <t>地理距离矩阵</t>
  </si>
  <si>
    <t>经济地理嵌套</t>
  </si>
  <si>
    <t>纬度</t>
  </si>
  <si>
    <t>经度</t>
  </si>
  <si>
    <t>距离(千米)</t>
  </si>
  <si>
    <t>再乘以Pi/180再乘以6378.2，单位为千米</t>
  </si>
  <si>
    <t>1/距离</t>
  </si>
  <si>
    <t>1/距离(千米)</t>
  </si>
  <si>
    <t>各行之和</t>
  </si>
  <si>
    <t>1/距离平方</t>
  </si>
  <si>
    <t>标准化(1/距离平方)</t>
  </si>
  <si>
    <t>年度</t>
  </si>
  <si>
    <t>地区</t>
  </si>
  <si>
    <t>地区编号</t>
  </si>
  <si>
    <t>人均国内生产总值(现价)(元/人)</t>
  </si>
  <si>
    <t>2000-2020年人均GDP（万元）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</si>
  <si>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</si>
  <si>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</si>
  <si>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</si>
  <si>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</si>
  <si>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</si>
  <si>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</si>
  <si>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</si>
  <si>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</si>
  <si>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</si>
  <si>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</si>
  <si>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</si>
  <si>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</si>
  <si>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</si>
  <si>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</si>
  <si>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</si>
  <si>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</si>
  <si>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</si>
  <si>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</si>
  <si>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</si>
  <si>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</si>
  <si>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</si>
  <si>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</si>
  <si>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</si>
  <si>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</si>
  <si>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</si>
  <si>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</si>
  <si>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</si>
  <si>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</si>
  <si>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</si>
  <si>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</si>
  <si>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</si>
  <si>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The regional Dutch disease effect within China: A spatial econometric investigation</t>
  </si>
  <si>
    <r>
      <rPr>
        <sz val="11"/>
        <color theme="1"/>
        <rFont val="宋体"/>
        <charset val="134"/>
      </rPr>
      <t>邵帅</t>
    </r>
    <r>
      <rPr>
        <sz val="11"/>
        <color theme="1"/>
        <rFont val="Times New Roman"/>
        <charset val="134"/>
      </rPr>
      <t>,</t>
    </r>
    <r>
      <rPr>
        <sz val="11"/>
        <color theme="1"/>
        <rFont val="宋体"/>
        <charset val="134"/>
      </rPr>
      <t>李欣</t>
    </r>
    <r>
      <rPr>
        <sz val="11"/>
        <color theme="1"/>
        <rFont val="Times New Roman"/>
        <charset val="134"/>
      </rPr>
      <t>,</t>
    </r>
    <r>
      <rPr>
        <sz val="11"/>
        <color theme="1"/>
        <rFont val="宋体"/>
        <charset val="134"/>
      </rPr>
      <t>曹建华</t>
    </r>
    <r>
      <rPr>
        <sz val="11"/>
        <color theme="1"/>
        <rFont val="Times New Roman"/>
        <charset val="134"/>
      </rPr>
      <t>,</t>
    </r>
    <r>
      <rPr>
        <sz val="11"/>
        <color theme="1"/>
        <rFont val="宋体"/>
        <charset val="134"/>
      </rPr>
      <t>杨莉莉</t>
    </r>
    <r>
      <rPr>
        <sz val="11"/>
        <color theme="1"/>
        <rFont val="Times New Roman"/>
        <charset val="134"/>
      </rPr>
      <t>.</t>
    </r>
    <r>
      <rPr>
        <sz val="11"/>
        <color theme="1"/>
        <rFont val="宋体"/>
        <charset val="134"/>
      </rPr>
      <t>中国雾霾污染治理的经济政策选择</t>
    </r>
    <r>
      <rPr>
        <sz val="11"/>
        <color theme="1"/>
        <rFont val="Times New Roman"/>
        <charset val="134"/>
      </rPr>
      <t>——</t>
    </r>
    <r>
      <rPr>
        <sz val="11"/>
        <color theme="1"/>
        <rFont val="宋体"/>
        <charset val="134"/>
      </rPr>
      <t>基于空间溢出效应的视角</t>
    </r>
    <r>
      <rPr>
        <sz val="11"/>
        <color theme="1"/>
        <rFont val="Times New Roman"/>
        <charset val="134"/>
      </rPr>
      <t>[J].</t>
    </r>
    <r>
      <rPr>
        <sz val="11"/>
        <color theme="1"/>
        <rFont val="宋体"/>
        <charset val="134"/>
      </rPr>
      <t>经济研究</t>
    </r>
    <r>
      <rPr>
        <sz val="11"/>
        <color theme="1"/>
        <rFont val="Times New Roman"/>
        <charset val="134"/>
      </rPr>
      <t>,2016,51(09):73-88.</t>
    </r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</si>
</sst>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8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sz val="10"/>
      <color rgb="FF333333"/>
      <name val="宋体"/>
      <charset val="134"/>
    </font>
    <font>
      <b/>
      <sz val="11"/>
      <color theme="1"/>
      <name val="等线"/>
      <charset val="134"/>
      <scheme val="minor"/>
    </font>
    <font>
      <sz val="10"/>
      <color rgb="FF7030A0"/>
      <name val="宋体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2"/>
      <name val="宋体"/>
      <charset val="134"/>
    </font>
    <font>
      <sz val="11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13" borderId="5" applyNumberFormat="0" applyAlignment="0" applyProtection="0">
      <alignment vertical="center"/>
    </xf>
    <xf numFmtId="0" fontId="20" fillId="13" borderId="1" applyNumberFormat="0" applyAlignment="0" applyProtection="0">
      <alignment vertical="center"/>
    </xf>
    <xf numFmtId="0" fontId="21" fillId="14" borderId="6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6" fillId="0" borderId="0"/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26" fillId="0" borderId="0">
      <alignment vertical="center"/>
    </xf>
    <xf numFmtId="0" fontId="7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0" fillId="0" borderId="0"/>
    <xf numFmtId="0" fontId="7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26" fillId="0" borderId="0"/>
    <xf numFmtId="0" fontId="26" fillId="0" borderId="0"/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1" fontId="3" fillId="0" borderId="0" xfId="49" applyNumberFormat="1" applyFont="1" applyAlignment="1">
      <alignment horizontal="center" vertical="center"/>
    </xf>
    <xf numFmtId="1" fontId="3" fillId="0" borderId="0" xfId="42" applyNumberFormat="1" applyFont="1" applyAlignment="1">
      <alignment horizontal="center" vertical="center"/>
    </xf>
    <xf numFmtId="1" fontId="3" fillId="0" borderId="0" xfId="45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3" fillId="0" borderId="0" xfId="52" applyNumberFormat="1" applyFont="1" applyAlignment="1">
      <alignment horizontal="center" vertical="center"/>
    </xf>
    <xf numFmtId="1" fontId="3" fillId="0" borderId="0" xfId="53" applyNumberFormat="1" applyFont="1" applyAlignment="1">
      <alignment horizontal="center"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49" fontId="3" fillId="0" borderId="0" xfId="0" applyNumberFormat="1" applyFont="1">
      <alignment vertical="center"/>
    </xf>
    <xf numFmtId="0" fontId="2" fillId="0" borderId="0" xfId="0" applyFont="1" applyAlignment="1"/>
    <xf numFmtId="0" fontId="2" fillId="2" borderId="0" xfId="0" applyFont="1" applyFill="1">
      <alignment vertical="center"/>
    </xf>
    <xf numFmtId="0" fontId="4" fillId="0" borderId="0" xfId="0" applyFont="1">
      <alignment vertical="center"/>
    </xf>
    <xf numFmtId="0" fontId="5" fillId="0" borderId="0" xfId="0" applyFont="1" applyFill="1">
      <alignment vertical="center"/>
    </xf>
    <xf numFmtId="0" fontId="0" fillId="0" borderId="0" xfId="0" applyFill="1">
      <alignment vertical="center"/>
    </xf>
    <xf numFmtId="49" fontId="3" fillId="2" borderId="0" xfId="0" applyNumberFormat="1" applyFont="1" applyFill="1">
      <alignment vertical="center"/>
    </xf>
    <xf numFmtId="0" fontId="2" fillId="0" borderId="0" xfId="0" applyFont="1" applyFill="1">
      <alignment vertical="center"/>
    </xf>
    <xf numFmtId="0" fontId="2" fillId="2" borderId="0" xfId="0" applyFont="1" applyFill="1" applyAlignment="1">
      <alignment vertical="center" wrapText="1"/>
    </xf>
    <xf numFmtId="0" fontId="6" fillId="3" borderId="0" xfId="0" applyFont="1" applyFill="1">
      <alignment vertical="center"/>
    </xf>
  </cellXfs>
  <cellStyles count="5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Normal 2" xfId="42"/>
    <cellStyle name="40% - 强调文字颜色 4" xfId="43" builtinId="43"/>
    <cellStyle name="强调文字颜色 5" xfId="44" builtinId="45"/>
    <cellStyle name="Normal 3" xfId="45"/>
    <cellStyle name="40% - 强调文字颜色 5" xfId="46" builtinId="47"/>
    <cellStyle name="60% - 强调文字颜色 5" xfId="47" builtinId="48"/>
    <cellStyle name="强调文字颜色 6" xfId="48" builtinId="49"/>
    <cellStyle name="Normal 4" xfId="49"/>
    <cellStyle name="40% - 强调文字颜色 6" xfId="50" builtinId="51"/>
    <cellStyle name="60% - 强调文字颜色 6" xfId="51" builtinId="52"/>
    <cellStyle name="常规 29" xfId="52"/>
    <cellStyle name="常规 2" xfId="5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customXml" Target="../customXml/item3.xml"/><Relationship Id="rId12" Type="http://schemas.openxmlformats.org/officeDocument/2006/relationships/customXml" Target="../customXml/item2.xml"/><Relationship Id="rId11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2"/>
  <sheetViews>
    <sheetView workbookViewId="0">
      <selection activeCell="K2" sqref="J2:K2"/>
    </sheetView>
  </sheetViews>
  <sheetFormatPr defaultColWidth="8.875" defaultRowHeight="14"/>
  <cols>
    <col min="1" max="32" width="7.625" customWidth="1"/>
  </cols>
  <sheetData>
    <row r="1" spans="1:32">
      <c r="A1" s="13"/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</row>
    <row r="2" spans="1:32">
      <c r="A2" s="13" t="s">
        <v>0</v>
      </c>
      <c r="B2" s="13">
        <v>0</v>
      </c>
      <c r="C2" s="13">
        <v>1</v>
      </c>
      <c r="D2" s="13">
        <v>1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>
        <v>0</v>
      </c>
      <c r="U2" s="13">
        <v>0</v>
      </c>
      <c r="V2" s="13">
        <v>0</v>
      </c>
      <c r="W2" s="13">
        <v>0</v>
      </c>
      <c r="X2" s="13">
        <v>0</v>
      </c>
      <c r="Y2" s="13">
        <v>0</v>
      </c>
      <c r="Z2" s="13">
        <v>0</v>
      </c>
      <c r="AA2" s="13">
        <v>0</v>
      </c>
      <c r="AB2" s="13">
        <v>0</v>
      </c>
      <c r="AC2" s="13">
        <v>0</v>
      </c>
      <c r="AD2" s="13">
        <v>0</v>
      </c>
      <c r="AE2" s="13">
        <v>0</v>
      </c>
      <c r="AF2" s="13">
        <v>0</v>
      </c>
    </row>
    <row r="3" spans="1:32">
      <c r="A3" s="13" t="s">
        <v>1</v>
      </c>
      <c r="B3" s="13">
        <v>1</v>
      </c>
      <c r="C3" s="13">
        <v>0</v>
      </c>
      <c r="D3" s="13">
        <v>1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</row>
    <row r="4" spans="1:32">
      <c r="A4" s="13" t="s">
        <v>2</v>
      </c>
      <c r="B4" s="13">
        <v>1</v>
      </c>
      <c r="C4" s="13">
        <v>1</v>
      </c>
      <c r="D4" s="13">
        <v>0</v>
      </c>
      <c r="E4" s="13">
        <v>1</v>
      </c>
      <c r="F4" s="13">
        <v>1</v>
      </c>
      <c r="G4" s="13">
        <v>1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1</v>
      </c>
      <c r="Q4" s="13">
        <v>1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</row>
    <row r="5" spans="1:32">
      <c r="A5" s="13" t="s">
        <v>3</v>
      </c>
      <c r="B5" s="13">
        <v>0</v>
      </c>
      <c r="C5" s="13">
        <v>0</v>
      </c>
      <c r="D5" s="13">
        <v>1</v>
      </c>
      <c r="E5" s="13">
        <v>0</v>
      </c>
      <c r="F5" s="13">
        <v>1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1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1</v>
      </c>
      <c r="AC5" s="13">
        <v>0</v>
      </c>
      <c r="AD5" s="13">
        <v>0</v>
      </c>
      <c r="AE5" s="13">
        <v>0</v>
      </c>
      <c r="AF5" s="13">
        <v>0</v>
      </c>
    </row>
    <row r="6" spans="1:32">
      <c r="A6" s="13" t="s">
        <v>4</v>
      </c>
      <c r="B6" s="13">
        <v>0</v>
      </c>
      <c r="C6" s="13">
        <v>0</v>
      </c>
      <c r="D6" s="13">
        <v>1</v>
      </c>
      <c r="E6" s="13">
        <v>1</v>
      </c>
      <c r="F6" s="13">
        <v>0</v>
      </c>
      <c r="G6" s="13">
        <v>1</v>
      </c>
      <c r="H6" s="13">
        <v>1</v>
      </c>
      <c r="I6" s="13">
        <v>1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1</v>
      </c>
      <c r="AC6" s="13">
        <v>1</v>
      </c>
      <c r="AD6" s="13">
        <v>0</v>
      </c>
      <c r="AE6" s="13">
        <v>1</v>
      </c>
      <c r="AF6" s="13">
        <v>0</v>
      </c>
    </row>
    <row r="7" spans="1:32">
      <c r="A7" s="13" t="s">
        <v>5</v>
      </c>
      <c r="B7" s="13">
        <v>0</v>
      </c>
      <c r="C7" s="13">
        <v>0</v>
      </c>
      <c r="D7" s="13">
        <v>1</v>
      </c>
      <c r="E7" s="13">
        <v>0</v>
      </c>
      <c r="F7" s="13">
        <v>1</v>
      </c>
      <c r="G7" s="13">
        <v>0</v>
      </c>
      <c r="H7" s="13">
        <v>1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</row>
    <row r="8" spans="1:32">
      <c r="A8" s="13" t="s">
        <v>6</v>
      </c>
      <c r="B8" s="13">
        <v>0</v>
      </c>
      <c r="C8" s="13">
        <v>0</v>
      </c>
      <c r="D8" s="13">
        <v>0</v>
      </c>
      <c r="E8" s="13">
        <v>0</v>
      </c>
      <c r="F8" s="13">
        <v>1</v>
      </c>
      <c r="G8" s="13">
        <v>1</v>
      </c>
      <c r="H8" s="13">
        <v>0</v>
      </c>
      <c r="I8" s="13">
        <v>1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</row>
    <row r="9" spans="1:32">
      <c r="A9" s="13" t="s">
        <v>7</v>
      </c>
      <c r="B9" s="13">
        <v>0</v>
      </c>
      <c r="C9" s="13">
        <v>0</v>
      </c>
      <c r="D9" s="13">
        <v>0</v>
      </c>
      <c r="E9" s="13">
        <v>0</v>
      </c>
      <c r="F9" s="13">
        <v>1</v>
      </c>
      <c r="G9" s="13">
        <v>0</v>
      </c>
      <c r="H9" s="13">
        <v>1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</row>
    <row r="10" spans="1:32">
      <c r="A10" s="13" t="s">
        <v>8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1</v>
      </c>
      <c r="L10" s="13">
        <v>1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</row>
    <row r="11" spans="1:32">
      <c r="A11" s="13" t="s">
        <v>9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1</v>
      </c>
      <c r="K11" s="13">
        <v>0</v>
      </c>
      <c r="L11" s="13">
        <v>1</v>
      </c>
      <c r="M11" s="13">
        <v>1</v>
      </c>
      <c r="N11" s="13">
        <v>0</v>
      </c>
      <c r="O11" s="13">
        <v>0</v>
      </c>
      <c r="P11" s="13">
        <v>1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</row>
    <row r="12" spans="1:32">
      <c r="A12" s="13" t="s">
        <v>10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1</v>
      </c>
      <c r="K12" s="13">
        <v>1</v>
      </c>
      <c r="L12" s="13">
        <v>0</v>
      </c>
      <c r="M12" s="13">
        <v>1</v>
      </c>
      <c r="N12" s="13">
        <v>1</v>
      </c>
      <c r="O12" s="13">
        <v>1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</row>
    <row r="13" spans="1:32">
      <c r="A13" s="13" t="s">
        <v>11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1</v>
      </c>
      <c r="L13" s="13">
        <v>1</v>
      </c>
      <c r="M13" s="13">
        <v>0</v>
      </c>
      <c r="N13" s="13">
        <v>0</v>
      </c>
      <c r="O13" s="13">
        <v>1</v>
      </c>
      <c r="P13" s="13">
        <v>1</v>
      </c>
      <c r="Q13" s="13">
        <v>1</v>
      </c>
      <c r="R13" s="13">
        <v>1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</row>
    <row r="14" spans="1:32">
      <c r="A14" s="13" t="s">
        <v>12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1</v>
      </c>
      <c r="M14" s="13">
        <v>0</v>
      </c>
      <c r="N14" s="13">
        <v>0</v>
      </c>
      <c r="O14" s="13">
        <v>1</v>
      </c>
      <c r="P14" s="13">
        <v>0</v>
      </c>
      <c r="Q14" s="13">
        <v>0</v>
      </c>
      <c r="R14" s="13">
        <v>0</v>
      </c>
      <c r="S14" s="13">
        <v>0</v>
      </c>
      <c r="T14" s="13">
        <v>1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</row>
    <row r="15" spans="1:32">
      <c r="A15" s="13" t="s">
        <v>13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1</v>
      </c>
      <c r="M15" s="13">
        <v>1</v>
      </c>
      <c r="N15" s="13">
        <v>1</v>
      </c>
      <c r="O15" s="13">
        <v>0</v>
      </c>
      <c r="P15" s="13">
        <v>0</v>
      </c>
      <c r="Q15" s="13">
        <v>0</v>
      </c>
      <c r="R15" s="13">
        <v>1</v>
      </c>
      <c r="S15" s="13">
        <v>1</v>
      </c>
      <c r="T15" s="13">
        <v>1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</row>
    <row r="16" spans="1:32">
      <c r="A16" s="13" t="s">
        <v>14</v>
      </c>
      <c r="B16" s="13">
        <v>0</v>
      </c>
      <c r="C16" s="13">
        <v>0</v>
      </c>
      <c r="D16" s="13">
        <v>1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1</v>
      </c>
      <c r="L16" s="13">
        <v>0</v>
      </c>
      <c r="M16" s="13">
        <v>1</v>
      </c>
      <c r="N16" s="13">
        <v>0</v>
      </c>
      <c r="O16" s="13">
        <v>0</v>
      </c>
      <c r="P16" s="13">
        <v>0</v>
      </c>
      <c r="Q16" s="13">
        <v>1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</row>
    <row r="17" spans="1:32">
      <c r="A17" s="13" t="s">
        <v>15</v>
      </c>
      <c r="B17" s="13">
        <v>0</v>
      </c>
      <c r="C17" s="13">
        <v>0</v>
      </c>
      <c r="D17" s="13">
        <v>1</v>
      </c>
      <c r="E17" s="13">
        <v>1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1</v>
      </c>
      <c r="N17" s="13">
        <v>0</v>
      </c>
      <c r="O17" s="13">
        <v>0</v>
      </c>
      <c r="P17" s="13">
        <v>1</v>
      </c>
      <c r="Q17" s="13">
        <v>0</v>
      </c>
      <c r="R17" s="13">
        <v>1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1</v>
      </c>
      <c r="AC17" s="13">
        <v>0</v>
      </c>
      <c r="AD17" s="13">
        <v>0</v>
      </c>
      <c r="AE17" s="13">
        <v>0</v>
      </c>
      <c r="AF17" s="13">
        <v>0</v>
      </c>
    </row>
    <row r="18" spans="1:32">
      <c r="A18" s="13" t="s">
        <v>16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1</v>
      </c>
      <c r="N18" s="13">
        <v>0</v>
      </c>
      <c r="O18" s="13">
        <v>1</v>
      </c>
      <c r="P18" s="13">
        <v>0</v>
      </c>
      <c r="Q18" s="13">
        <v>1</v>
      </c>
      <c r="R18" s="13">
        <v>0</v>
      </c>
      <c r="S18" s="13">
        <v>1</v>
      </c>
      <c r="T18" s="13">
        <v>0</v>
      </c>
      <c r="U18" s="13">
        <v>0</v>
      </c>
      <c r="V18" s="13">
        <v>0</v>
      </c>
      <c r="W18" s="13">
        <v>1</v>
      </c>
      <c r="X18" s="13">
        <v>0</v>
      </c>
      <c r="Y18" s="13">
        <v>0</v>
      </c>
      <c r="Z18" s="13">
        <v>0</v>
      </c>
      <c r="AA18" s="13">
        <v>0</v>
      </c>
      <c r="AB18" s="13">
        <v>1</v>
      </c>
      <c r="AC18" s="13">
        <v>0</v>
      </c>
      <c r="AD18" s="13">
        <v>0</v>
      </c>
      <c r="AE18" s="13">
        <v>0</v>
      </c>
      <c r="AF18" s="13">
        <v>0</v>
      </c>
    </row>
    <row r="19" spans="1:32">
      <c r="A19" s="13" t="s">
        <v>17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1</v>
      </c>
      <c r="P19" s="13">
        <v>0</v>
      </c>
      <c r="Q19" s="13">
        <v>0</v>
      </c>
      <c r="R19" s="13">
        <v>1</v>
      </c>
      <c r="S19" s="13">
        <v>0</v>
      </c>
      <c r="T19" s="13">
        <v>1</v>
      </c>
      <c r="U19" s="13">
        <v>1</v>
      </c>
      <c r="V19" s="2">
        <v>0</v>
      </c>
      <c r="W19" s="13">
        <v>1</v>
      </c>
      <c r="X19" s="13">
        <v>0</v>
      </c>
      <c r="Y19" s="13">
        <v>1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</row>
    <row r="20" spans="1:32">
      <c r="A20" s="13" t="s">
        <v>18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1</v>
      </c>
      <c r="O20" s="13">
        <v>1</v>
      </c>
      <c r="P20" s="13">
        <v>0</v>
      </c>
      <c r="Q20" s="13">
        <v>0</v>
      </c>
      <c r="R20" s="13">
        <v>0</v>
      </c>
      <c r="S20" s="13">
        <v>1</v>
      </c>
      <c r="T20" s="13">
        <v>0</v>
      </c>
      <c r="U20" s="13">
        <v>1</v>
      </c>
      <c r="V20" s="2">
        <v>1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</row>
    <row r="21" spans="1:32">
      <c r="A21" s="13" t="s">
        <v>19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1</v>
      </c>
      <c r="T21" s="13">
        <v>1</v>
      </c>
      <c r="U21" s="13">
        <v>0</v>
      </c>
      <c r="V21" s="13">
        <v>0</v>
      </c>
      <c r="W21" s="13">
        <v>0</v>
      </c>
      <c r="X21" s="13">
        <v>0</v>
      </c>
      <c r="Y21" s="13">
        <v>1</v>
      </c>
      <c r="Z21" s="13">
        <v>1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</row>
    <row r="22" spans="1:32">
      <c r="A22" s="13" t="s">
        <v>20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1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</row>
    <row r="23" spans="1:32">
      <c r="A23" s="13" t="s">
        <v>21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1</v>
      </c>
      <c r="S23" s="13">
        <v>1</v>
      </c>
      <c r="T23" s="13">
        <v>0</v>
      </c>
      <c r="U23" s="13">
        <v>0</v>
      </c>
      <c r="V23" s="13">
        <v>0</v>
      </c>
      <c r="W23" s="13">
        <v>0</v>
      </c>
      <c r="X23" s="13">
        <v>1</v>
      </c>
      <c r="Y23" s="13">
        <v>1</v>
      </c>
      <c r="Z23" s="13">
        <v>0</v>
      </c>
      <c r="AA23" s="13">
        <v>0</v>
      </c>
      <c r="AB23" s="13">
        <v>1</v>
      </c>
      <c r="AC23" s="13">
        <v>0</v>
      </c>
      <c r="AD23" s="13">
        <v>0</v>
      </c>
      <c r="AE23" s="13">
        <v>0</v>
      </c>
      <c r="AF23" s="13">
        <v>0</v>
      </c>
    </row>
    <row r="24" spans="1:32">
      <c r="A24" s="13" t="s">
        <v>22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1</v>
      </c>
      <c r="X24" s="13">
        <v>0</v>
      </c>
      <c r="Y24" s="13">
        <v>1</v>
      </c>
      <c r="Z24" s="13">
        <v>1</v>
      </c>
      <c r="AA24" s="13">
        <v>1</v>
      </c>
      <c r="AB24" s="13">
        <v>1</v>
      </c>
      <c r="AC24" s="13">
        <v>1</v>
      </c>
      <c r="AD24" s="13">
        <v>1</v>
      </c>
      <c r="AE24" s="13">
        <v>0</v>
      </c>
      <c r="AF24" s="13">
        <v>0</v>
      </c>
    </row>
    <row r="25" spans="1:32">
      <c r="A25" s="13" t="s">
        <v>23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1</v>
      </c>
      <c r="T25" s="13">
        <v>0</v>
      </c>
      <c r="U25" s="13">
        <v>1</v>
      </c>
      <c r="V25" s="13">
        <v>0</v>
      </c>
      <c r="W25" s="13">
        <v>1</v>
      </c>
      <c r="X25" s="13">
        <v>1</v>
      </c>
      <c r="Y25" s="13">
        <v>0</v>
      </c>
      <c r="Z25" s="13">
        <v>1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</row>
    <row r="26" spans="1:32">
      <c r="A26" s="13" t="s">
        <v>24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1</v>
      </c>
      <c r="V26" s="13">
        <v>0</v>
      </c>
      <c r="W26" s="13">
        <v>0</v>
      </c>
      <c r="X26" s="13">
        <v>1</v>
      </c>
      <c r="Y26" s="13">
        <v>1</v>
      </c>
      <c r="Z26" s="13">
        <v>0</v>
      </c>
      <c r="AA26" s="13">
        <v>1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</row>
    <row r="27" spans="1:32">
      <c r="A27" s="13" t="s">
        <v>25</v>
      </c>
      <c r="B27" s="13">
        <v>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1</v>
      </c>
      <c r="Y27" s="13">
        <v>0</v>
      </c>
      <c r="Z27" s="13">
        <v>1</v>
      </c>
      <c r="AA27" s="13">
        <v>0</v>
      </c>
      <c r="AB27" s="13">
        <v>0</v>
      </c>
      <c r="AC27" s="13">
        <v>0</v>
      </c>
      <c r="AD27" s="13">
        <v>1</v>
      </c>
      <c r="AE27" s="13">
        <v>0</v>
      </c>
      <c r="AF27" s="13">
        <v>1</v>
      </c>
    </row>
    <row r="28" spans="1:32">
      <c r="A28" s="13" t="s">
        <v>26</v>
      </c>
      <c r="B28" s="13">
        <v>0</v>
      </c>
      <c r="C28" s="13">
        <v>0</v>
      </c>
      <c r="D28" s="13">
        <v>0</v>
      </c>
      <c r="E28" s="13">
        <v>1</v>
      </c>
      <c r="F28" s="13">
        <v>1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1</v>
      </c>
      <c r="R28" s="13">
        <v>1</v>
      </c>
      <c r="S28" s="13">
        <v>0</v>
      </c>
      <c r="T28" s="13">
        <v>0</v>
      </c>
      <c r="U28" s="13">
        <v>0</v>
      </c>
      <c r="V28" s="13">
        <v>0</v>
      </c>
      <c r="W28" s="13">
        <v>1</v>
      </c>
      <c r="X28" s="13">
        <v>1</v>
      </c>
      <c r="Y28" s="13">
        <v>0</v>
      </c>
      <c r="Z28" s="13">
        <v>0</v>
      </c>
      <c r="AA28" s="13">
        <v>0</v>
      </c>
      <c r="AB28" s="13">
        <v>0</v>
      </c>
      <c r="AC28" s="13">
        <v>1</v>
      </c>
      <c r="AD28" s="13">
        <v>0</v>
      </c>
      <c r="AE28" s="13">
        <v>1</v>
      </c>
      <c r="AF28" s="13">
        <v>0</v>
      </c>
    </row>
    <row r="29" spans="1:32">
      <c r="A29" s="13" t="s">
        <v>27</v>
      </c>
      <c r="B29" s="13">
        <v>0</v>
      </c>
      <c r="C29" s="13">
        <v>0</v>
      </c>
      <c r="D29" s="13">
        <v>0</v>
      </c>
      <c r="E29" s="13">
        <v>0</v>
      </c>
      <c r="F29" s="13">
        <v>1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1</v>
      </c>
      <c r="Y29" s="13">
        <v>0</v>
      </c>
      <c r="Z29" s="13">
        <v>0</v>
      </c>
      <c r="AA29" s="13">
        <v>0</v>
      </c>
      <c r="AB29" s="13">
        <v>1</v>
      </c>
      <c r="AC29" s="13">
        <v>0</v>
      </c>
      <c r="AD29" s="13">
        <v>1</v>
      </c>
      <c r="AE29" s="13">
        <v>1</v>
      </c>
      <c r="AF29" s="13">
        <v>1</v>
      </c>
    </row>
    <row r="30" spans="1:32">
      <c r="A30" s="13" t="s">
        <v>28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1</v>
      </c>
      <c r="Y30" s="13">
        <v>0</v>
      </c>
      <c r="Z30" s="13">
        <v>0</v>
      </c>
      <c r="AA30" s="13">
        <v>1</v>
      </c>
      <c r="AB30" s="13">
        <v>0</v>
      </c>
      <c r="AC30" s="13">
        <v>1</v>
      </c>
      <c r="AD30" s="13">
        <v>0</v>
      </c>
      <c r="AE30" s="13">
        <v>0</v>
      </c>
      <c r="AF30" s="13">
        <v>1</v>
      </c>
    </row>
    <row r="31" spans="1:32">
      <c r="A31" s="13" t="s">
        <v>29</v>
      </c>
      <c r="B31" s="13">
        <v>0</v>
      </c>
      <c r="C31" s="13">
        <v>0</v>
      </c>
      <c r="D31" s="13">
        <v>0</v>
      </c>
      <c r="E31" s="13">
        <v>0</v>
      </c>
      <c r="F31" s="13">
        <v>1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1</v>
      </c>
      <c r="AC31" s="13">
        <v>1</v>
      </c>
      <c r="AD31" s="13">
        <v>0</v>
      </c>
      <c r="AE31" s="13">
        <v>0</v>
      </c>
      <c r="AF31" s="13">
        <v>0</v>
      </c>
    </row>
    <row r="32" spans="1:32">
      <c r="A32" s="13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1</v>
      </c>
      <c r="AB32" s="13">
        <v>0</v>
      </c>
      <c r="AC32" s="13">
        <v>1</v>
      </c>
      <c r="AD32" s="13">
        <v>1</v>
      </c>
      <c r="AE32" s="13">
        <v>0</v>
      </c>
      <c r="AF32" s="13">
        <v>0</v>
      </c>
    </row>
  </sheetData>
  <sheetProtection formatCells="0" insertHyperlinks="0" autoFilter="0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200"/>
  <sheetViews>
    <sheetView tabSelected="1" zoomScale="55" zoomScaleNormal="55" topLeftCell="A147" workbookViewId="0">
      <selection activeCell="C174" sqref="C174"/>
    </sheetView>
  </sheetViews>
  <sheetFormatPr defaultColWidth="8.875" defaultRowHeight="14"/>
  <cols>
    <col min="1" max="1" width="11.25" style="12" customWidth="1"/>
    <col min="2" max="3" width="8.875" style="13"/>
    <col min="4" max="4" width="7.75" style="13" customWidth="1"/>
    <col min="5" max="5" width="7.375" style="13" customWidth="1"/>
    <col min="6" max="6" width="10.6666666666667" style="13"/>
    <col min="7" max="62" width="8.875" style="13"/>
  </cols>
  <sheetData>
    <row r="1" spans="1:35">
      <c r="A1" s="12" t="s">
        <v>31</v>
      </c>
      <c r="E1" s="14" t="s">
        <v>0</v>
      </c>
      <c r="F1" s="14" t="s">
        <v>1</v>
      </c>
      <c r="G1" s="14" t="s">
        <v>2</v>
      </c>
      <c r="H1" s="14" t="s">
        <v>3</v>
      </c>
      <c r="I1" s="14" t="s">
        <v>4</v>
      </c>
      <c r="J1" s="14" t="s">
        <v>5</v>
      </c>
      <c r="K1" s="14" t="s">
        <v>6</v>
      </c>
      <c r="L1" s="14" t="s">
        <v>7</v>
      </c>
      <c r="M1" s="14" t="s">
        <v>8</v>
      </c>
      <c r="N1" s="14" t="s">
        <v>9</v>
      </c>
      <c r="O1" s="14" t="s">
        <v>10</v>
      </c>
      <c r="P1" s="14" t="s">
        <v>11</v>
      </c>
      <c r="Q1" s="14" t="s">
        <v>12</v>
      </c>
      <c r="R1" s="14" t="s">
        <v>13</v>
      </c>
      <c r="S1" s="14" t="s">
        <v>14</v>
      </c>
      <c r="T1" s="14" t="s">
        <v>15</v>
      </c>
      <c r="U1" s="14" t="s">
        <v>16</v>
      </c>
      <c r="V1" s="14" t="s">
        <v>17</v>
      </c>
      <c r="W1" s="14" t="s">
        <v>18</v>
      </c>
      <c r="X1" s="14" t="s">
        <v>19</v>
      </c>
      <c r="Y1" s="14" t="s">
        <v>20</v>
      </c>
      <c r="Z1" s="14" t="s">
        <v>21</v>
      </c>
      <c r="AA1" s="14" t="s">
        <v>22</v>
      </c>
      <c r="AB1" s="14" t="s">
        <v>23</v>
      </c>
      <c r="AC1" s="14" t="s">
        <v>24</v>
      </c>
      <c r="AD1" s="14" t="s">
        <v>25</v>
      </c>
      <c r="AE1" s="14" t="s">
        <v>26</v>
      </c>
      <c r="AF1" s="14" t="s">
        <v>27</v>
      </c>
      <c r="AG1" s="14" t="s">
        <v>28</v>
      </c>
      <c r="AH1" s="14" t="s">
        <v>29</v>
      </c>
      <c r="AI1" s="14" t="s">
        <v>30</v>
      </c>
    </row>
    <row r="2" spans="3:35">
      <c r="C2" s="13" t="s">
        <v>32</v>
      </c>
      <c r="E2" s="2">
        <v>8.07559547087986</v>
      </c>
      <c r="F2" s="2">
        <v>7.00520858104725</v>
      </c>
      <c r="G2" s="2">
        <v>2.84530651005488</v>
      </c>
      <c r="H2" s="2">
        <v>2.54392150004365</v>
      </c>
      <c r="I2" s="2">
        <v>4.27315250749414</v>
      </c>
      <c r="J2" s="2">
        <v>3.90719568157907</v>
      </c>
      <c r="K2" s="2">
        <v>3.15424370746676</v>
      </c>
      <c r="L2" s="2">
        <v>2.6824684277149</v>
      </c>
      <c r="M2" s="2">
        <v>8.42685826481529</v>
      </c>
      <c r="N2" s="2">
        <v>5.90957773279552</v>
      </c>
      <c r="O2" s="2">
        <v>5.47871631651732</v>
      </c>
      <c r="P2" s="2">
        <v>2.48644343810527</v>
      </c>
      <c r="Q2" s="2">
        <v>4.71871968206808</v>
      </c>
      <c r="R2" s="2">
        <v>2.45990302024444</v>
      </c>
      <c r="S2" s="2">
        <v>4.21751619118074</v>
      </c>
      <c r="T2" s="2">
        <v>2.67590948431165</v>
      </c>
      <c r="U2" s="2">
        <v>3.34241323769808</v>
      </c>
      <c r="V2" s="2">
        <v>2.79581682246655</v>
      </c>
      <c r="W2" s="2">
        <v>4.79249102585372</v>
      </c>
      <c r="X2" s="2">
        <v>2.22528319692003</v>
      </c>
      <c r="Y2" s="2">
        <v>2.71898909379949</v>
      </c>
      <c r="Z2" s="2">
        <v>3.32999237587743</v>
      </c>
      <c r="AA2" s="2">
        <v>2.49727045664446</v>
      </c>
      <c r="AB2" s="2">
        <v>1.84398767483154</v>
      </c>
      <c r="AC2" s="2">
        <v>2.00724175116922</v>
      </c>
      <c r="AD2" s="2">
        <v>2.18296513862508</v>
      </c>
      <c r="AE2" s="2">
        <v>3.08306478213604</v>
      </c>
      <c r="AF2" s="2">
        <v>1.74445616283952</v>
      </c>
      <c r="AG2" s="2">
        <v>2.59867121616487</v>
      </c>
      <c r="AH2" s="2">
        <v>2.80621471883819</v>
      </c>
      <c r="AI2" s="2">
        <v>2.76005861033457</v>
      </c>
    </row>
    <row r="3" spans="1:35">
      <c r="A3" s="15" t="s">
        <v>33</v>
      </c>
      <c r="B3" s="2">
        <v>8.07559547087986</v>
      </c>
      <c r="C3" s="15"/>
      <c r="D3" s="14" t="s">
        <v>0</v>
      </c>
      <c r="E3" s="13">
        <f>$B3-E$2</f>
        <v>0</v>
      </c>
      <c r="F3" s="13">
        <f t="shared" ref="F3:AI12" si="0">$B3-F$2</f>
        <v>1.07038688983261</v>
      </c>
      <c r="G3" s="13">
        <f t="shared" si="0"/>
        <v>5.23028896082498</v>
      </c>
      <c r="H3" s="13">
        <f t="shared" si="0"/>
        <v>5.53167397083621</v>
      </c>
      <c r="I3" s="13">
        <f t="shared" si="0"/>
        <v>3.80244296338572</v>
      </c>
      <c r="J3" s="13">
        <f t="shared" si="0"/>
        <v>4.16839978930079</v>
      </c>
      <c r="K3" s="13">
        <f t="shared" si="0"/>
        <v>4.9213517634131</v>
      </c>
      <c r="L3" s="13">
        <f t="shared" si="0"/>
        <v>5.39312704316496</v>
      </c>
      <c r="M3" s="13">
        <f t="shared" si="0"/>
        <v>-0.35126279393543</v>
      </c>
      <c r="N3" s="13">
        <f t="shared" si="0"/>
        <v>2.16601773808434</v>
      </c>
      <c r="O3" s="13">
        <f t="shared" si="0"/>
        <v>2.59687915436254</v>
      </c>
      <c r="P3" s="13">
        <f t="shared" si="0"/>
        <v>5.58915203277459</v>
      </c>
      <c r="Q3" s="13">
        <f t="shared" si="0"/>
        <v>3.35687578881179</v>
      </c>
      <c r="R3" s="13">
        <f t="shared" si="0"/>
        <v>5.61569245063542</v>
      </c>
      <c r="S3" s="13">
        <f t="shared" si="0"/>
        <v>3.85807927969912</v>
      </c>
      <c r="T3" s="13">
        <f t="shared" si="0"/>
        <v>5.39968598656821</v>
      </c>
      <c r="U3" s="13">
        <f t="shared" si="0"/>
        <v>4.73318223318178</v>
      </c>
      <c r="V3" s="13">
        <f t="shared" si="0"/>
        <v>5.27977864841332</v>
      </c>
      <c r="W3" s="13">
        <f t="shared" si="0"/>
        <v>3.28310444502615</v>
      </c>
      <c r="X3" s="13">
        <f t="shared" si="0"/>
        <v>5.85031227395983</v>
      </c>
      <c r="Y3" s="13">
        <f t="shared" si="0"/>
        <v>5.35660637708037</v>
      </c>
      <c r="Z3" s="13">
        <f t="shared" si="0"/>
        <v>4.74560309500243</v>
      </c>
      <c r="AA3" s="13">
        <f t="shared" si="0"/>
        <v>5.5783250142354</v>
      </c>
      <c r="AB3" s="13">
        <f t="shared" si="0"/>
        <v>6.23160779604832</v>
      </c>
      <c r="AC3" s="13">
        <f t="shared" si="0"/>
        <v>6.06835371971064</v>
      </c>
      <c r="AD3" s="13">
        <f t="shared" ref="AD3:AE18" si="1">$B3-AD$2</f>
        <v>5.89263033225478</v>
      </c>
      <c r="AE3" s="13">
        <f t="shared" si="1"/>
        <v>4.99253068874382</v>
      </c>
      <c r="AF3" s="13">
        <f t="shared" si="0"/>
        <v>6.33113930804034</v>
      </c>
      <c r="AG3" s="13">
        <f t="shared" si="0"/>
        <v>5.476924254715</v>
      </c>
      <c r="AH3" s="13">
        <f t="shared" si="0"/>
        <v>5.26938075204167</v>
      </c>
      <c r="AI3" s="13">
        <f t="shared" si="0"/>
        <v>5.3155368605453</v>
      </c>
    </row>
    <row r="4" spans="1:35">
      <c r="A4" s="15" t="s">
        <v>33</v>
      </c>
      <c r="B4" s="2">
        <v>7.00520858104725</v>
      </c>
      <c r="C4" s="15"/>
      <c r="D4" s="14" t="s">
        <v>1</v>
      </c>
      <c r="E4" s="13">
        <f t="shared" ref="E4:T27" si="2">$B4-E$2</f>
        <v>-1.07038688983261</v>
      </c>
      <c r="F4" s="21">
        <f t="shared" si="2"/>
        <v>0</v>
      </c>
      <c r="G4" s="13">
        <f t="shared" si="2"/>
        <v>4.15990207099237</v>
      </c>
      <c r="H4" s="13">
        <f t="shared" si="2"/>
        <v>4.46128708100361</v>
      </c>
      <c r="I4" s="13">
        <f t="shared" si="2"/>
        <v>2.73205607355312</v>
      </c>
      <c r="J4" s="13">
        <f t="shared" si="2"/>
        <v>3.09801289946818</v>
      </c>
      <c r="K4" s="13">
        <f t="shared" si="2"/>
        <v>3.85096487358049</v>
      </c>
      <c r="L4" s="13">
        <f t="shared" si="2"/>
        <v>4.32274015333236</v>
      </c>
      <c r="M4" s="13">
        <f t="shared" si="2"/>
        <v>-1.42164968376804</v>
      </c>
      <c r="N4" s="13">
        <f t="shared" si="2"/>
        <v>1.09563084825173</v>
      </c>
      <c r="O4" s="13">
        <f t="shared" si="2"/>
        <v>1.52649226452993</v>
      </c>
      <c r="P4" s="13">
        <f t="shared" si="2"/>
        <v>4.51876514294198</v>
      </c>
      <c r="Q4" s="13">
        <f t="shared" si="2"/>
        <v>2.28648889897918</v>
      </c>
      <c r="R4" s="13">
        <f t="shared" si="2"/>
        <v>4.54530556080281</v>
      </c>
      <c r="S4" s="13">
        <f t="shared" si="2"/>
        <v>2.78769238986651</v>
      </c>
      <c r="T4" s="13">
        <f t="shared" si="2"/>
        <v>4.32929909673561</v>
      </c>
      <c r="U4" s="13">
        <f t="shared" si="0"/>
        <v>3.66279534334917</v>
      </c>
      <c r="V4" s="13">
        <f t="shared" si="0"/>
        <v>4.20939175858071</v>
      </c>
      <c r="W4" s="13">
        <f t="shared" si="0"/>
        <v>2.21271755519354</v>
      </c>
      <c r="X4" s="13">
        <f t="shared" si="0"/>
        <v>4.77992538412722</v>
      </c>
      <c r="Y4" s="13">
        <f t="shared" si="0"/>
        <v>4.28621948724776</v>
      </c>
      <c r="Z4" s="13">
        <f t="shared" si="0"/>
        <v>3.67521620516982</v>
      </c>
      <c r="AA4" s="13">
        <f t="shared" si="0"/>
        <v>4.50793812440279</v>
      </c>
      <c r="AB4" s="13">
        <f t="shared" si="0"/>
        <v>5.16122090621571</v>
      </c>
      <c r="AC4" s="13">
        <f t="shared" si="0"/>
        <v>4.99796682987804</v>
      </c>
      <c r="AD4" s="13">
        <f t="shared" si="1"/>
        <v>4.82224344242218</v>
      </c>
      <c r="AE4" s="13">
        <f t="shared" si="0"/>
        <v>3.92214379891122</v>
      </c>
      <c r="AF4" s="13">
        <f t="shared" si="0"/>
        <v>5.26075241820774</v>
      </c>
      <c r="AG4" s="13">
        <f t="shared" si="0"/>
        <v>4.40653736488239</v>
      </c>
      <c r="AH4" s="13">
        <f t="shared" si="0"/>
        <v>4.19899386220906</v>
      </c>
      <c r="AI4" s="13">
        <f t="shared" si="0"/>
        <v>4.24514997071269</v>
      </c>
    </row>
    <row r="5" spans="1:35">
      <c r="A5" s="15" t="s">
        <v>33</v>
      </c>
      <c r="B5" s="2">
        <v>2.84530651005488</v>
      </c>
      <c r="C5" s="15"/>
      <c r="D5" s="14" t="s">
        <v>2</v>
      </c>
      <c r="E5" s="13">
        <f t="shared" si="2"/>
        <v>-5.23028896082498</v>
      </c>
      <c r="F5" s="13">
        <f t="shared" si="0"/>
        <v>-4.15990207099237</v>
      </c>
      <c r="G5" s="13">
        <f t="shared" si="0"/>
        <v>0</v>
      </c>
      <c r="H5" s="13">
        <f t="shared" si="0"/>
        <v>0.301385010011238</v>
      </c>
      <c r="I5" s="13">
        <f t="shared" si="0"/>
        <v>-1.42784599743925</v>
      </c>
      <c r="J5" s="13">
        <f t="shared" si="0"/>
        <v>-1.06188917152419</v>
      </c>
      <c r="K5" s="13">
        <f t="shared" si="0"/>
        <v>-0.308937197411876</v>
      </c>
      <c r="L5" s="13">
        <f t="shared" si="0"/>
        <v>0.162838082339986</v>
      </c>
      <c r="M5" s="13">
        <f t="shared" si="0"/>
        <v>-5.58155175476041</v>
      </c>
      <c r="N5" s="13">
        <f t="shared" si="0"/>
        <v>-3.06427122274064</v>
      </c>
      <c r="O5" s="13">
        <f t="shared" si="0"/>
        <v>-2.63340980646244</v>
      </c>
      <c r="P5" s="13">
        <f t="shared" si="0"/>
        <v>0.358863071949613</v>
      </c>
      <c r="Q5" s="13">
        <f t="shared" si="0"/>
        <v>-1.87341317201319</v>
      </c>
      <c r="R5" s="13">
        <f t="shared" si="0"/>
        <v>0.38540348981044</v>
      </c>
      <c r="S5" s="13">
        <f t="shared" si="0"/>
        <v>-1.37220968112586</v>
      </c>
      <c r="T5" s="13">
        <f t="shared" si="0"/>
        <v>0.169397025743237</v>
      </c>
      <c r="U5" s="13">
        <f t="shared" si="0"/>
        <v>-0.497106727643197</v>
      </c>
      <c r="V5" s="13">
        <f t="shared" si="0"/>
        <v>0.0494896875883382</v>
      </c>
      <c r="W5" s="13">
        <f t="shared" si="0"/>
        <v>-1.94718451579883</v>
      </c>
      <c r="X5" s="13">
        <f t="shared" si="0"/>
        <v>0.620023313134855</v>
      </c>
      <c r="Y5" s="13">
        <f t="shared" si="0"/>
        <v>0.126317416255391</v>
      </c>
      <c r="Z5" s="13">
        <f t="shared" si="0"/>
        <v>-0.484685865822547</v>
      </c>
      <c r="AA5" s="13">
        <f t="shared" si="0"/>
        <v>0.34803605341042</v>
      </c>
      <c r="AB5" s="13">
        <f t="shared" si="0"/>
        <v>1.00131883522334</v>
      </c>
      <c r="AC5" s="13">
        <f t="shared" si="0"/>
        <v>0.838064758885666</v>
      </c>
      <c r="AD5" s="13">
        <f t="shared" si="1"/>
        <v>0.662341371429806</v>
      </c>
      <c r="AE5" s="13">
        <f t="shared" si="0"/>
        <v>-0.237758272081153</v>
      </c>
      <c r="AF5" s="13">
        <f t="shared" si="0"/>
        <v>1.10085034721537</v>
      </c>
      <c r="AG5" s="13">
        <f t="shared" si="0"/>
        <v>0.246635293890018</v>
      </c>
      <c r="AH5" s="13">
        <f t="shared" si="0"/>
        <v>0.0390917912166895</v>
      </c>
      <c r="AI5" s="13">
        <f t="shared" si="0"/>
        <v>0.0852478997203185</v>
      </c>
    </row>
    <row r="6" spans="1:35">
      <c r="A6" s="15" t="s">
        <v>33</v>
      </c>
      <c r="B6" s="2">
        <v>2.54392150004365</v>
      </c>
      <c r="C6" s="15"/>
      <c r="D6" s="14" t="s">
        <v>3</v>
      </c>
      <c r="E6" s="13">
        <f t="shared" si="2"/>
        <v>-5.53167397083621</v>
      </c>
      <c r="F6" s="13">
        <f t="shared" si="0"/>
        <v>-4.46128708100361</v>
      </c>
      <c r="G6" s="13">
        <f t="shared" si="0"/>
        <v>-0.301385010011238</v>
      </c>
      <c r="H6" s="13">
        <f t="shared" si="0"/>
        <v>0</v>
      </c>
      <c r="I6" s="13">
        <f t="shared" si="0"/>
        <v>-1.72923100745049</v>
      </c>
      <c r="J6" s="13">
        <f t="shared" si="0"/>
        <v>-1.36327418153543</v>
      </c>
      <c r="K6" s="13">
        <f t="shared" si="0"/>
        <v>-0.610322207423113</v>
      </c>
      <c r="L6" s="13">
        <f t="shared" si="0"/>
        <v>-0.138546927671252</v>
      </c>
      <c r="M6" s="13">
        <f t="shared" si="0"/>
        <v>-5.88293676477164</v>
      </c>
      <c r="N6" s="13">
        <f t="shared" si="0"/>
        <v>-3.36565623275188</v>
      </c>
      <c r="O6" s="13">
        <f t="shared" si="0"/>
        <v>-2.93479481647367</v>
      </c>
      <c r="P6" s="13">
        <f t="shared" si="0"/>
        <v>0.0574780619383755</v>
      </c>
      <c r="Q6" s="13">
        <f t="shared" si="0"/>
        <v>-2.17479818202443</v>
      </c>
      <c r="R6" s="13">
        <f t="shared" si="0"/>
        <v>0.0840184797992025</v>
      </c>
      <c r="S6" s="13">
        <f t="shared" si="0"/>
        <v>-1.67359469113709</v>
      </c>
      <c r="T6" s="13">
        <f t="shared" si="0"/>
        <v>-0.131987984268001</v>
      </c>
      <c r="U6" s="13">
        <f t="shared" si="0"/>
        <v>-0.798491737654435</v>
      </c>
      <c r="V6" s="13">
        <f t="shared" si="0"/>
        <v>-0.2518953224229</v>
      </c>
      <c r="W6" s="13">
        <f t="shared" si="0"/>
        <v>-2.24856952581007</v>
      </c>
      <c r="X6" s="13">
        <f t="shared" si="0"/>
        <v>0.318638303123617</v>
      </c>
      <c r="Y6" s="13">
        <f t="shared" si="0"/>
        <v>-0.175067593755847</v>
      </c>
      <c r="Z6" s="13">
        <f t="shared" si="0"/>
        <v>-0.786070875833785</v>
      </c>
      <c r="AA6" s="13">
        <f t="shared" si="0"/>
        <v>0.0466510433991822</v>
      </c>
      <c r="AB6" s="13">
        <f t="shared" si="0"/>
        <v>0.699933825212104</v>
      </c>
      <c r="AC6" s="13">
        <f t="shared" si="0"/>
        <v>0.536679748874429</v>
      </c>
      <c r="AD6" s="13">
        <f t="shared" si="1"/>
        <v>0.360956361418568</v>
      </c>
      <c r="AE6" s="13">
        <f t="shared" si="0"/>
        <v>-0.53914328209239</v>
      </c>
      <c r="AF6" s="13">
        <f t="shared" si="0"/>
        <v>0.799465337204129</v>
      </c>
      <c r="AG6" s="13">
        <f t="shared" si="0"/>
        <v>-0.0547497161212198</v>
      </c>
      <c r="AH6" s="13">
        <f t="shared" si="0"/>
        <v>-0.262293218794548</v>
      </c>
      <c r="AI6" s="13">
        <f t="shared" si="0"/>
        <v>-0.216137110290919</v>
      </c>
    </row>
    <row r="7" spans="1:35">
      <c r="A7" s="15" t="s">
        <v>33</v>
      </c>
      <c r="B7" s="2">
        <v>4.27315250749414</v>
      </c>
      <c r="C7" s="15"/>
      <c r="D7" s="14" t="s">
        <v>4</v>
      </c>
      <c r="E7" s="13">
        <f t="shared" si="2"/>
        <v>-3.80244296338572</v>
      </c>
      <c r="F7" s="13">
        <f t="shared" si="0"/>
        <v>-2.73205607355312</v>
      </c>
      <c r="G7" s="13">
        <f t="shared" si="0"/>
        <v>1.42784599743925</v>
      </c>
      <c r="H7" s="13">
        <f t="shared" si="0"/>
        <v>1.72923100745049</v>
      </c>
      <c r="I7" s="13">
        <f t="shared" si="0"/>
        <v>0</v>
      </c>
      <c r="J7" s="13">
        <f t="shared" si="0"/>
        <v>0.365956825915065</v>
      </c>
      <c r="K7" s="13">
        <f t="shared" si="0"/>
        <v>1.11890880002738</v>
      </c>
      <c r="L7" s="13">
        <f t="shared" si="0"/>
        <v>1.59068407977924</v>
      </c>
      <c r="M7" s="13">
        <f t="shared" si="0"/>
        <v>-4.15370575732115</v>
      </c>
      <c r="N7" s="13">
        <f t="shared" si="0"/>
        <v>-1.63642522530138</v>
      </c>
      <c r="O7" s="13">
        <f t="shared" si="0"/>
        <v>-1.20556380902318</v>
      </c>
      <c r="P7" s="13">
        <f t="shared" si="0"/>
        <v>1.78670906938887</v>
      </c>
      <c r="Q7" s="13">
        <f t="shared" si="0"/>
        <v>-0.445567174573937</v>
      </c>
      <c r="R7" s="13">
        <f t="shared" si="0"/>
        <v>1.81324948724969</v>
      </c>
      <c r="S7" s="13">
        <f t="shared" si="0"/>
        <v>0.0556363163133975</v>
      </c>
      <c r="T7" s="13">
        <f t="shared" si="0"/>
        <v>1.59724302318249</v>
      </c>
      <c r="U7" s="13">
        <f t="shared" si="0"/>
        <v>0.930739269796057</v>
      </c>
      <c r="V7" s="13">
        <f t="shared" si="0"/>
        <v>1.47733568502759</v>
      </c>
      <c r="W7" s="13">
        <f t="shared" si="0"/>
        <v>-0.519338518359578</v>
      </c>
      <c r="X7" s="13">
        <f t="shared" si="0"/>
        <v>2.04786931057411</v>
      </c>
      <c r="Y7" s="13">
        <f t="shared" si="0"/>
        <v>1.55416341369464</v>
      </c>
      <c r="Z7" s="13">
        <f t="shared" si="0"/>
        <v>0.943160131616707</v>
      </c>
      <c r="AA7" s="13">
        <f t="shared" si="0"/>
        <v>1.77588205084967</v>
      </c>
      <c r="AB7" s="13">
        <f t="shared" si="0"/>
        <v>2.4291648326626</v>
      </c>
      <c r="AC7" s="13">
        <f t="shared" si="0"/>
        <v>2.26591075632492</v>
      </c>
      <c r="AD7" s="13">
        <f t="shared" si="1"/>
        <v>2.09018736886906</v>
      </c>
      <c r="AE7" s="13">
        <f t="shared" si="0"/>
        <v>1.1900877253581</v>
      </c>
      <c r="AF7" s="13">
        <f t="shared" si="0"/>
        <v>2.52869634465462</v>
      </c>
      <c r="AG7" s="13">
        <f t="shared" si="0"/>
        <v>1.67448129132927</v>
      </c>
      <c r="AH7" s="13">
        <f t="shared" si="0"/>
        <v>1.46693778865594</v>
      </c>
      <c r="AI7" s="13">
        <f t="shared" si="0"/>
        <v>1.51309389715957</v>
      </c>
    </row>
    <row r="8" spans="1:35">
      <c r="A8" s="15" t="s">
        <v>33</v>
      </c>
      <c r="B8" s="2">
        <v>3.90719568157907</v>
      </c>
      <c r="C8" s="15"/>
      <c r="D8" s="14" t="s">
        <v>5</v>
      </c>
      <c r="E8" s="13">
        <f t="shared" si="2"/>
        <v>-4.16839978930079</v>
      </c>
      <c r="F8" s="13">
        <f t="shared" si="0"/>
        <v>-3.09801289946818</v>
      </c>
      <c r="G8" s="13">
        <f t="shared" si="0"/>
        <v>1.06188917152419</v>
      </c>
      <c r="H8" s="13">
        <f t="shared" si="0"/>
        <v>1.36327418153543</v>
      </c>
      <c r="I8" s="13">
        <f t="shared" si="0"/>
        <v>-0.365956825915065</v>
      </c>
      <c r="J8" s="13">
        <f t="shared" si="0"/>
        <v>0</v>
      </c>
      <c r="K8" s="13">
        <f t="shared" si="0"/>
        <v>0.752951974112313</v>
      </c>
      <c r="L8" s="13">
        <f t="shared" si="0"/>
        <v>1.22472725386417</v>
      </c>
      <c r="M8" s="13">
        <f t="shared" si="0"/>
        <v>-4.51966258323622</v>
      </c>
      <c r="N8" s="13">
        <f t="shared" si="0"/>
        <v>-2.00238205121645</v>
      </c>
      <c r="O8" s="13">
        <f t="shared" si="0"/>
        <v>-1.57152063493825</v>
      </c>
      <c r="P8" s="13">
        <f t="shared" si="0"/>
        <v>1.4207522434738</v>
      </c>
      <c r="Q8" s="13">
        <f t="shared" si="0"/>
        <v>-0.811524000489003</v>
      </c>
      <c r="R8" s="13">
        <f t="shared" si="0"/>
        <v>1.44729266133463</v>
      </c>
      <c r="S8" s="13">
        <f t="shared" si="0"/>
        <v>-0.310320509601668</v>
      </c>
      <c r="T8" s="13">
        <f t="shared" si="0"/>
        <v>1.23128619726743</v>
      </c>
      <c r="U8" s="13">
        <f t="shared" si="0"/>
        <v>0.564782443880991</v>
      </c>
      <c r="V8" s="13">
        <f t="shared" si="0"/>
        <v>1.11137885911253</v>
      </c>
      <c r="W8" s="13">
        <f t="shared" si="0"/>
        <v>-0.885295344274643</v>
      </c>
      <c r="X8" s="13">
        <f t="shared" si="0"/>
        <v>1.68191248465904</v>
      </c>
      <c r="Y8" s="13">
        <f t="shared" si="0"/>
        <v>1.18820658777958</v>
      </c>
      <c r="Z8" s="13">
        <f t="shared" si="0"/>
        <v>0.577203305701641</v>
      </c>
      <c r="AA8" s="13">
        <f t="shared" si="0"/>
        <v>1.40992522493461</v>
      </c>
      <c r="AB8" s="13">
        <f t="shared" si="0"/>
        <v>2.06320800674753</v>
      </c>
      <c r="AC8" s="13">
        <f t="shared" si="0"/>
        <v>1.89995393040985</v>
      </c>
      <c r="AD8" s="13">
        <f t="shared" si="1"/>
        <v>1.72423054295399</v>
      </c>
      <c r="AE8" s="13">
        <f t="shared" si="0"/>
        <v>0.824130899443036</v>
      </c>
      <c r="AF8" s="13">
        <f t="shared" si="0"/>
        <v>2.16273951873956</v>
      </c>
      <c r="AG8" s="13">
        <f t="shared" si="0"/>
        <v>1.30852446541421</v>
      </c>
      <c r="AH8" s="13">
        <f t="shared" si="0"/>
        <v>1.10098096274088</v>
      </c>
      <c r="AI8" s="13">
        <f t="shared" si="0"/>
        <v>1.14713707124451</v>
      </c>
    </row>
    <row r="9" spans="1:35">
      <c r="A9" s="15" t="s">
        <v>33</v>
      </c>
      <c r="B9" s="2">
        <v>3.15424370746676</v>
      </c>
      <c r="C9" s="15"/>
      <c r="D9" s="14" t="s">
        <v>6</v>
      </c>
      <c r="E9" s="13">
        <f t="shared" si="2"/>
        <v>-4.9213517634131</v>
      </c>
      <c r="F9" s="13">
        <f t="shared" si="0"/>
        <v>-3.85096487358049</v>
      </c>
      <c r="G9" s="13">
        <f t="shared" si="0"/>
        <v>0.308937197411876</v>
      </c>
      <c r="H9" s="13">
        <f t="shared" si="0"/>
        <v>0.610322207423113</v>
      </c>
      <c r="I9" s="13">
        <f t="shared" si="0"/>
        <v>-1.11890880002738</v>
      </c>
      <c r="J9" s="13">
        <f t="shared" si="0"/>
        <v>-0.752951974112313</v>
      </c>
      <c r="K9" s="13">
        <f t="shared" si="0"/>
        <v>0</v>
      </c>
      <c r="L9" s="13">
        <f t="shared" si="0"/>
        <v>0.471775279751862</v>
      </c>
      <c r="M9" s="13">
        <f t="shared" si="0"/>
        <v>-5.27261455734853</v>
      </c>
      <c r="N9" s="13">
        <f t="shared" si="0"/>
        <v>-2.75533402532876</v>
      </c>
      <c r="O9" s="13">
        <f t="shared" si="0"/>
        <v>-2.32447260905056</v>
      </c>
      <c r="P9" s="13">
        <f t="shared" si="0"/>
        <v>0.667800269361489</v>
      </c>
      <c r="Q9" s="13">
        <f t="shared" si="0"/>
        <v>-1.56447597460132</v>
      </c>
      <c r="R9" s="13">
        <f t="shared" si="0"/>
        <v>0.694340687222316</v>
      </c>
      <c r="S9" s="13">
        <f t="shared" si="0"/>
        <v>-1.06327248371398</v>
      </c>
      <c r="T9" s="13">
        <f t="shared" si="0"/>
        <v>0.478334223155113</v>
      </c>
      <c r="U9" s="13">
        <f t="shared" si="0"/>
        <v>-0.188169530231322</v>
      </c>
      <c r="V9" s="13">
        <f t="shared" si="0"/>
        <v>0.358426885000214</v>
      </c>
      <c r="W9" s="13">
        <f t="shared" si="0"/>
        <v>-1.63824731838696</v>
      </c>
      <c r="X9" s="13">
        <f t="shared" si="0"/>
        <v>0.92896051054673</v>
      </c>
      <c r="Y9" s="13">
        <f t="shared" si="0"/>
        <v>0.435254613667266</v>
      </c>
      <c r="Z9" s="13">
        <f t="shared" si="0"/>
        <v>-0.175748668410672</v>
      </c>
      <c r="AA9" s="13">
        <f t="shared" si="0"/>
        <v>0.656973250822296</v>
      </c>
      <c r="AB9" s="13">
        <f t="shared" si="0"/>
        <v>1.31025603263522</v>
      </c>
      <c r="AC9" s="13">
        <f t="shared" si="0"/>
        <v>1.14700195629754</v>
      </c>
      <c r="AD9" s="13">
        <f t="shared" si="1"/>
        <v>0.971278568841682</v>
      </c>
      <c r="AE9" s="13">
        <f t="shared" si="0"/>
        <v>0.0711789253307229</v>
      </c>
      <c r="AF9" s="13">
        <f t="shared" si="0"/>
        <v>1.40978754462724</v>
      </c>
      <c r="AG9" s="13">
        <f t="shared" si="0"/>
        <v>0.555572491301894</v>
      </c>
      <c r="AH9" s="13">
        <f t="shared" si="0"/>
        <v>0.348028988628565</v>
      </c>
      <c r="AI9" s="13">
        <f t="shared" si="0"/>
        <v>0.394185097132194</v>
      </c>
    </row>
    <row r="10" spans="1:35">
      <c r="A10" s="15" t="s">
        <v>33</v>
      </c>
      <c r="B10" s="2">
        <v>2.6824684277149</v>
      </c>
      <c r="C10" s="15"/>
      <c r="D10" s="14" t="s">
        <v>7</v>
      </c>
      <c r="E10" s="13">
        <f t="shared" si="2"/>
        <v>-5.39312704316496</v>
      </c>
      <c r="F10" s="13">
        <f t="shared" si="0"/>
        <v>-4.32274015333236</v>
      </c>
      <c r="G10" s="13">
        <f t="shared" si="0"/>
        <v>-0.162838082339986</v>
      </c>
      <c r="H10" s="13">
        <f t="shared" si="0"/>
        <v>0.138546927671252</v>
      </c>
      <c r="I10" s="13">
        <f t="shared" si="0"/>
        <v>-1.59068407977924</v>
      </c>
      <c r="J10" s="13">
        <f t="shared" si="0"/>
        <v>-1.22472725386417</v>
      </c>
      <c r="K10" s="13">
        <f t="shared" si="0"/>
        <v>-0.471775279751862</v>
      </c>
      <c r="L10" s="13">
        <f t="shared" si="0"/>
        <v>0</v>
      </c>
      <c r="M10" s="13">
        <f t="shared" si="0"/>
        <v>-5.74438983710039</v>
      </c>
      <c r="N10" s="13">
        <f t="shared" si="0"/>
        <v>-3.22710930508062</v>
      </c>
      <c r="O10" s="13">
        <f t="shared" si="0"/>
        <v>-2.79624788880242</v>
      </c>
      <c r="P10" s="13">
        <f t="shared" si="0"/>
        <v>0.196024989609627</v>
      </c>
      <c r="Q10" s="13">
        <f t="shared" si="0"/>
        <v>-2.03625125435318</v>
      </c>
      <c r="R10" s="13">
        <f t="shared" si="0"/>
        <v>0.222565407470454</v>
      </c>
      <c r="S10" s="13">
        <f t="shared" si="0"/>
        <v>-1.53504776346584</v>
      </c>
      <c r="T10" s="13">
        <f t="shared" si="0"/>
        <v>0.00655894340325114</v>
      </c>
      <c r="U10" s="13">
        <f t="shared" si="0"/>
        <v>-0.659944809983183</v>
      </c>
      <c r="V10" s="13">
        <f t="shared" si="0"/>
        <v>-0.113348394751648</v>
      </c>
      <c r="W10" s="13">
        <f t="shared" si="0"/>
        <v>-2.11002259813882</v>
      </c>
      <c r="X10" s="13">
        <f t="shared" si="0"/>
        <v>0.457185230794869</v>
      </c>
      <c r="Y10" s="13">
        <f t="shared" si="0"/>
        <v>-0.0365206660845954</v>
      </c>
      <c r="Z10" s="13">
        <f t="shared" si="0"/>
        <v>-0.647523948162533</v>
      </c>
      <c r="AA10" s="13">
        <f t="shared" si="0"/>
        <v>0.185197971070434</v>
      </c>
      <c r="AB10" s="13">
        <f t="shared" si="0"/>
        <v>0.838480752883356</v>
      </c>
      <c r="AC10" s="13">
        <f t="shared" si="0"/>
        <v>0.67522667654568</v>
      </c>
      <c r="AD10" s="13">
        <f t="shared" si="1"/>
        <v>0.49950328908982</v>
      </c>
      <c r="AE10" s="13">
        <f t="shared" si="0"/>
        <v>-0.400596354421139</v>
      </c>
      <c r="AF10" s="13">
        <f t="shared" si="0"/>
        <v>0.938012264875381</v>
      </c>
      <c r="AG10" s="13">
        <f t="shared" si="0"/>
        <v>0.0837972115500318</v>
      </c>
      <c r="AH10" s="13">
        <f t="shared" si="0"/>
        <v>-0.123746291123297</v>
      </c>
      <c r="AI10" s="13">
        <f t="shared" si="0"/>
        <v>-0.0775901826196677</v>
      </c>
    </row>
    <row r="11" spans="1:35">
      <c r="A11" s="15" t="s">
        <v>33</v>
      </c>
      <c r="B11" s="2">
        <v>8.42685826481529</v>
      </c>
      <c r="C11" s="15"/>
      <c r="D11" s="14" t="s">
        <v>8</v>
      </c>
      <c r="E11" s="13">
        <f t="shared" si="2"/>
        <v>0.35126279393543</v>
      </c>
      <c r="F11" s="13">
        <f t="shared" si="0"/>
        <v>1.42164968376804</v>
      </c>
      <c r="G11" s="13">
        <f t="shared" si="0"/>
        <v>5.58155175476041</v>
      </c>
      <c r="H11" s="13">
        <f t="shared" si="0"/>
        <v>5.88293676477164</v>
      </c>
      <c r="I11" s="13">
        <f t="shared" si="0"/>
        <v>4.15370575732115</v>
      </c>
      <c r="J11" s="13">
        <f t="shared" si="0"/>
        <v>4.51966258323622</v>
      </c>
      <c r="K11" s="13">
        <f t="shared" si="0"/>
        <v>5.27261455734853</v>
      </c>
      <c r="L11" s="13">
        <f t="shared" si="0"/>
        <v>5.74438983710039</v>
      </c>
      <c r="M11" s="13">
        <f t="shared" si="0"/>
        <v>0</v>
      </c>
      <c r="N11" s="13">
        <f t="shared" si="0"/>
        <v>2.51728053201977</v>
      </c>
      <c r="O11" s="13">
        <f t="shared" si="0"/>
        <v>2.94814194829797</v>
      </c>
      <c r="P11" s="13">
        <f t="shared" si="0"/>
        <v>5.94041482671002</v>
      </c>
      <c r="Q11" s="13">
        <f t="shared" si="0"/>
        <v>3.70813858274722</v>
      </c>
      <c r="R11" s="13">
        <f t="shared" si="0"/>
        <v>5.96695524457085</v>
      </c>
      <c r="S11" s="13">
        <f t="shared" si="0"/>
        <v>4.20934207363455</v>
      </c>
      <c r="T11" s="13">
        <f t="shared" si="0"/>
        <v>5.75094878050364</v>
      </c>
      <c r="U11" s="13">
        <f t="shared" si="0"/>
        <v>5.08444502711721</v>
      </c>
      <c r="V11" s="13">
        <f t="shared" si="0"/>
        <v>5.63104144234874</v>
      </c>
      <c r="W11" s="13">
        <f t="shared" si="0"/>
        <v>3.63436723896157</v>
      </c>
      <c r="X11" s="13">
        <f t="shared" si="0"/>
        <v>6.20157506789526</v>
      </c>
      <c r="Y11" s="13">
        <f t="shared" si="0"/>
        <v>5.7078691710158</v>
      </c>
      <c r="Z11" s="13">
        <f t="shared" si="0"/>
        <v>5.09686588893786</v>
      </c>
      <c r="AA11" s="13">
        <f t="shared" si="0"/>
        <v>5.92958780817083</v>
      </c>
      <c r="AB11" s="13">
        <f t="shared" si="0"/>
        <v>6.58287058998375</v>
      </c>
      <c r="AC11" s="13">
        <f t="shared" si="0"/>
        <v>6.41961651364607</v>
      </c>
      <c r="AD11" s="13">
        <f t="shared" si="1"/>
        <v>6.24389312619021</v>
      </c>
      <c r="AE11" s="13">
        <f t="shared" si="0"/>
        <v>5.34379348267925</v>
      </c>
      <c r="AF11" s="13">
        <f t="shared" si="0"/>
        <v>6.68240210197577</v>
      </c>
      <c r="AG11" s="13">
        <f t="shared" si="0"/>
        <v>5.82818704865042</v>
      </c>
      <c r="AH11" s="13">
        <f t="shared" si="0"/>
        <v>5.6206435459771</v>
      </c>
      <c r="AI11" s="13">
        <f t="shared" si="0"/>
        <v>5.66679965448072</v>
      </c>
    </row>
    <row r="12" spans="1:35">
      <c r="A12" s="15" t="s">
        <v>33</v>
      </c>
      <c r="B12" s="2">
        <v>5.90957773279552</v>
      </c>
      <c r="C12" s="15"/>
      <c r="D12" s="14" t="s">
        <v>9</v>
      </c>
      <c r="E12" s="13">
        <f t="shared" si="2"/>
        <v>-2.16601773808434</v>
      </c>
      <c r="F12" s="13">
        <f t="shared" si="0"/>
        <v>-1.09563084825173</v>
      </c>
      <c r="G12" s="13">
        <f t="shared" si="0"/>
        <v>3.06427122274064</v>
      </c>
      <c r="H12" s="13">
        <f t="shared" si="0"/>
        <v>3.36565623275188</v>
      </c>
      <c r="I12" s="13">
        <f t="shared" si="0"/>
        <v>1.63642522530138</v>
      </c>
      <c r="J12" s="13">
        <f t="shared" si="0"/>
        <v>2.00238205121645</v>
      </c>
      <c r="K12" s="13">
        <f t="shared" si="0"/>
        <v>2.75533402532876</v>
      </c>
      <c r="L12" s="13">
        <f t="shared" si="0"/>
        <v>3.22710930508062</v>
      </c>
      <c r="M12" s="13">
        <f t="shared" si="0"/>
        <v>-2.51728053201977</v>
      </c>
      <c r="N12" s="13">
        <f t="shared" si="0"/>
        <v>0</v>
      </c>
      <c r="O12" s="13">
        <f t="shared" ref="O12:AI27" si="3">$B12-O$2</f>
        <v>0.430861416278201</v>
      </c>
      <c r="P12" s="13">
        <f t="shared" si="3"/>
        <v>3.42313429469025</v>
      </c>
      <c r="Q12" s="13">
        <f t="shared" si="3"/>
        <v>1.19085805072745</v>
      </c>
      <c r="R12" s="13">
        <f t="shared" si="3"/>
        <v>3.44967471255108</v>
      </c>
      <c r="S12" s="13">
        <f t="shared" si="3"/>
        <v>1.69206154161478</v>
      </c>
      <c r="T12" s="13">
        <f t="shared" si="3"/>
        <v>3.23366824848387</v>
      </c>
      <c r="U12" s="13">
        <f t="shared" si="3"/>
        <v>2.56716449509744</v>
      </c>
      <c r="V12" s="13">
        <f t="shared" si="3"/>
        <v>3.11376091032898</v>
      </c>
      <c r="W12" s="13">
        <f t="shared" si="3"/>
        <v>1.11708670694181</v>
      </c>
      <c r="X12" s="13">
        <f t="shared" si="3"/>
        <v>3.68429453587549</v>
      </c>
      <c r="Y12" s="13">
        <f t="shared" si="3"/>
        <v>3.19058863899603</v>
      </c>
      <c r="Z12" s="13">
        <f t="shared" si="3"/>
        <v>2.57958535691809</v>
      </c>
      <c r="AA12" s="13">
        <f t="shared" si="3"/>
        <v>3.41230727615106</v>
      </c>
      <c r="AB12" s="13">
        <f t="shared" si="3"/>
        <v>4.06559005796398</v>
      </c>
      <c r="AC12" s="13">
        <f t="shared" si="3"/>
        <v>3.9023359816263</v>
      </c>
      <c r="AD12" s="13">
        <f t="shared" si="1"/>
        <v>3.72661259417044</v>
      </c>
      <c r="AE12" s="13">
        <f t="shared" si="3"/>
        <v>2.82651295065948</v>
      </c>
      <c r="AF12" s="13">
        <f t="shared" si="3"/>
        <v>4.16512156995601</v>
      </c>
      <c r="AG12" s="13">
        <f t="shared" si="3"/>
        <v>3.31090651663066</v>
      </c>
      <c r="AH12" s="13">
        <f t="shared" si="3"/>
        <v>3.10336301395733</v>
      </c>
      <c r="AI12" s="13">
        <f t="shared" si="3"/>
        <v>3.14951912246096</v>
      </c>
    </row>
    <row r="13" spans="1:35">
      <c r="A13" s="15" t="s">
        <v>33</v>
      </c>
      <c r="B13" s="2">
        <v>5.47871631651732</v>
      </c>
      <c r="C13" s="15"/>
      <c r="D13" s="14" t="s">
        <v>10</v>
      </c>
      <c r="E13" s="13">
        <f t="shared" si="2"/>
        <v>-2.59687915436254</v>
      </c>
      <c r="F13" s="13">
        <f t="shared" si="2"/>
        <v>-1.52649226452993</v>
      </c>
      <c r="G13" s="13">
        <f t="shared" si="2"/>
        <v>2.63340980646244</v>
      </c>
      <c r="H13" s="13">
        <f t="shared" si="2"/>
        <v>2.93479481647367</v>
      </c>
      <c r="I13" s="13">
        <f t="shared" si="2"/>
        <v>1.20556380902318</v>
      </c>
      <c r="J13" s="13">
        <f t="shared" si="2"/>
        <v>1.57152063493825</v>
      </c>
      <c r="K13" s="13">
        <f t="shared" si="2"/>
        <v>2.32447260905056</v>
      </c>
      <c r="L13" s="13">
        <f t="shared" si="2"/>
        <v>2.79624788880242</v>
      </c>
      <c r="M13" s="13">
        <f t="shared" si="2"/>
        <v>-2.94814194829797</v>
      </c>
      <c r="N13" s="13">
        <f t="shared" si="2"/>
        <v>-0.430861416278201</v>
      </c>
      <c r="O13" s="13">
        <f t="shared" si="2"/>
        <v>0</v>
      </c>
      <c r="P13" s="13">
        <f t="shared" si="2"/>
        <v>2.99227287841205</v>
      </c>
      <c r="Q13" s="13">
        <f t="shared" si="2"/>
        <v>0.759996634449245</v>
      </c>
      <c r="R13" s="13">
        <f t="shared" si="2"/>
        <v>3.01881329627288</v>
      </c>
      <c r="S13" s="13">
        <f t="shared" si="2"/>
        <v>1.26120012533658</v>
      </c>
      <c r="T13" s="13">
        <f t="shared" si="2"/>
        <v>2.80280683220567</v>
      </c>
      <c r="U13" s="13">
        <f t="shared" si="3"/>
        <v>2.13630307881924</v>
      </c>
      <c r="V13" s="13">
        <f t="shared" si="3"/>
        <v>2.68289949405077</v>
      </c>
      <c r="W13" s="13">
        <f t="shared" si="3"/>
        <v>0.686225290663605</v>
      </c>
      <c r="X13" s="13">
        <f t="shared" si="3"/>
        <v>3.25343311959729</v>
      </c>
      <c r="Y13" s="13">
        <f t="shared" si="3"/>
        <v>2.75972722271783</v>
      </c>
      <c r="Z13" s="13">
        <f t="shared" si="3"/>
        <v>2.14872394063989</v>
      </c>
      <c r="AA13" s="13">
        <f t="shared" si="3"/>
        <v>2.98144585987286</v>
      </c>
      <c r="AB13" s="13">
        <f t="shared" si="3"/>
        <v>3.63472864168578</v>
      </c>
      <c r="AC13" s="13">
        <f t="shared" si="3"/>
        <v>3.4714745653481</v>
      </c>
      <c r="AD13" s="13">
        <f t="shared" si="1"/>
        <v>3.29575117789224</v>
      </c>
      <c r="AE13" s="13">
        <f t="shared" si="3"/>
        <v>2.39565153438128</v>
      </c>
      <c r="AF13" s="13">
        <f t="shared" si="3"/>
        <v>3.7342601536778</v>
      </c>
      <c r="AG13" s="13">
        <f t="shared" si="3"/>
        <v>2.88004510035245</v>
      </c>
      <c r="AH13" s="13">
        <f t="shared" si="3"/>
        <v>2.67250159767913</v>
      </c>
      <c r="AI13" s="13">
        <f t="shared" si="3"/>
        <v>2.71865770618275</v>
      </c>
    </row>
    <row r="14" spans="1:35">
      <c r="A14" s="15" t="s">
        <v>33</v>
      </c>
      <c r="B14" s="2">
        <v>2.48644343810527</v>
      </c>
      <c r="C14" s="15"/>
      <c r="D14" s="14" t="s">
        <v>11</v>
      </c>
      <c r="E14" s="13">
        <f t="shared" si="2"/>
        <v>-5.58915203277459</v>
      </c>
      <c r="F14" s="13">
        <f t="shared" si="2"/>
        <v>-4.51876514294198</v>
      </c>
      <c r="G14" s="13">
        <f t="shared" si="2"/>
        <v>-0.358863071949613</v>
      </c>
      <c r="H14" s="13">
        <f t="shared" si="2"/>
        <v>-0.0574780619383755</v>
      </c>
      <c r="I14" s="13">
        <f t="shared" si="2"/>
        <v>-1.78670906938887</v>
      </c>
      <c r="J14" s="13">
        <f t="shared" si="2"/>
        <v>-1.4207522434738</v>
      </c>
      <c r="K14" s="13">
        <f t="shared" si="2"/>
        <v>-0.667800269361489</v>
      </c>
      <c r="L14" s="13">
        <f t="shared" si="2"/>
        <v>-0.196024989609627</v>
      </c>
      <c r="M14" s="13">
        <f t="shared" si="2"/>
        <v>-5.94041482671002</v>
      </c>
      <c r="N14" s="13">
        <f t="shared" si="2"/>
        <v>-3.42313429469025</v>
      </c>
      <c r="O14" s="13">
        <f t="shared" si="2"/>
        <v>-2.99227287841205</v>
      </c>
      <c r="P14" s="13">
        <f t="shared" si="2"/>
        <v>0</v>
      </c>
      <c r="Q14" s="13">
        <f t="shared" si="2"/>
        <v>-2.2322762439628</v>
      </c>
      <c r="R14" s="13">
        <f t="shared" si="2"/>
        <v>0.0265404178608271</v>
      </c>
      <c r="S14" s="13">
        <f t="shared" si="2"/>
        <v>-1.73107275307547</v>
      </c>
      <c r="T14" s="13">
        <f t="shared" si="2"/>
        <v>-0.189466046206376</v>
      </c>
      <c r="U14" s="13">
        <f t="shared" si="3"/>
        <v>-0.855969799592811</v>
      </c>
      <c r="V14" s="13">
        <f t="shared" si="3"/>
        <v>-0.309373384361275</v>
      </c>
      <c r="W14" s="13">
        <f t="shared" si="3"/>
        <v>-2.30604758774844</v>
      </c>
      <c r="X14" s="13">
        <f t="shared" si="3"/>
        <v>0.261160241185241</v>
      </c>
      <c r="Y14" s="13">
        <f t="shared" si="3"/>
        <v>-0.232545655694222</v>
      </c>
      <c r="Z14" s="13">
        <f t="shared" si="3"/>
        <v>-0.843548937772161</v>
      </c>
      <c r="AA14" s="13">
        <f t="shared" si="3"/>
        <v>-0.0108270185391932</v>
      </c>
      <c r="AB14" s="13">
        <f t="shared" si="3"/>
        <v>0.642455763273728</v>
      </c>
      <c r="AC14" s="13">
        <f t="shared" si="3"/>
        <v>0.479201686936053</v>
      </c>
      <c r="AD14" s="13">
        <f t="shared" si="1"/>
        <v>0.303478299480193</v>
      </c>
      <c r="AE14" s="13">
        <f t="shared" si="3"/>
        <v>-0.596621344030766</v>
      </c>
      <c r="AF14" s="13">
        <f t="shared" si="3"/>
        <v>0.741987275265754</v>
      </c>
      <c r="AG14" s="13">
        <f t="shared" si="3"/>
        <v>-0.112227778059595</v>
      </c>
      <c r="AH14" s="13">
        <f t="shared" si="3"/>
        <v>-0.319771280732924</v>
      </c>
      <c r="AI14" s="13">
        <f t="shared" si="3"/>
        <v>-0.273615172229295</v>
      </c>
    </row>
    <row r="15" spans="1:35">
      <c r="A15" s="15" t="s">
        <v>33</v>
      </c>
      <c r="B15" s="2">
        <v>4.71871968206808</v>
      </c>
      <c r="C15" s="15"/>
      <c r="D15" s="14" t="s">
        <v>12</v>
      </c>
      <c r="E15" s="13">
        <f>$B15-E$2</f>
        <v>-3.35687578881178</v>
      </c>
      <c r="F15" s="13">
        <f t="shared" si="2"/>
        <v>-2.28648889897918</v>
      </c>
      <c r="G15" s="13">
        <f t="shared" si="2"/>
        <v>1.87341317201319</v>
      </c>
      <c r="H15" s="13">
        <f t="shared" si="2"/>
        <v>2.17479818202443</v>
      </c>
      <c r="I15" s="13">
        <f t="shared" si="2"/>
        <v>0.445567174573937</v>
      </c>
      <c r="J15" s="13">
        <f t="shared" si="2"/>
        <v>0.811524000489003</v>
      </c>
      <c r="K15" s="13">
        <f t="shared" si="2"/>
        <v>1.56447597460132</v>
      </c>
      <c r="L15" s="13">
        <f t="shared" si="2"/>
        <v>2.03625125435318</v>
      </c>
      <c r="M15" s="13">
        <f t="shared" si="2"/>
        <v>-3.70813858274722</v>
      </c>
      <c r="N15" s="13">
        <f t="shared" si="2"/>
        <v>-1.19085805072745</v>
      </c>
      <c r="O15" s="13">
        <f t="shared" si="2"/>
        <v>-0.759996634449245</v>
      </c>
      <c r="P15" s="13">
        <f t="shared" si="2"/>
        <v>2.2322762439628</v>
      </c>
      <c r="Q15" s="13">
        <f t="shared" si="2"/>
        <v>0</v>
      </c>
      <c r="R15" s="13">
        <f t="shared" si="2"/>
        <v>2.25881666182363</v>
      </c>
      <c r="S15" s="13">
        <f t="shared" si="2"/>
        <v>0.501203490887335</v>
      </c>
      <c r="T15" s="13">
        <f t="shared" si="2"/>
        <v>2.04281019775643</v>
      </c>
      <c r="U15" s="13">
        <f t="shared" si="3"/>
        <v>1.37630644436999</v>
      </c>
      <c r="V15" s="13">
        <f t="shared" si="3"/>
        <v>1.92290285960153</v>
      </c>
      <c r="W15" s="13">
        <f t="shared" si="3"/>
        <v>-0.0737713437856407</v>
      </c>
      <c r="X15" s="13">
        <f t="shared" si="3"/>
        <v>2.49343648514805</v>
      </c>
      <c r="Y15" s="13">
        <f t="shared" si="3"/>
        <v>1.99973058826858</v>
      </c>
      <c r="Z15" s="13">
        <f t="shared" si="3"/>
        <v>1.38872730619064</v>
      </c>
      <c r="AA15" s="13">
        <f t="shared" si="3"/>
        <v>2.22144922542361</v>
      </c>
      <c r="AB15" s="13">
        <f t="shared" si="3"/>
        <v>2.87473200723653</v>
      </c>
      <c r="AC15" s="13">
        <f t="shared" si="3"/>
        <v>2.71147793089886</v>
      </c>
      <c r="AD15" s="13">
        <f t="shared" si="1"/>
        <v>2.535754543443</v>
      </c>
      <c r="AE15" s="13">
        <f t="shared" si="3"/>
        <v>1.63565489993204</v>
      </c>
      <c r="AF15" s="13">
        <f t="shared" si="3"/>
        <v>2.97426351922856</v>
      </c>
      <c r="AG15" s="13">
        <f t="shared" si="3"/>
        <v>2.12004846590321</v>
      </c>
      <c r="AH15" s="13">
        <f t="shared" si="3"/>
        <v>1.91250496322988</v>
      </c>
      <c r="AI15" s="13">
        <f t="shared" si="3"/>
        <v>1.95866107173351</v>
      </c>
    </row>
    <row r="16" spans="1:35">
      <c r="A16" s="15" t="s">
        <v>33</v>
      </c>
      <c r="B16" s="2">
        <v>2.45990302024444</v>
      </c>
      <c r="C16" s="15"/>
      <c r="D16" s="14" t="s">
        <v>13</v>
      </c>
      <c r="E16" s="13">
        <f t="shared" si="2"/>
        <v>-5.61569245063542</v>
      </c>
      <c r="F16" s="13">
        <f t="shared" si="2"/>
        <v>-4.54530556080281</v>
      </c>
      <c r="G16" s="13">
        <f t="shared" si="2"/>
        <v>-0.38540348981044</v>
      </c>
      <c r="H16" s="13">
        <f t="shared" si="2"/>
        <v>-0.0840184797992025</v>
      </c>
      <c r="I16" s="13">
        <f t="shared" si="2"/>
        <v>-1.81324948724969</v>
      </c>
      <c r="J16" s="13">
        <f t="shared" si="2"/>
        <v>-1.44729266133463</v>
      </c>
      <c r="K16" s="13">
        <f t="shared" si="2"/>
        <v>-0.694340687222316</v>
      </c>
      <c r="L16" s="13">
        <f t="shared" si="2"/>
        <v>-0.222565407470454</v>
      </c>
      <c r="M16" s="13">
        <f t="shared" si="2"/>
        <v>-5.96695524457085</v>
      </c>
      <c r="N16" s="13">
        <f t="shared" si="2"/>
        <v>-3.44967471255108</v>
      </c>
      <c r="O16" s="13">
        <f t="shared" si="2"/>
        <v>-3.01881329627288</v>
      </c>
      <c r="P16" s="13">
        <f t="shared" si="2"/>
        <v>-0.0265404178608271</v>
      </c>
      <c r="Q16" s="13">
        <f t="shared" si="2"/>
        <v>-2.25881666182363</v>
      </c>
      <c r="R16" s="13">
        <f t="shared" si="2"/>
        <v>0</v>
      </c>
      <c r="S16" s="13">
        <f t="shared" si="2"/>
        <v>-1.7576131709363</v>
      </c>
      <c r="T16" s="13">
        <f t="shared" si="2"/>
        <v>-0.216006464067203</v>
      </c>
      <c r="U16" s="13">
        <f t="shared" si="3"/>
        <v>-0.882510217453638</v>
      </c>
      <c r="V16" s="13">
        <f t="shared" si="3"/>
        <v>-0.335913802222102</v>
      </c>
      <c r="W16" s="13">
        <f t="shared" si="3"/>
        <v>-2.33258800560927</v>
      </c>
      <c r="X16" s="13">
        <f t="shared" si="3"/>
        <v>0.234619823324414</v>
      </c>
      <c r="Y16" s="13">
        <f t="shared" si="3"/>
        <v>-0.25908607355505</v>
      </c>
      <c r="Z16" s="13">
        <f t="shared" si="3"/>
        <v>-0.870089355632988</v>
      </c>
      <c r="AA16" s="13">
        <f t="shared" si="3"/>
        <v>-0.0373674364000203</v>
      </c>
      <c r="AB16" s="13">
        <f t="shared" si="3"/>
        <v>0.615915345412901</v>
      </c>
      <c r="AC16" s="13">
        <f t="shared" si="3"/>
        <v>0.452661269075226</v>
      </c>
      <c r="AD16" s="13">
        <f t="shared" si="1"/>
        <v>0.276937881619366</v>
      </c>
      <c r="AE16" s="13">
        <f t="shared" si="3"/>
        <v>-0.623161761891593</v>
      </c>
      <c r="AF16" s="13">
        <f t="shared" si="3"/>
        <v>0.715446857404927</v>
      </c>
      <c r="AG16" s="13">
        <f t="shared" si="3"/>
        <v>-0.138768195920422</v>
      </c>
      <c r="AH16" s="13">
        <f t="shared" si="3"/>
        <v>-0.346311698593751</v>
      </c>
      <c r="AI16" s="13">
        <f t="shared" si="3"/>
        <v>-0.300155590090122</v>
      </c>
    </row>
    <row r="17" spans="1:35">
      <c r="A17" s="15" t="s">
        <v>33</v>
      </c>
      <c r="B17" s="2">
        <v>4.21751619118074</v>
      </c>
      <c r="C17" s="15"/>
      <c r="D17" s="14" t="s">
        <v>14</v>
      </c>
      <c r="E17" s="13">
        <f t="shared" si="2"/>
        <v>-3.85807927969912</v>
      </c>
      <c r="F17" s="13">
        <f t="shared" si="2"/>
        <v>-2.78769238986651</v>
      </c>
      <c r="G17" s="13">
        <f t="shared" si="2"/>
        <v>1.37220968112586</v>
      </c>
      <c r="H17" s="13">
        <f t="shared" si="2"/>
        <v>1.67359469113709</v>
      </c>
      <c r="I17" s="13">
        <f t="shared" si="2"/>
        <v>-0.0556363163133975</v>
      </c>
      <c r="J17" s="13">
        <f t="shared" si="2"/>
        <v>0.310320509601668</v>
      </c>
      <c r="K17" s="13">
        <f t="shared" si="2"/>
        <v>1.06327248371398</v>
      </c>
      <c r="L17" s="13">
        <f t="shared" si="2"/>
        <v>1.53504776346584</v>
      </c>
      <c r="M17" s="13">
        <f t="shared" si="2"/>
        <v>-4.20934207363455</v>
      </c>
      <c r="N17" s="13">
        <f t="shared" si="2"/>
        <v>-1.69206154161478</v>
      </c>
      <c r="O17" s="13">
        <f t="shared" si="2"/>
        <v>-1.26120012533658</v>
      </c>
      <c r="P17" s="13">
        <f t="shared" si="2"/>
        <v>1.73107275307547</v>
      </c>
      <c r="Q17" s="13">
        <f t="shared" si="2"/>
        <v>-0.501203490887335</v>
      </c>
      <c r="R17" s="13">
        <f t="shared" si="2"/>
        <v>1.7576131709363</v>
      </c>
      <c r="S17" s="13">
        <f t="shared" si="2"/>
        <v>0</v>
      </c>
      <c r="T17" s="13">
        <f t="shared" si="2"/>
        <v>1.54160670686909</v>
      </c>
      <c r="U17" s="13">
        <f t="shared" si="3"/>
        <v>0.875102953482659</v>
      </c>
      <c r="V17" s="13">
        <f t="shared" si="3"/>
        <v>1.42169936871419</v>
      </c>
      <c r="W17" s="13">
        <f t="shared" si="3"/>
        <v>-0.574974834672975</v>
      </c>
      <c r="X17" s="13">
        <f t="shared" si="3"/>
        <v>1.99223299426071</v>
      </c>
      <c r="Y17" s="13">
        <f t="shared" si="3"/>
        <v>1.49852709738125</v>
      </c>
      <c r="Z17" s="13">
        <f t="shared" si="3"/>
        <v>0.887523815303309</v>
      </c>
      <c r="AA17" s="13">
        <f t="shared" si="3"/>
        <v>1.72024573453628</v>
      </c>
      <c r="AB17" s="13">
        <f t="shared" si="3"/>
        <v>2.3735285163492</v>
      </c>
      <c r="AC17" s="13">
        <f t="shared" si="3"/>
        <v>2.21027444001152</v>
      </c>
      <c r="AD17" s="13">
        <f t="shared" si="1"/>
        <v>2.03455105255566</v>
      </c>
      <c r="AE17" s="13">
        <f t="shared" si="3"/>
        <v>1.1344514090447</v>
      </c>
      <c r="AF17" s="13">
        <f t="shared" si="3"/>
        <v>2.47306002834122</v>
      </c>
      <c r="AG17" s="13">
        <f t="shared" si="3"/>
        <v>1.61884497501587</v>
      </c>
      <c r="AH17" s="13">
        <f t="shared" si="3"/>
        <v>1.41130147234255</v>
      </c>
      <c r="AI17" s="13">
        <f t="shared" si="3"/>
        <v>1.45745758084617</v>
      </c>
    </row>
    <row r="18" spans="1:35">
      <c r="A18" s="15" t="s">
        <v>33</v>
      </c>
      <c r="B18" s="2">
        <v>2.67590948431165</v>
      </c>
      <c r="C18" s="15"/>
      <c r="D18" s="14" t="s">
        <v>15</v>
      </c>
      <c r="E18" s="13">
        <f t="shared" si="2"/>
        <v>-5.39968598656821</v>
      </c>
      <c r="F18" s="13">
        <f t="shared" si="2"/>
        <v>-4.32929909673561</v>
      </c>
      <c r="G18" s="13">
        <f t="shared" si="2"/>
        <v>-0.169397025743237</v>
      </c>
      <c r="H18" s="13">
        <f t="shared" si="2"/>
        <v>0.131987984268001</v>
      </c>
      <c r="I18" s="13">
        <f t="shared" si="2"/>
        <v>-1.59724302318249</v>
      </c>
      <c r="J18" s="13">
        <f t="shared" si="2"/>
        <v>-1.23128619726743</v>
      </c>
      <c r="K18" s="13">
        <f t="shared" si="2"/>
        <v>-0.478334223155113</v>
      </c>
      <c r="L18" s="13">
        <f t="shared" si="2"/>
        <v>-0.00655894340325114</v>
      </c>
      <c r="M18" s="13">
        <f t="shared" si="2"/>
        <v>-5.75094878050364</v>
      </c>
      <c r="N18" s="13">
        <f t="shared" si="2"/>
        <v>-3.23366824848387</v>
      </c>
      <c r="O18" s="13">
        <f t="shared" si="2"/>
        <v>-2.80280683220567</v>
      </c>
      <c r="P18" s="13">
        <f t="shared" si="2"/>
        <v>0.189466046206376</v>
      </c>
      <c r="Q18" s="13">
        <f t="shared" si="2"/>
        <v>-2.04281019775643</v>
      </c>
      <c r="R18" s="13">
        <f t="shared" si="2"/>
        <v>0.216006464067203</v>
      </c>
      <c r="S18" s="13">
        <f t="shared" si="2"/>
        <v>-1.54160670686909</v>
      </c>
      <c r="T18" s="13">
        <f t="shared" si="2"/>
        <v>0</v>
      </c>
      <c r="U18" s="13">
        <f t="shared" si="3"/>
        <v>-0.666503753386435</v>
      </c>
      <c r="V18" s="13">
        <f t="shared" si="3"/>
        <v>-0.119907338154899</v>
      </c>
      <c r="W18" s="13">
        <f t="shared" si="3"/>
        <v>-2.11658154154207</v>
      </c>
      <c r="X18" s="13">
        <f t="shared" si="3"/>
        <v>0.450626287391617</v>
      </c>
      <c r="Y18" s="13">
        <f t="shared" si="3"/>
        <v>-0.0430796094878465</v>
      </c>
      <c r="Z18" s="13">
        <f t="shared" si="3"/>
        <v>-0.654082891565785</v>
      </c>
      <c r="AA18" s="13">
        <f t="shared" si="3"/>
        <v>0.178639027667183</v>
      </c>
      <c r="AB18" s="13">
        <f t="shared" si="3"/>
        <v>0.831921809480104</v>
      </c>
      <c r="AC18" s="13">
        <f t="shared" si="3"/>
        <v>0.668667733142429</v>
      </c>
      <c r="AD18" s="13">
        <f t="shared" si="1"/>
        <v>0.492944345686569</v>
      </c>
      <c r="AE18" s="13">
        <f t="shared" si="3"/>
        <v>-0.40715529782439</v>
      </c>
      <c r="AF18" s="13">
        <f t="shared" si="3"/>
        <v>0.93145332147213</v>
      </c>
      <c r="AG18" s="13">
        <f t="shared" si="3"/>
        <v>0.0772382681467807</v>
      </c>
      <c r="AH18" s="13">
        <f t="shared" si="3"/>
        <v>-0.130305234526548</v>
      </c>
      <c r="AI18" s="13">
        <f t="shared" si="3"/>
        <v>-0.0841491260229188</v>
      </c>
    </row>
    <row r="19" spans="1:35">
      <c r="A19" s="15" t="s">
        <v>33</v>
      </c>
      <c r="B19" s="2">
        <v>3.34241323769808</v>
      </c>
      <c r="C19" s="15"/>
      <c r="D19" s="14" t="s">
        <v>16</v>
      </c>
      <c r="E19" s="13">
        <f t="shared" si="2"/>
        <v>-4.73318223318178</v>
      </c>
      <c r="F19" s="13">
        <f t="shared" si="2"/>
        <v>-3.66279534334917</v>
      </c>
      <c r="G19" s="13">
        <f t="shared" si="2"/>
        <v>0.497106727643197</v>
      </c>
      <c r="H19" s="13">
        <f t="shared" si="2"/>
        <v>0.798491737654435</v>
      </c>
      <c r="I19" s="13">
        <f t="shared" si="2"/>
        <v>-0.930739269796057</v>
      </c>
      <c r="J19" s="13">
        <f t="shared" si="2"/>
        <v>-0.564782443880991</v>
      </c>
      <c r="K19" s="13">
        <f t="shared" si="2"/>
        <v>0.188169530231322</v>
      </c>
      <c r="L19" s="13">
        <f t="shared" si="2"/>
        <v>0.659944809983183</v>
      </c>
      <c r="M19" s="13">
        <f t="shared" si="2"/>
        <v>-5.08444502711721</v>
      </c>
      <c r="N19" s="13">
        <f t="shared" si="2"/>
        <v>-2.56716449509744</v>
      </c>
      <c r="O19" s="13">
        <f t="shared" si="2"/>
        <v>-2.13630307881924</v>
      </c>
      <c r="P19" s="13">
        <f t="shared" si="2"/>
        <v>0.855969799592811</v>
      </c>
      <c r="Q19" s="13">
        <f t="shared" si="2"/>
        <v>-1.37630644436999</v>
      </c>
      <c r="R19" s="13">
        <f t="shared" si="2"/>
        <v>0.882510217453638</v>
      </c>
      <c r="S19" s="13">
        <f t="shared" si="2"/>
        <v>-0.875102953482659</v>
      </c>
      <c r="T19" s="13">
        <f t="shared" si="2"/>
        <v>0.666503753386435</v>
      </c>
      <c r="U19" s="13">
        <f t="shared" si="3"/>
        <v>0</v>
      </c>
      <c r="V19" s="13">
        <f t="shared" si="3"/>
        <v>0.546596415231535</v>
      </c>
      <c r="W19" s="13">
        <f t="shared" si="3"/>
        <v>-1.45007778815563</v>
      </c>
      <c r="X19" s="13">
        <f t="shared" si="3"/>
        <v>1.11713004077805</v>
      </c>
      <c r="Y19" s="13">
        <f t="shared" si="3"/>
        <v>0.623424143898588</v>
      </c>
      <c r="Z19" s="13">
        <f t="shared" si="3"/>
        <v>0.0124208618206501</v>
      </c>
      <c r="AA19" s="13">
        <f t="shared" si="3"/>
        <v>0.845142781053617</v>
      </c>
      <c r="AB19" s="13">
        <f t="shared" si="3"/>
        <v>1.49842556286654</v>
      </c>
      <c r="AC19" s="13">
        <f t="shared" si="3"/>
        <v>1.33517148652886</v>
      </c>
      <c r="AD19" s="13">
        <f t="shared" si="3"/>
        <v>1.159448099073</v>
      </c>
      <c r="AE19" s="13">
        <f t="shared" si="3"/>
        <v>0.259348455562045</v>
      </c>
      <c r="AF19" s="13">
        <f t="shared" si="3"/>
        <v>1.59795707485856</v>
      </c>
      <c r="AG19" s="13">
        <f t="shared" si="3"/>
        <v>0.743742021533215</v>
      </c>
      <c r="AH19" s="13">
        <f t="shared" si="3"/>
        <v>0.536198518859887</v>
      </c>
      <c r="AI19" s="13">
        <f t="shared" si="3"/>
        <v>0.582354627363516</v>
      </c>
    </row>
    <row r="20" spans="1:35">
      <c r="A20" s="15" t="s">
        <v>33</v>
      </c>
      <c r="B20" s="2">
        <v>2.79581682246655</v>
      </c>
      <c r="C20" s="15"/>
      <c r="D20" s="14" t="s">
        <v>17</v>
      </c>
      <c r="E20" s="13">
        <f t="shared" si="2"/>
        <v>-5.27977864841332</v>
      </c>
      <c r="F20" s="13">
        <f t="shared" si="2"/>
        <v>-4.20939175858071</v>
      </c>
      <c r="G20" s="13">
        <f t="shared" si="2"/>
        <v>-0.0494896875883382</v>
      </c>
      <c r="H20" s="13">
        <f t="shared" si="2"/>
        <v>0.2518953224229</v>
      </c>
      <c r="I20" s="13">
        <f t="shared" si="2"/>
        <v>-1.47733568502759</v>
      </c>
      <c r="J20" s="13">
        <f t="shared" si="2"/>
        <v>-1.11137885911253</v>
      </c>
      <c r="K20" s="13">
        <f t="shared" si="2"/>
        <v>-0.358426885000214</v>
      </c>
      <c r="L20" s="13">
        <f t="shared" si="2"/>
        <v>0.113348394751648</v>
      </c>
      <c r="M20" s="13">
        <f t="shared" si="2"/>
        <v>-5.63104144234874</v>
      </c>
      <c r="N20" s="13">
        <f t="shared" si="2"/>
        <v>-3.11376091032898</v>
      </c>
      <c r="O20" s="13">
        <f t="shared" si="2"/>
        <v>-2.68289949405077</v>
      </c>
      <c r="P20" s="13">
        <f t="shared" si="2"/>
        <v>0.309373384361275</v>
      </c>
      <c r="Q20" s="13">
        <f t="shared" si="2"/>
        <v>-1.92290285960153</v>
      </c>
      <c r="R20" s="13">
        <f t="shared" si="2"/>
        <v>0.335913802222102</v>
      </c>
      <c r="S20" s="13">
        <f t="shared" si="2"/>
        <v>-1.42169936871419</v>
      </c>
      <c r="T20" s="13">
        <f t="shared" si="2"/>
        <v>0.119907338154899</v>
      </c>
      <c r="U20" s="13">
        <f t="shared" si="3"/>
        <v>-0.546596415231535</v>
      </c>
      <c r="V20" s="13">
        <f t="shared" si="3"/>
        <v>0</v>
      </c>
      <c r="W20" s="13">
        <f t="shared" si="3"/>
        <v>-1.99667420338717</v>
      </c>
      <c r="X20" s="13">
        <f t="shared" si="3"/>
        <v>0.570533625546517</v>
      </c>
      <c r="Y20" s="13">
        <f t="shared" si="3"/>
        <v>0.0768277286670527</v>
      </c>
      <c r="Z20" s="13">
        <f t="shared" si="3"/>
        <v>-0.534175553410885</v>
      </c>
      <c r="AA20" s="13">
        <f t="shared" si="3"/>
        <v>0.298546365822082</v>
      </c>
      <c r="AB20" s="13">
        <f t="shared" si="3"/>
        <v>0.951829147635004</v>
      </c>
      <c r="AC20" s="13">
        <f t="shared" si="3"/>
        <v>0.788575071297328</v>
      </c>
      <c r="AD20" s="13">
        <f t="shared" si="3"/>
        <v>0.612851683841468</v>
      </c>
      <c r="AE20" s="13">
        <f t="shared" si="3"/>
        <v>-0.287247959669491</v>
      </c>
      <c r="AF20" s="13">
        <f t="shared" si="3"/>
        <v>1.05136065962703</v>
      </c>
      <c r="AG20" s="13">
        <f t="shared" si="3"/>
        <v>0.19714560630168</v>
      </c>
      <c r="AH20" s="13">
        <f t="shared" si="3"/>
        <v>-0.0103978963716487</v>
      </c>
      <c r="AI20" s="13">
        <f t="shared" si="3"/>
        <v>0.0357582121319804</v>
      </c>
    </row>
    <row r="21" spans="1:35">
      <c r="A21" s="15" t="s">
        <v>33</v>
      </c>
      <c r="B21" s="2">
        <v>4.79249102585372</v>
      </c>
      <c r="C21" s="15"/>
      <c r="D21" s="14" t="s">
        <v>18</v>
      </c>
      <c r="E21" s="13">
        <f t="shared" si="2"/>
        <v>-3.28310444502615</v>
      </c>
      <c r="F21" s="13">
        <f t="shared" si="2"/>
        <v>-2.21271755519354</v>
      </c>
      <c r="G21" s="13">
        <f t="shared" si="2"/>
        <v>1.94718451579883</v>
      </c>
      <c r="H21" s="13">
        <f t="shared" si="2"/>
        <v>2.24856952581007</v>
      </c>
      <c r="I21" s="13">
        <f t="shared" si="2"/>
        <v>0.519338518359578</v>
      </c>
      <c r="J21" s="13">
        <f t="shared" si="2"/>
        <v>0.885295344274643</v>
      </c>
      <c r="K21" s="13">
        <f t="shared" si="2"/>
        <v>1.63824731838696</v>
      </c>
      <c r="L21" s="13">
        <f t="shared" si="2"/>
        <v>2.11002259813882</v>
      </c>
      <c r="M21" s="13">
        <f t="shared" si="2"/>
        <v>-3.63436723896157</v>
      </c>
      <c r="N21" s="13">
        <f t="shared" si="2"/>
        <v>-1.11708670694181</v>
      </c>
      <c r="O21" s="13">
        <f t="shared" si="2"/>
        <v>-0.686225290663605</v>
      </c>
      <c r="P21" s="13">
        <f t="shared" si="2"/>
        <v>2.30604758774844</v>
      </c>
      <c r="Q21" s="13">
        <f t="shared" si="2"/>
        <v>0.0737713437856407</v>
      </c>
      <c r="R21" s="13">
        <f t="shared" si="2"/>
        <v>2.33258800560927</v>
      </c>
      <c r="S21" s="13">
        <f t="shared" si="2"/>
        <v>0.574974834672975</v>
      </c>
      <c r="T21" s="13">
        <f t="shared" si="2"/>
        <v>2.11658154154207</v>
      </c>
      <c r="U21" s="13">
        <f t="shared" si="3"/>
        <v>1.45007778815563</v>
      </c>
      <c r="V21" s="13">
        <f t="shared" si="3"/>
        <v>1.99667420338717</v>
      </c>
      <c r="W21" s="13">
        <f t="shared" si="3"/>
        <v>0</v>
      </c>
      <c r="X21" s="13">
        <f t="shared" si="3"/>
        <v>2.56720782893369</v>
      </c>
      <c r="Y21" s="13">
        <f t="shared" si="3"/>
        <v>2.07350193205422</v>
      </c>
      <c r="Z21" s="13">
        <f t="shared" si="3"/>
        <v>1.46249864997628</v>
      </c>
      <c r="AA21" s="13">
        <f t="shared" si="3"/>
        <v>2.29522056920925</v>
      </c>
      <c r="AB21" s="13">
        <f t="shared" si="3"/>
        <v>2.94850335102217</v>
      </c>
      <c r="AC21" s="13">
        <f t="shared" si="3"/>
        <v>2.7852492746845</v>
      </c>
      <c r="AD21" s="13">
        <f t="shared" si="3"/>
        <v>2.60952588722864</v>
      </c>
      <c r="AE21" s="13">
        <f t="shared" si="3"/>
        <v>1.70942624371768</v>
      </c>
      <c r="AF21" s="13">
        <f t="shared" si="3"/>
        <v>3.0480348630142</v>
      </c>
      <c r="AG21" s="13">
        <f t="shared" si="3"/>
        <v>2.19381980968885</v>
      </c>
      <c r="AH21" s="13">
        <f t="shared" si="3"/>
        <v>1.98627630701552</v>
      </c>
      <c r="AI21" s="13">
        <f t="shared" si="3"/>
        <v>2.03243241551915</v>
      </c>
    </row>
    <row r="22" spans="1:35">
      <c r="A22" s="15" t="s">
        <v>33</v>
      </c>
      <c r="B22" s="2">
        <v>2.22528319692003</v>
      </c>
      <c r="C22" s="15"/>
      <c r="D22" s="14" t="s">
        <v>19</v>
      </c>
      <c r="E22" s="13">
        <f t="shared" si="2"/>
        <v>-5.85031227395983</v>
      </c>
      <c r="F22" s="13">
        <f t="shared" si="2"/>
        <v>-4.77992538412722</v>
      </c>
      <c r="G22" s="13">
        <f t="shared" si="2"/>
        <v>-0.620023313134855</v>
      </c>
      <c r="H22" s="13">
        <f t="shared" si="2"/>
        <v>-0.318638303123617</v>
      </c>
      <c r="I22" s="13">
        <f t="shared" si="2"/>
        <v>-2.04786931057411</v>
      </c>
      <c r="J22" s="13">
        <f t="shared" si="2"/>
        <v>-1.68191248465904</v>
      </c>
      <c r="K22" s="13">
        <f t="shared" si="2"/>
        <v>-0.92896051054673</v>
      </c>
      <c r="L22" s="13">
        <f t="shared" si="2"/>
        <v>-0.457185230794869</v>
      </c>
      <c r="M22" s="13">
        <f t="shared" si="2"/>
        <v>-6.20157506789526</v>
      </c>
      <c r="N22" s="13">
        <f t="shared" si="2"/>
        <v>-3.68429453587549</v>
      </c>
      <c r="O22" s="13">
        <f t="shared" si="2"/>
        <v>-3.25343311959729</v>
      </c>
      <c r="P22" s="13">
        <f t="shared" si="2"/>
        <v>-0.261160241185241</v>
      </c>
      <c r="Q22" s="13">
        <f t="shared" si="2"/>
        <v>-2.49343648514805</v>
      </c>
      <c r="R22" s="13">
        <f t="shared" si="2"/>
        <v>-0.234619823324414</v>
      </c>
      <c r="S22" s="13">
        <f t="shared" si="2"/>
        <v>-1.99223299426071</v>
      </c>
      <c r="T22" s="13">
        <f t="shared" si="2"/>
        <v>-0.450626287391617</v>
      </c>
      <c r="U22" s="13">
        <f t="shared" si="3"/>
        <v>-1.11713004077805</v>
      </c>
      <c r="V22" s="13">
        <f t="shared" si="3"/>
        <v>-0.570533625546517</v>
      </c>
      <c r="W22" s="13">
        <f t="shared" si="3"/>
        <v>-2.56720782893369</v>
      </c>
      <c r="X22" s="13">
        <f t="shared" si="3"/>
        <v>0</v>
      </c>
      <c r="Y22" s="13">
        <f t="shared" si="3"/>
        <v>-0.493705896879464</v>
      </c>
      <c r="Z22" s="13">
        <f t="shared" si="3"/>
        <v>-1.1047091789574</v>
      </c>
      <c r="AA22" s="13">
        <f t="shared" si="3"/>
        <v>-0.271987259724435</v>
      </c>
      <c r="AB22" s="13">
        <f t="shared" si="3"/>
        <v>0.381295522088487</v>
      </c>
      <c r="AC22" s="13">
        <f t="shared" si="3"/>
        <v>0.218041445750812</v>
      </c>
      <c r="AD22" s="13">
        <f t="shared" si="3"/>
        <v>0.0423180582949514</v>
      </c>
      <c r="AE22" s="13">
        <f t="shared" si="3"/>
        <v>-0.857781585216007</v>
      </c>
      <c r="AF22" s="13">
        <f t="shared" si="3"/>
        <v>0.480827034080513</v>
      </c>
      <c r="AG22" s="13">
        <f t="shared" si="3"/>
        <v>-0.373388019244837</v>
      </c>
      <c r="AH22" s="13">
        <f t="shared" si="3"/>
        <v>-0.580931521918165</v>
      </c>
      <c r="AI22" s="13">
        <f t="shared" si="3"/>
        <v>-0.534775413414536</v>
      </c>
    </row>
    <row r="23" spans="1:35">
      <c r="A23" s="15" t="s">
        <v>33</v>
      </c>
      <c r="B23" s="2">
        <v>2.71898909379949</v>
      </c>
      <c r="C23" s="15"/>
      <c r="D23" s="14" t="s">
        <v>20</v>
      </c>
      <c r="E23" s="13">
        <f t="shared" si="2"/>
        <v>-5.35660637708037</v>
      </c>
      <c r="F23" s="13">
        <f t="shared" si="2"/>
        <v>-4.28621948724776</v>
      </c>
      <c r="G23" s="13">
        <f t="shared" si="2"/>
        <v>-0.126317416255391</v>
      </c>
      <c r="H23" s="13">
        <f t="shared" si="2"/>
        <v>0.175067593755847</v>
      </c>
      <c r="I23" s="13">
        <f t="shared" si="2"/>
        <v>-1.55416341369464</v>
      </c>
      <c r="J23" s="13">
        <f t="shared" si="2"/>
        <v>-1.18820658777958</v>
      </c>
      <c r="K23" s="13">
        <f t="shared" si="2"/>
        <v>-0.435254613667266</v>
      </c>
      <c r="L23" s="13">
        <f t="shared" si="2"/>
        <v>0.0365206660845954</v>
      </c>
      <c r="M23" s="13">
        <f t="shared" si="2"/>
        <v>-5.7078691710158</v>
      </c>
      <c r="N23" s="13">
        <f t="shared" si="2"/>
        <v>-3.19058863899603</v>
      </c>
      <c r="O23" s="13">
        <f t="shared" si="2"/>
        <v>-2.75972722271783</v>
      </c>
      <c r="P23" s="13">
        <f t="shared" si="2"/>
        <v>0.232545655694222</v>
      </c>
      <c r="Q23" s="13">
        <f t="shared" si="2"/>
        <v>-1.99973058826858</v>
      </c>
      <c r="R23" s="13">
        <f t="shared" si="2"/>
        <v>0.25908607355505</v>
      </c>
      <c r="S23" s="13">
        <f t="shared" si="2"/>
        <v>-1.49852709738125</v>
      </c>
      <c r="T23" s="13">
        <f t="shared" si="2"/>
        <v>0.0430796094878465</v>
      </c>
      <c r="U23" s="13">
        <f t="shared" si="3"/>
        <v>-0.623424143898588</v>
      </c>
      <c r="V23" s="13">
        <f t="shared" si="3"/>
        <v>-0.0768277286670527</v>
      </c>
      <c r="W23" s="13">
        <f t="shared" si="3"/>
        <v>-2.07350193205422</v>
      </c>
      <c r="X23" s="13">
        <f t="shared" si="3"/>
        <v>0.493705896879464</v>
      </c>
      <c r="Y23" s="13">
        <f t="shared" si="3"/>
        <v>0</v>
      </c>
      <c r="Z23" s="13">
        <f t="shared" si="3"/>
        <v>-0.611003282077938</v>
      </c>
      <c r="AA23" s="13">
        <f t="shared" si="3"/>
        <v>0.221718637155029</v>
      </c>
      <c r="AB23" s="13">
        <f t="shared" si="3"/>
        <v>0.875001418967951</v>
      </c>
      <c r="AC23" s="13">
        <f t="shared" si="3"/>
        <v>0.711747342630276</v>
      </c>
      <c r="AD23" s="13">
        <f t="shared" si="3"/>
        <v>0.536023955174415</v>
      </c>
      <c r="AE23" s="13">
        <f t="shared" si="3"/>
        <v>-0.364075688336543</v>
      </c>
      <c r="AF23" s="13">
        <f t="shared" si="3"/>
        <v>0.974532930959976</v>
      </c>
      <c r="AG23" s="13">
        <f t="shared" si="3"/>
        <v>0.120317877634627</v>
      </c>
      <c r="AH23" s="13">
        <f t="shared" si="3"/>
        <v>-0.0872256250387013</v>
      </c>
      <c r="AI23" s="13">
        <f t="shared" si="3"/>
        <v>-0.0410695165350723</v>
      </c>
    </row>
    <row r="24" spans="1:35">
      <c r="A24" s="15" t="s">
        <v>33</v>
      </c>
      <c r="B24" s="2">
        <v>3.32999237587743</v>
      </c>
      <c r="C24" s="15"/>
      <c r="D24" s="14" t="s">
        <v>21</v>
      </c>
      <c r="E24" s="13">
        <f t="shared" si="2"/>
        <v>-4.74560309500243</v>
      </c>
      <c r="F24" s="13">
        <f t="shared" si="2"/>
        <v>-3.67521620516982</v>
      </c>
      <c r="G24" s="13">
        <f t="shared" si="2"/>
        <v>0.484685865822547</v>
      </c>
      <c r="H24" s="13">
        <f t="shared" si="2"/>
        <v>0.786070875833785</v>
      </c>
      <c r="I24" s="13">
        <f t="shared" si="2"/>
        <v>-0.943160131616707</v>
      </c>
      <c r="J24" s="13">
        <f t="shared" si="2"/>
        <v>-0.577203305701641</v>
      </c>
      <c r="K24" s="13">
        <f t="shared" si="2"/>
        <v>0.175748668410672</v>
      </c>
      <c r="L24" s="13">
        <f t="shared" si="2"/>
        <v>0.647523948162533</v>
      </c>
      <c r="M24" s="13">
        <f t="shared" si="2"/>
        <v>-5.09686588893786</v>
      </c>
      <c r="N24" s="13">
        <f t="shared" si="2"/>
        <v>-2.57958535691809</v>
      </c>
      <c r="O24" s="13">
        <f t="shared" si="2"/>
        <v>-2.14872394063989</v>
      </c>
      <c r="P24" s="13">
        <f t="shared" si="2"/>
        <v>0.843548937772161</v>
      </c>
      <c r="Q24" s="13">
        <f t="shared" si="2"/>
        <v>-1.38872730619064</v>
      </c>
      <c r="R24" s="13">
        <f t="shared" si="2"/>
        <v>0.870089355632988</v>
      </c>
      <c r="S24" s="13">
        <f t="shared" si="2"/>
        <v>-0.887523815303309</v>
      </c>
      <c r="T24" s="13">
        <f t="shared" si="2"/>
        <v>0.654082891565785</v>
      </c>
      <c r="U24" s="13">
        <f t="shared" si="3"/>
        <v>-0.0124208618206501</v>
      </c>
      <c r="V24" s="13">
        <f t="shared" si="3"/>
        <v>0.534175553410885</v>
      </c>
      <c r="W24" s="13">
        <f t="shared" si="3"/>
        <v>-1.46249864997628</v>
      </c>
      <c r="X24" s="13">
        <f t="shared" si="3"/>
        <v>1.1047091789574</v>
      </c>
      <c r="Y24" s="13">
        <f t="shared" si="3"/>
        <v>0.611003282077938</v>
      </c>
      <c r="Z24" s="13">
        <f t="shared" si="3"/>
        <v>0</v>
      </c>
      <c r="AA24" s="13">
        <f t="shared" si="3"/>
        <v>0.832721919232967</v>
      </c>
      <c r="AB24" s="13">
        <f t="shared" si="3"/>
        <v>1.48600470104589</v>
      </c>
      <c r="AC24" s="13">
        <f t="shared" si="3"/>
        <v>1.32275062470821</v>
      </c>
      <c r="AD24" s="13">
        <f t="shared" si="3"/>
        <v>1.14702723725235</v>
      </c>
      <c r="AE24" s="13">
        <f t="shared" si="3"/>
        <v>0.246927593741395</v>
      </c>
      <c r="AF24" s="13">
        <f t="shared" si="3"/>
        <v>1.58553621303791</v>
      </c>
      <c r="AG24" s="13">
        <f t="shared" si="3"/>
        <v>0.731321159712565</v>
      </c>
      <c r="AH24" s="13">
        <f t="shared" si="3"/>
        <v>0.523777657039237</v>
      </c>
      <c r="AI24" s="13">
        <f t="shared" si="3"/>
        <v>0.569933765542866</v>
      </c>
    </row>
    <row r="25" spans="1:35">
      <c r="A25" s="15" t="s">
        <v>33</v>
      </c>
      <c r="B25" s="2">
        <v>2.49727045664446</v>
      </c>
      <c r="C25" s="15"/>
      <c r="D25" s="14" t="s">
        <v>22</v>
      </c>
      <c r="E25" s="13">
        <f t="shared" si="2"/>
        <v>-5.5783250142354</v>
      </c>
      <c r="F25" s="13">
        <f t="shared" si="2"/>
        <v>-4.50793812440279</v>
      </c>
      <c r="G25" s="13">
        <f t="shared" si="2"/>
        <v>-0.34803605341042</v>
      </c>
      <c r="H25" s="13">
        <f t="shared" si="2"/>
        <v>-0.0466510433991822</v>
      </c>
      <c r="I25" s="13">
        <f t="shared" si="2"/>
        <v>-1.77588205084967</v>
      </c>
      <c r="J25" s="13">
        <f t="shared" si="2"/>
        <v>-1.40992522493461</v>
      </c>
      <c r="K25" s="13">
        <f t="shared" si="2"/>
        <v>-0.656973250822296</v>
      </c>
      <c r="L25" s="13">
        <f t="shared" si="2"/>
        <v>-0.185197971070434</v>
      </c>
      <c r="M25" s="13">
        <f t="shared" si="2"/>
        <v>-5.92958780817083</v>
      </c>
      <c r="N25" s="13">
        <f t="shared" si="2"/>
        <v>-3.41230727615106</v>
      </c>
      <c r="O25" s="13">
        <f t="shared" si="2"/>
        <v>-2.98144585987286</v>
      </c>
      <c r="P25" s="13">
        <f t="shared" si="2"/>
        <v>0.0108270185391932</v>
      </c>
      <c r="Q25" s="13">
        <f t="shared" si="2"/>
        <v>-2.22144922542361</v>
      </c>
      <c r="R25" s="13">
        <f t="shared" si="2"/>
        <v>0.0373674364000203</v>
      </c>
      <c r="S25" s="13">
        <f t="shared" si="2"/>
        <v>-1.72024573453628</v>
      </c>
      <c r="T25" s="13">
        <f t="shared" si="2"/>
        <v>-0.178639027667183</v>
      </c>
      <c r="U25" s="13">
        <f t="shared" si="3"/>
        <v>-0.845142781053617</v>
      </c>
      <c r="V25" s="13">
        <f t="shared" si="3"/>
        <v>-0.298546365822082</v>
      </c>
      <c r="W25" s="13">
        <f t="shared" si="3"/>
        <v>-2.29522056920925</v>
      </c>
      <c r="X25" s="13">
        <f t="shared" si="3"/>
        <v>0.271987259724435</v>
      </c>
      <c r="Y25" s="13">
        <f t="shared" si="3"/>
        <v>-0.221718637155029</v>
      </c>
      <c r="Z25" s="13">
        <f t="shared" si="3"/>
        <v>-0.832721919232967</v>
      </c>
      <c r="AA25" s="13">
        <f t="shared" si="3"/>
        <v>0</v>
      </c>
      <c r="AB25" s="13">
        <f t="shared" si="3"/>
        <v>0.653282781812922</v>
      </c>
      <c r="AC25" s="13">
        <f t="shared" si="3"/>
        <v>0.490028705475246</v>
      </c>
      <c r="AD25" s="13">
        <f t="shared" si="3"/>
        <v>0.314305318019386</v>
      </c>
      <c r="AE25" s="13">
        <f t="shared" si="3"/>
        <v>-0.585794325491573</v>
      </c>
      <c r="AF25" s="13">
        <f t="shared" si="3"/>
        <v>0.752814293804947</v>
      </c>
      <c r="AG25" s="13">
        <f t="shared" si="3"/>
        <v>-0.101400759520402</v>
      </c>
      <c r="AH25" s="13">
        <f t="shared" si="3"/>
        <v>-0.308944262193731</v>
      </c>
      <c r="AI25" s="13">
        <f t="shared" si="3"/>
        <v>-0.262788153690102</v>
      </c>
    </row>
    <row r="26" spans="1:35">
      <c r="A26" s="15" t="s">
        <v>33</v>
      </c>
      <c r="B26" s="2">
        <v>1.84398767483154</v>
      </c>
      <c r="C26" s="15"/>
      <c r="D26" s="14" t="s">
        <v>23</v>
      </c>
      <c r="E26" s="13">
        <f t="shared" si="2"/>
        <v>-6.23160779604832</v>
      </c>
      <c r="F26" s="13">
        <f t="shared" si="2"/>
        <v>-5.16122090621571</v>
      </c>
      <c r="G26" s="13">
        <f t="shared" si="2"/>
        <v>-1.00131883522334</v>
      </c>
      <c r="H26" s="13">
        <f t="shared" si="2"/>
        <v>-0.699933825212104</v>
      </c>
      <c r="I26" s="13">
        <f t="shared" si="2"/>
        <v>-2.4291648326626</v>
      </c>
      <c r="J26" s="13">
        <f t="shared" si="2"/>
        <v>-2.06320800674753</v>
      </c>
      <c r="K26" s="13">
        <f t="shared" si="2"/>
        <v>-1.31025603263522</v>
      </c>
      <c r="L26" s="13">
        <f t="shared" si="2"/>
        <v>-0.838480752883356</v>
      </c>
      <c r="M26" s="13">
        <f t="shared" si="2"/>
        <v>-6.58287058998375</v>
      </c>
      <c r="N26" s="13">
        <f t="shared" si="2"/>
        <v>-4.06559005796398</v>
      </c>
      <c r="O26" s="13">
        <f t="shared" si="2"/>
        <v>-3.63472864168578</v>
      </c>
      <c r="P26" s="13">
        <f t="shared" si="2"/>
        <v>-0.642455763273728</v>
      </c>
      <c r="Q26" s="13">
        <f t="shared" si="2"/>
        <v>-2.87473200723653</v>
      </c>
      <c r="R26" s="13">
        <f t="shared" si="2"/>
        <v>-0.615915345412901</v>
      </c>
      <c r="S26" s="13">
        <f t="shared" si="2"/>
        <v>-2.3735285163492</v>
      </c>
      <c r="T26" s="13">
        <f t="shared" si="2"/>
        <v>-0.831921809480104</v>
      </c>
      <c r="U26" s="13">
        <f t="shared" si="3"/>
        <v>-1.49842556286654</v>
      </c>
      <c r="V26" s="13">
        <f t="shared" si="3"/>
        <v>-0.951829147635004</v>
      </c>
      <c r="W26" s="13">
        <f t="shared" si="3"/>
        <v>-2.94850335102217</v>
      </c>
      <c r="X26" s="13">
        <f t="shared" si="3"/>
        <v>-0.381295522088487</v>
      </c>
      <c r="Y26" s="13">
        <f t="shared" si="3"/>
        <v>-0.875001418967951</v>
      </c>
      <c r="Z26" s="13">
        <f t="shared" si="3"/>
        <v>-1.48600470104589</v>
      </c>
      <c r="AA26" s="13">
        <f t="shared" si="3"/>
        <v>-0.653282781812922</v>
      </c>
      <c r="AB26" s="13">
        <f t="shared" si="3"/>
        <v>0</v>
      </c>
      <c r="AC26" s="13">
        <f t="shared" si="3"/>
        <v>-0.163254076337675</v>
      </c>
      <c r="AD26" s="13">
        <f t="shared" si="3"/>
        <v>-0.338977463793536</v>
      </c>
      <c r="AE26" s="13">
        <f t="shared" si="3"/>
        <v>-1.23907710730449</v>
      </c>
      <c r="AF26" s="13">
        <f t="shared" si="3"/>
        <v>0.0995315119920255</v>
      </c>
      <c r="AG26" s="13">
        <f t="shared" si="3"/>
        <v>-0.754683541333324</v>
      </c>
      <c r="AH26" s="13">
        <f t="shared" si="3"/>
        <v>-0.962227044006652</v>
      </c>
      <c r="AI26" s="13">
        <f t="shared" si="3"/>
        <v>-0.916070935503023</v>
      </c>
    </row>
    <row r="27" spans="1:35">
      <c r="A27" s="15" t="s">
        <v>33</v>
      </c>
      <c r="B27" s="2">
        <v>2.00724175116922</v>
      </c>
      <c r="C27" s="15"/>
      <c r="D27" s="14" t="s">
        <v>24</v>
      </c>
      <c r="E27" s="13">
        <f t="shared" si="2"/>
        <v>-6.06835371971064</v>
      </c>
      <c r="F27" s="13">
        <f t="shared" si="2"/>
        <v>-4.99796682987804</v>
      </c>
      <c r="G27" s="13">
        <f t="shared" si="2"/>
        <v>-0.838064758885666</v>
      </c>
      <c r="H27" s="13">
        <f t="shared" si="2"/>
        <v>-0.536679748874429</v>
      </c>
      <c r="I27" s="13">
        <f t="shared" si="2"/>
        <v>-2.26591075632492</v>
      </c>
      <c r="J27" s="13">
        <f t="shared" si="2"/>
        <v>-1.89995393040985</v>
      </c>
      <c r="K27" s="13">
        <f t="shared" si="2"/>
        <v>-1.14700195629754</v>
      </c>
      <c r="L27" s="13">
        <f t="shared" ref="L27:AI33" si="4">$B27-L$2</f>
        <v>-0.67522667654568</v>
      </c>
      <c r="M27" s="13">
        <f t="shared" si="4"/>
        <v>-6.41961651364607</v>
      </c>
      <c r="N27" s="13">
        <f t="shared" si="4"/>
        <v>-3.9023359816263</v>
      </c>
      <c r="O27" s="13">
        <f t="shared" si="4"/>
        <v>-3.4714745653481</v>
      </c>
      <c r="P27" s="13">
        <f t="shared" si="4"/>
        <v>-0.479201686936053</v>
      </c>
      <c r="Q27" s="13">
        <f t="shared" si="4"/>
        <v>-2.71147793089886</v>
      </c>
      <c r="R27" s="13">
        <f t="shared" si="4"/>
        <v>-0.452661269075226</v>
      </c>
      <c r="S27" s="13">
        <f t="shared" si="4"/>
        <v>-2.21027444001152</v>
      </c>
      <c r="T27" s="13">
        <f t="shared" si="4"/>
        <v>-0.668667733142429</v>
      </c>
      <c r="U27" s="13">
        <f t="shared" si="4"/>
        <v>-1.33517148652886</v>
      </c>
      <c r="V27" s="13">
        <f t="shared" si="4"/>
        <v>-0.788575071297328</v>
      </c>
      <c r="W27" s="13">
        <f t="shared" si="4"/>
        <v>-2.7852492746845</v>
      </c>
      <c r="X27" s="13">
        <f t="shared" si="4"/>
        <v>-0.218041445750812</v>
      </c>
      <c r="Y27" s="13">
        <f t="shared" si="4"/>
        <v>-0.711747342630276</v>
      </c>
      <c r="Z27" s="13">
        <f t="shared" si="4"/>
        <v>-1.32275062470821</v>
      </c>
      <c r="AA27" s="13">
        <f t="shared" si="4"/>
        <v>-0.490028705475246</v>
      </c>
      <c r="AB27" s="13">
        <f t="shared" si="4"/>
        <v>0.163254076337675</v>
      </c>
      <c r="AC27" s="13">
        <f t="shared" si="4"/>
        <v>0</v>
      </c>
      <c r="AD27" s="13">
        <f t="shared" si="3"/>
        <v>-0.17572338745586</v>
      </c>
      <c r="AE27" s="13">
        <f t="shared" si="4"/>
        <v>-1.07582303096682</v>
      </c>
      <c r="AF27" s="13">
        <f t="shared" si="4"/>
        <v>0.262785588329701</v>
      </c>
      <c r="AG27" s="13">
        <f t="shared" si="4"/>
        <v>-0.591429464995648</v>
      </c>
      <c r="AH27" s="13">
        <f t="shared" si="4"/>
        <v>-0.798972967668977</v>
      </c>
      <c r="AI27" s="13">
        <f t="shared" si="4"/>
        <v>-0.752816859165348</v>
      </c>
    </row>
    <row r="28" spans="1:35">
      <c r="A28" s="15" t="s">
        <v>33</v>
      </c>
      <c r="B28" s="2">
        <v>2.18296513862508</v>
      </c>
      <c r="C28" s="15"/>
      <c r="D28" s="14" t="s">
        <v>25</v>
      </c>
      <c r="E28" s="13">
        <f t="shared" ref="E28:AI33" si="5">$B28-E$2</f>
        <v>-5.89263033225478</v>
      </c>
      <c r="F28" s="13">
        <f t="shared" si="5"/>
        <v>-4.82224344242218</v>
      </c>
      <c r="G28" s="13">
        <f t="shared" si="5"/>
        <v>-0.662341371429806</v>
      </c>
      <c r="H28" s="13">
        <f t="shared" si="5"/>
        <v>-0.360956361418568</v>
      </c>
      <c r="I28" s="13">
        <f t="shared" si="5"/>
        <v>-2.09018736886906</v>
      </c>
      <c r="J28" s="13">
        <f t="shared" si="5"/>
        <v>-1.72423054295399</v>
      </c>
      <c r="K28" s="13">
        <f t="shared" si="5"/>
        <v>-0.971278568841682</v>
      </c>
      <c r="L28" s="13">
        <f t="shared" si="5"/>
        <v>-0.49950328908982</v>
      </c>
      <c r="M28" s="13">
        <f t="shared" si="5"/>
        <v>-6.24389312619021</v>
      </c>
      <c r="N28" s="13">
        <f t="shared" si="5"/>
        <v>-3.72661259417044</v>
      </c>
      <c r="O28" s="13">
        <f t="shared" si="5"/>
        <v>-3.29575117789224</v>
      </c>
      <c r="P28" s="13">
        <f t="shared" si="5"/>
        <v>-0.303478299480193</v>
      </c>
      <c r="Q28" s="13">
        <f t="shared" si="5"/>
        <v>-2.535754543443</v>
      </c>
      <c r="R28" s="13">
        <f t="shared" si="5"/>
        <v>-0.276937881619366</v>
      </c>
      <c r="S28" s="13">
        <f t="shared" si="5"/>
        <v>-2.03455105255566</v>
      </c>
      <c r="T28" s="13">
        <f t="shared" si="5"/>
        <v>-0.492944345686569</v>
      </c>
      <c r="U28" s="13">
        <f t="shared" si="5"/>
        <v>-1.159448099073</v>
      </c>
      <c r="V28" s="13">
        <f t="shared" si="5"/>
        <v>-0.612851683841468</v>
      </c>
      <c r="W28" s="13">
        <f t="shared" si="5"/>
        <v>-2.60952588722864</v>
      </c>
      <c r="X28" s="13">
        <f t="shared" si="5"/>
        <v>-0.0423180582949514</v>
      </c>
      <c r="Y28" s="13">
        <f t="shared" si="5"/>
        <v>-0.536023955174415</v>
      </c>
      <c r="Z28" s="13">
        <f t="shared" si="5"/>
        <v>-1.14702723725235</v>
      </c>
      <c r="AA28" s="13">
        <f t="shared" si="5"/>
        <v>-0.314305318019386</v>
      </c>
      <c r="AB28" s="13">
        <f t="shared" si="5"/>
        <v>0.338977463793536</v>
      </c>
      <c r="AC28" s="13">
        <f t="shared" si="5"/>
        <v>0.17572338745586</v>
      </c>
      <c r="AD28" s="13">
        <f t="shared" si="5"/>
        <v>0</v>
      </c>
      <c r="AE28" s="13">
        <f t="shared" si="5"/>
        <v>-0.900099643510959</v>
      </c>
      <c r="AF28" s="13">
        <f t="shared" si="5"/>
        <v>0.438508975785561</v>
      </c>
      <c r="AG28" s="13">
        <f t="shared" si="5"/>
        <v>-0.415706077539788</v>
      </c>
      <c r="AH28" s="13">
        <f t="shared" si="5"/>
        <v>-0.623249580213117</v>
      </c>
      <c r="AI28" s="13">
        <f t="shared" si="5"/>
        <v>-0.577093471709488</v>
      </c>
    </row>
    <row r="29" spans="1:35">
      <c r="A29" s="15" t="s">
        <v>33</v>
      </c>
      <c r="B29" s="2">
        <v>3.08306478213604</v>
      </c>
      <c r="C29" s="15"/>
      <c r="D29" s="14" t="s">
        <v>26</v>
      </c>
      <c r="E29" s="13">
        <f t="shared" ref="E29:T33" si="6">$B29-E$2</f>
        <v>-4.99253068874382</v>
      </c>
      <c r="F29" s="13">
        <f t="shared" si="6"/>
        <v>-3.92214379891122</v>
      </c>
      <c r="G29" s="13">
        <f t="shared" si="6"/>
        <v>0.237758272081153</v>
      </c>
      <c r="H29" s="13">
        <f t="shared" si="6"/>
        <v>0.53914328209239</v>
      </c>
      <c r="I29" s="13">
        <f t="shared" si="6"/>
        <v>-1.1900877253581</v>
      </c>
      <c r="J29" s="13">
        <f t="shared" si="6"/>
        <v>-0.824130899443036</v>
      </c>
      <c r="K29" s="13">
        <f t="shared" si="6"/>
        <v>-0.0711789253307229</v>
      </c>
      <c r="L29" s="13">
        <f t="shared" si="6"/>
        <v>0.400596354421139</v>
      </c>
      <c r="M29" s="13">
        <f t="shared" si="6"/>
        <v>-5.34379348267925</v>
      </c>
      <c r="N29" s="13">
        <f t="shared" si="6"/>
        <v>-2.82651295065948</v>
      </c>
      <c r="O29" s="13">
        <f t="shared" si="6"/>
        <v>-2.39565153438128</v>
      </c>
      <c r="P29" s="13">
        <f t="shared" si="6"/>
        <v>0.596621344030766</v>
      </c>
      <c r="Q29" s="13">
        <f t="shared" si="6"/>
        <v>-1.63565489993204</v>
      </c>
      <c r="R29" s="13">
        <f t="shared" si="6"/>
        <v>0.623161761891593</v>
      </c>
      <c r="S29" s="13">
        <f t="shared" si="6"/>
        <v>-1.1344514090447</v>
      </c>
      <c r="T29" s="13">
        <f t="shared" si="6"/>
        <v>0.40715529782439</v>
      </c>
      <c r="U29" s="13">
        <f t="shared" si="4"/>
        <v>-0.259348455562045</v>
      </c>
      <c r="V29" s="13">
        <f t="shared" si="4"/>
        <v>0.287247959669491</v>
      </c>
      <c r="W29" s="13">
        <f t="shared" si="4"/>
        <v>-1.70942624371768</v>
      </c>
      <c r="X29" s="13">
        <f t="shared" si="4"/>
        <v>0.857781585216007</v>
      </c>
      <c r="Y29" s="13">
        <f t="shared" si="4"/>
        <v>0.364075688336543</v>
      </c>
      <c r="Z29" s="13">
        <f t="shared" si="4"/>
        <v>-0.246927593741395</v>
      </c>
      <c r="AA29" s="13">
        <f t="shared" si="4"/>
        <v>0.585794325491573</v>
      </c>
      <c r="AB29" s="13">
        <f t="shared" si="4"/>
        <v>1.23907710730449</v>
      </c>
      <c r="AC29" s="13">
        <f t="shared" si="4"/>
        <v>1.07582303096682</v>
      </c>
      <c r="AD29" s="13">
        <f t="shared" si="5"/>
        <v>0.900099643510959</v>
      </c>
      <c r="AE29" s="13">
        <f t="shared" si="4"/>
        <v>0</v>
      </c>
      <c r="AF29" s="13">
        <f t="shared" si="4"/>
        <v>1.33860861929652</v>
      </c>
      <c r="AG29" s="13">
        <f t="shared" si="4"/>
        <v>0.484393565971171</v>
      </c>
      <c r="AH29" s="13">
        <f t="shared" si="4"/>
        <v>0.276850063297842</v>
      </c>
      <c r="AI29" s="13">
        <f t="shared" si="4"/>
        <v>0.323006171801471</v>
      </c>
    </row>
    <row r="30" spans="1:35">
      <c r="A30" s="15" t="s">
        <v>33</v>
      </c>
      <c r="B30" s="2">
        <v>1.74445616283952</v>
      </c>
      <c r="C30" s="15"/>
      <c r="D30" s="14" t="s">
        <v>27</v>
      </c>
      <c r="E30" s="13">
        <f t="shared" si="6"/>
        <v>-6.33113930804034</v>
      </c>
      <c r="F30" s="13">
        <f t="shared" si="6"/>
        <v>-5.26075241820774</v>
      </c>
      <c r="G30" s="13">
        <f t="shared" si="6"/>
        <v>-1.10085034721537</v>
      </c>
      <c r="H30" s="13">
        <f t="shared" si="6"/>
        <v>-0.799465337204129</v>
      </c>
      <c r="I30" s="13">
        <f t="shared" si="6"/>
        <v>-2.52869634465462</v>
      </c>
      <c r="J30" s="13">
        <f t="shared" si="6"/>
        <v>-2.16273951873956</v>
      </c>
      <c r="K30" s="13">
        <f t="shared" si="6"/>
        <v>-1.40978754462724</v>
      </c>
      <c r="L30" s="13">
        <f t="shared" si="6"/>
        <v>-0.938012264875381</v>
      </c>
      <c r="M30" s="13">
        <f t="shared" si="6"/>
        <v>-6.68240210197577</v>
      </c>
      <c r="N30" s="13">
        <f t="shared" si="6"/>
        <v>-4.16512156995601</v>
      </c>
      <c r="O30" s="13">
        <f t="shared" si="6"/>
        <v>-3.7342601536778</v>
      </c>
      <c r="P30" s="13">
        <f t="shared" si="6"/>
        <v>-0.741987275265754</v>
      </c>
      <c r="Q30" s="13">
        <f t="shared" si="6"/>
        <v>-2.97426351922856</v>
      </c>
      <c r="R30" s="13">
        <f t="shared" si="6"/>
        <v>-0.715446857404927</v>
      </c>
      <c r="S30" s="13">
        <f t="shared" si="6"/>
        <v>-2.47306002834122</v>
      </c>
      <c r="T30" s="13">
        <f t="shared" si="6"/>
        <v>-0.93145332147213</v>
      </c>
      <c r="U30" s="13">
        <f t="shared" si="4"/>
        <v>-1.59795707485856</v>
      </c>
      <c r="V30" s="13">
        <f t="shared" si="4"/>
        <v>-1.05136065962703</v>
      </c>
      <c r="W30" s="13">
        <f t="shared" si="4"/>
        <v>-3.0480348630142</v>
      </c>
      <c r="X30" s="13">
        <f t="shared" si="4"/>
        <v>-0.480827034080513</v>
      </c>
      <c r="Y30" s="13">
        <f t="shared" si="4"/>
        <v>-0.974532930959976</v>
      </c>
      <c r="Z30" s="13">
        <f t="shared" si="4"/>
        <v>-1.58553621303791</v>
      </c>
      <c r="AA30" s="13">
        <f t="shared" si="4"/>
        <v>-0.752814293804947</v>
      </c>
      <c r="AB30" s="13">
        <f t="shared" si="4"/>
        <v>-0.0995315119920255</v>
      </c>
      <c r="AC30" s="13">
        <f t="shared" si="4"/>
        <v>-0.262785588329701</v>
      </c>
      <c r="AD30" s="13">
        <f t="shared" si="5"/>
        <v>-0.438508975785561</v>
      </c>
      <c r="AE30" s="13">
        <f t="shared" si="4"/>
        <v>-1.33860861929652</v>
      </c>
      <c r="AF30" s="13">
        <f t="shared" si="4"/>
        <v>0</v>
      </c>
      <c r="AG30" s="13">
        <f t="shared" si="4"/>
        <v>-0.854215053325349</v>
      </c>
      <c r="AH30" s="13">
        <f t="shared" si="4"/>
        <v>-1.06175855599868</v>
      </c>
      <c r="AI30" s="13">
        <f t="shared" si="4"/>
        <v>-1.01560244749505</v>
      </c>
    </row>
    <row r="31" spans="1:35">
      <c r="A31" s="15" t="s">
        <v>33</v>
      </c>
      <c r="B31" s="2">
        <v>2.59867121616487</v>
      </c>
      <c r="C31" s="15"/>
      <c r="D31" s="14" t="s">
        <v>28</v>
      </c>
      <c r="E31" s="13">
        <f t="shared" si="6"/>
        <v>-5.476924254715</v>
      </c>
      <c r="F31" s="13">
        <f t="shared" si="6"/>
        <v>-4.40653736488239</v>
      </c>
      <c r="G31" s="13">
        <f t="shared" si="6"/>
        <v>-0.246635293890018</v>
      </c>
      <c r="H31" s="13">
        <f t="shared" si="6"/>
        <v>0.0547497161212198</v>
      </c>
      <c r="I31" s="13">
        <f t="shared" si="6"/>
        <v>-1.67448129132927</v>
      </c>
      <c r="J31" s="13">
        <f t="shared" si="6"/>
        <v>-1.30852446541421</v>
      </c>
      <c r="K31" s="13">
        <f t="shared" si="6"/>
        <v>-0.555572491301894</v>
      </c>
      <c r="L31" s="13">
        <f t="shared" si="6"/>
        <v>-0.0837972115500318</v>
      </c>
      <c r="M31" s="13">
        <f t="shared" si="6"/>
        <v>-5.82818704865042</v>
      </c>
      <c r="N31" s="13">
        <f t="shared" si="6"/>
        <v>-3.31090651663066</v>
      </c>
      <c r="O31" s="13">
        <f t="shared" si="6"/>
        <v>-2.88004510035245</v>
      </c>
      <c r="P31" s="13">
        <f t="shared" si="6"/>
        <v>0.112227778059595</v>
      </c>
      <c r="Q31" s="13">
        <f t="shared" si="6"/>
        <v>-2.12004846590321</v>
      </c>
      <c r="R31" s="13">
        <f t="shared" si="6"/>
        <v>0.138768195920422</v>
      </c>
      <c r="S31" s="13">
        <f t="shared" si="6"/>
        <v>-1.61884497501587</v>
      </c>
      <c r="T31" s="13">
        <f t="shared" si="6"/>
        <v>-0.0772382681467807</v>
      </c>
      <c r="U31" s="13">
        <f t="shared" si="4"/>
        <v>-0.743742021533215</v>
      </c>
      <c r="V31" s="13">
        <f t="shared" si="4"/>
        <v>-0.19714560630168</v>
      </c>
      <c r="W31" s="13">
        <f t="shared" si="4"/>
        <v>-2.19381980968885</v>
      </c>
      <c r="X31" s="13">
        <f t="shared" si="4"/>
        <v>0.373388019244837</v>
      </c>
      <c r="Y31" s="13">
        <f t="shared" si="4"/>
        <v>-0.120317877634627</v>
      </c>
      <c r="Z31" s="13">
        <f t="shared" si="4"/>
        <v>-0.731321159712565</v>
      </c>
      <c r="AA31" s="13">
        <f t="shared" si="4"/>
        <v>0.101400759520402</v>
      </c>
      <c r="AB31" s="13">
        <f t="shared" si="4"/>
        <v>0.754683541333324</v>
      </c>
      <c r="AC31" s="13">
        <f t="shared" si="4"/>
        <v>0.591429464995648</v>
      </c>
      <c r="AD31" s="13">
        <f t="shared" si="5"/>
        <v>0.415706077539788</v>
      </c>
      <c r="AE31" s="13">
        <f t="shared" si="4"/>
        <v>-0.484393565971171</v>
      </c>
      <c r="AF31" s="13">
        <f t="shared" si="4"/>
        <v>0.854215053325349</v>
      </c>
      <c r="AG31" s="13">
        <f t="shared" si="4"/>
        <v>0</v>
      </c>
      <c r="AH31" s="13">
        <f t="shared" si="4"/>
        <v>-0.207543502673329</v>
      </c>
      <c r="AI31" s="13">
        <f t="shared" si="4"/>
        <v>-0.161387394169699</v>
      </c>
    </row>
    <row r="32" spans="1:35">
      <c r="A32" s="15" t="s">
        <v>33</v>
      </c>
      <c r="B32" s="2">
        <v>2.80621471883819</v>
      </c>
      <c r="C32" s="15"/>
      <c r="D32" s="14" t="s">
        <v>29</v>
      </c>
      <c r="E32" s="13">
        <f t="shared" si="6"/>
        <v>-5.26938075204167</v>
      </c>
      <c r="F32" s="13">
        <f t="shared" si="6"/>
        <v>-4.19899386220906</v>
      </c>
      <c r="G32" s="13">
        <f t="shared" si="6"/>
        <v>-0.0390917912166895</v>
      </c>
      <c r="H32" s="13">
        <f t="shared" si="6"/>
        <v>0.262293218794548</v>
      </c>
      <c r="I32" s="13">
        <f t="shared" si="6"/>
        <v>-1.46693778865594</v>
      </c>
      <c r="J32" s="13">
        <f t="shared" si="6"/>
        <v>-1.10098096274088</v>
      </c>
      <c r="K32" s="13">
        <f t="shared" si="6"/>
        <v>-0.348028988628565</v>
      </c>
      <c r="L32" s="13">
        <f t="shared" si="6"/>
        <v>0.123746291123297</v>
      </c>
      <c r="M32" s="13">
        <f t="shared" si="6"/>
        <v>-5.6206435459771</v>
      </c>
      <c r="N32" s="13">
        <f t="shared" si="6"/>
        <v>-3.10336301395733</v>
      </c>
      <c r="O32" s="13">
        <f t="shared" si="6"/>
        <v>-2.67250159767913</v>
      </c>
      <c r="P32" s="13">
        <f t="shared" si="6"/>
        <v>0.319771280732924</v>
      </c>
      <c r="Q32" s="13">
        <f t="shared" si="6"/>
        <v>-1.91250496322988</v>
      </c>
      <c r="R32" s="13">
        <f t="shared" si="6"/>
        <v>0.346311698593751</v>
      </c>
      <c r="S32" s="13">
        <f t="shared" si="6"/>
        <v>-1.41130147234255</v>
      </c>
      <c r="T32" s="13">
        <f t="shared" si="6"/>
        <v>0.130305234526548</v>
      </c>
      <c r="U32" s="13">
        <f t="shared" si="4"/>
        <v>-0.536198518859887</v>
      </c>
      <c r="V32" s="13">
        <f t="shared" si="4"/>
        <v>0.0103978963716487</v>
      </c>
      <c r="W32" s="13">
        <f t="shared" si="4"/>
        <v>-1.98627630701552</v>
      </c>
      <c r="X32" s="13">
        <f t="shared" si="4"/>
        <v>0.580931521918165</v>
      </c>
      <c r="Y32" s="13">
        <f t="shared" si="4"/>
        <v>0.0872256250387013</v>
      </c>
      <c r="Z32" s="13">
        <f t="shared" si="4"/>
        <v>-0.523777657039237</v>
      </c>
      <c r="AA32" s="13">
        <f t="shared" si="4"/>
        <v>0.308944262193731</v>
      </c>
      <c r="AB32" s="13">
        <f t="shared" si="4"/>
        <v>0.962227044006652</v>
      </c>
      <c r="AC32" s="13">
        <f t="shared" si="4"/>
        <v>0.798972967668977</v>
      </c>
      <c r="AD32" s="13">
        <f t="shared" si="5"/>
        <v>0.623249580213117</v>
      </c>
      <c r="AE32" s="13">
        <f t="shared" si="4"/>
        <v>-0.276850063297842</v>
      </c>
      <c r="AF32" s="13">
        <f t="shared" si="4"/>
        <v>1.06175855599868</v>
      </c>
      <c r="AG32" s="13">
        <f t="shared" si="4"/>
        <v>0.207543502673329</v>
      </c>
      <c r="AH32" s="13">
        <f t="shared" si="4"/>
        <v>0</v>
      </c>
      <c r="AI32" s="13">
        <f t="shared" si="4"/>
        <v>0.0461561085036291</v>
      </c>
    </row>
    <row r="33" spans="1:35">
      <c r="A33" s="15" t="s">
        <v>33</v>
      </c>
      <c r="B33" s="2">
        <v>2.76005861033457</v>
      </c>
      <c r="C33" s="15"/>
      <c r="D33" s="14" t="s">
        <v>30</v>
      </c>
      <c r="E33" s="13">
        <f t="shared" si="6"/>
        <v>-5.3155368605453</v>
      </c>
      <c r="F33" s="13">
        <f t="shared" si="6"/>
        <v>-4.24514997071269</v>
      </c>
      <c r="G33" s="13">
        <f t="shared" si="6"/>
        <v>-0.0852478997203185</v>
      </c>
      <c r="H33" s="13">
        <f t="shared" si="6"/>
        <v>0.216137110290919</v>
      </c>
      <c r="I33" s="13">
        <f t="shared" si="6"/>
        <v>-1.51309389715957</v>
      </c>
      <c r="J33" s="13">
        <f t="shared" si="6"/>
        <v>-1.14713707124451</v>
      </c>
      <c r="K33" s="13">
        <f t="shared" si="6"/>
        <v>-0.394185097132194</v>
      </c>
      <c r="L33" s="13">
        <f t="shared" si="6"/>
        <v>0.0775901826196677</v>
      </c>
      <c r="M33" s="13">
        <f t="shared" si="6"/>
        <v>-5.66679965448072</v>
      </c>
      <c r="N33" s="13">
        <f t="shared" si="6"/>
        <v>-3.14951912246096</v>
      </c>
      <c r="O33" s="13">
        <f t="shared" si="6"/>
        <v>-2.71865770618275</v>
      </c>
      <c r="P33" s="13">
        <f t="shared" si="6"/>
        <v>0.273615172229295</v>
      </c>
      <c r="Q33" s="13">
        <f t="shared" si="6"/>
        <v>-1.95866107173351</v>
      </c>
      <c r="R33" s="13">
        <f t="shared" si="6"/>
        <v>0.300155590090122</v>
      </c>
      <c r="S33" s="13">
        <f t="shared" si="6"/>
        <v>-1.45745758084617</v>
      </c>
      <c r="T33" s="13">
        <f t="shared" si="6"/>
        <v>0.0841491260229188</v>
      </c>
      <c r="U33" s="13">
        <f t="shared" si="4"/>
        <v>-0.582354627363516</v>
      </c>
      <c r="V33" s="13">
        <f t="shared" si="4"/>
        <v>-0.0357582121319804</v>
      </c>
      <c r="W33" s="13">
        <f t="shared" si="4"/>
        <v>-2.03243241551915</v>
      </c>
      <c r="X33" s="13">
        <f t="shared" si="4"/>
        <v>0.534775413414536</v>
      </c>
      <c r="Y33" s="13">
        <f t="shared" si="4"/>
        <v>0.0410695165350723</v>
      </c>
      <c r="Z33" s="13">
        <f t="shared" si="4"/>
        <v>-0.569933765542866</v>
      </c>
      <c r="AA33" s="13">
        <f t="shared" si="4"/>
        <v>0.262788153690102</v>
      </c>
      <c r="AB33" s="13">
        <f t="shared" si="4"/>
        <v>0.916070935503023</v>
      </c>
      <c r="AC33" s="13">
        <f t="shared" si="4"/>
        <v>0.752816859165348</v>
      </c>
      <c r="AD33" s="13">
        <f t="shared" si="5"/>
        <v>0.577093471709488</v>
      </c>
      <c r="AE33" s="13">
        <f t="shared" si="4"/>
        <v>-0.323006171801471</v>
      </c>
      <c r="AF33" s="13">
        <f t="shared" si="4"/>
        <v>1.01560244749505</v>
      </c>
      <c r="AG33" s="13">
        <f t="shared" si="4"/>
        <v>0.161387394169699</v>
      </c>
      <c r="AH33" s="13">
        <f t="shared" si="4"/>
        <v>-0.0461561085036291</v>
      </c>
      <c r="AI33" s="13">
        <f t="shared" si="4"/>
        <v>0</v>
      </c>
    </row>
    <row r="35" spans="2:35">
      <c r="B35" s="16" t="s">
        <v>34</v>
      </c>
      <c r="C35" s="16"/>
      <c r="E35" s="14" t="s">
        <v>0</v>
      </c>
      <c r="F35" s="14" t="s">
        <v>1</v>
      </c>
      <c r="G35" s="14" t="s">
        <v>2</v>
      </c>
      <c r="H35" s="14" t="s">
        <v>3</v>
      </c>
      <c r="I35" s="14" t="s">
        <v>4</v>
      </c>
      <c r="J35" s="14" t="s">
        <v>5</v>
      </c>
      <c r="K35" s="14" t="s">
        <v>6</v>
      </c>
      <c r="L35" s="14" t="s">
        <v>7</v>
      </c>
      <c r="M35" s="14" t="s">
        <v>8</v>
      </c>
      <c r="N35" s="14" t="s">
        <v>9</v>
      </c>
      <c r="O35" s="14" t="s">
        <v>10</v>
      </c>
      <c r="P35" s="14" t="s">
        <v>11</v>
      </c>
      <c r="Q35" s="14" t="s">
        <v>12</v>
      </c>
      <c r="R35" s="14" t="s">
        <v>13</v>
      </c>
      <c r="S35" s="14" t="s">
        <v>14</v>
      </c>
      <c r="T35" s="14" t="s">
        <v>15</v>
      </c>
      <c r="U35" s="14" t="s">
        <v>16</v>
      </c>
      <c r="V35" s="14" t="s">
        <v>17</v>
      </c>
      <c r="W35" s="14" t="s">
        <v>18</v>
      </c>
      <c r="X35" s="14" t="s">
        <v>19</v>
      </c>
      <c r="Y35" s="14" t="s">
        <v>20</v>
      </c>
      <c r="Z35" s="14" t="s">
        <v>21</v>
      </c>
      <c r="AA35" s="14" t="s">
        <v>22</v>
      </c>
      <c r="AB35" s="14" t="s">
        <v>23</v>
      </c>
      <c r="AC35" s="14" t="s">
        <v>24</v>
      </c>
      <c r="AD35" s="14" t="s">
        <v>25</v>
      </c>
      <c r="AE35" s="14" t="s">
        <v>26</v>
      </c>
      <c r="AF35" s="14" t="s">
        <v>27</v>
      </c>
      <c r="AG35" s="14" t="s">
        <v>28</v>
      </c>
      <c r="AH35" s="14" t="s">
        <v>29</v>
      </c>
      <c r="AI35" s="14" t="s">
        <v>30</v>
      </c>
    </row>
    <row r="36" spans="2:66">
      <c r="B36" s="13" t="s">
        <v>32</v>
      </c>
      <c r="D36" s="14" t="s">
        <v>0</v>
      </c>
      <c r="E36" s="13">
        <v>0</v>
      </c>
      <c r="F36" s="13">
        <f t="shared" ref="F36:AC36" si="7">1/ABS(F3)</f>
        <v>0.93424163683132</v>
      </c>
      <c r="G36" s="13">
        <f t="shared" si="7"/>
        <v>0.191194025318683</v>
      </c>
      <c r="H36" s="13">
        <f t="shared" si="7"/>
        <v>0.180777103869849</v>
      </c>
      <c r="I36" s="13">
        <f t="shared" si="7"/>
        <v>0.262988823140582</v>
      </c>
      <c r="J36" s="13">
        <f t="shared" si="7"/>
        <v>0.239900213642353</v>
      </c>
      <c r="K36" s="13">
        <f t="shared" si="7"/>
        <v>0.203196204635141</v>
      </c>
      <c r="L36" s="13">
        <f t="shared" si="7"/>
        <v>0.185421183665117</v>
      </c>
      <c r="M36" s="13">
        <f t="shared" si="7"/>
        <v>2.84687139448029</v>
      </c>
      <c r="N36" s="13">
        <f t="shared" si="7"/>
        <v>0.461676736259979</v>
      </c>
      <c r="O36" s="13">
        <f t="shared" si="7"/>
        <v>0.385077602983598</v>
      </c>
      <c r="P36" s="13">
        <f t="shared" si="7"/>
        <v>0.178918017283487</v>
      </c>
      <c r="Q36" s="13">
        <f t="shared" si="7"/>
        <v>0.297896038731288</v>
      </c>
      <c r="R36" s="13">
        <f t="shared" si="7"/>
        <v>0.178072429854461</v>
      </c>
      <c r="S36" s="13">
        <f t="shared" si="7"/>
        <v>0.259196332553847</v>
      </c>
      <c r="T36" s="13">
        <f t="shared" si="7"/>
        <v>0.185195954447631</v>
      </c>
      <c r="U36" s="13">
        <f t="shared" si="7"/>
        <v>0.211274350053446</v>
      </c>
      <c r="V36" s="13">
        <f t="shared" si="7"/>
        <v>0.189401879622457</v>
      </c>
      <c r="W36" s="13">
        <f t="shared" si="7"/>
        <v>0.304589761533473</v>
      </c>
      <c r="X36" s="13">
        <f t="shared" si="7"/>
        <v>0.170931046612857</v>
      </c>
      <c r="Y36" s="13">
        <f t="shared" si="7"/>
        <v>0.186685361888594</v>
      </c>
      <c r="Z36" s="13">
        <f t="shared" si="7"/>
        <v>0.210721373022766</v>
      </c>
      <c r="AA36" s="13">
        <f t="shared" si="7"/>
        <v>0.179265280787349</v>
      </c>
      <c r="AB36" s="13">
        <f t="shared" si="7"/>
        <v>0.160472230077467</v>
      </c>
      <c r="AC36" s="13">
        <f t="shared" si="7"/>
        <v>0.164789339281904</v>
      </c>
      <c r="AD36" s="13">
        <f t="shared" ref="AD36:AF36" si="8">1/ABS(AD3)</f>
        <v>0.16970350142724</v>
      </c>
      <c r="AE36" s="13">
        <f t="shared" si="8"/>
        <v>0.200299219442878</v>
      </c>
      <c r="AF36" s="13">
        <f t="shared" si="8"/>
        <v>0.157949454489184</v>
      </c>
      <c r="AG36" s="13">
        <f t="shared" ref="AG36:AI45" si="9">1/ABS(AG3)</f>
        <v>0.182584230398862</v>
      </c>
      <c r="AH36" s="13">
        <f t="shared" si="9"/>
        <v>0.189775620145221</v>
      </c>
      <c r="AI36" s="13">
        <f t="shared" si="9"/>
        <v>0.188127751953434</v>
      </c>
      <c r="AJ36" s="13">
        <f>SUM(E36:AI36)</f>
        <v>9.85719409843476</v>
      </c>
      <c r="AK36" s="13">
        <v>9.85719409843476</v>
      </c>
      <c r="AL36" s="13">
        <v>9.85719409843476</v>
      </c>
      <c r="AM36" s="13">
        <v>9.85719409843476</v>
      </c>
      <c r="AN36" s="13">
        <v>9.85719409843476</v>
      </c>
      <c r="AO36" s="13">
        <v>9.85719409843476</v>
      </c>
      <c r="AP36" s="13">
        <v>9.85719409843476</v>
      </c>
      <c r="AQ36" s="13">
        <v>9.85719409843476</v>
      </c>
      <c r="AR36" s="13">
        <v>9.85719409843476</v>
      </c>
      <c r="AS36" s="13">
        <v>9.85719409843476</v>
      </c>
      <c r="AT36" s="13">
        <v>9.85719409843476</v>
      </c>
      <c r="AU36" s="13">
        <v>9.85719409843476</v>
      </c>
      <c r="AV36" s="13">
        <v>9.85719409843476</v>
      </c>
      <c r="AW36" s="13">
        <v>9.85719409843476</v>
      </c>
      <c r="AX36" s="13">
        <v>9.85719409843476</v>
      </c>
      <c r="AY36" s="13">
        <v>9.85719409843476</v>
      </c>
      <c r="AZ36" s="13">
        <v>9.85719409843476</v>
      </c>
      <c r="BA36" s="13">
        <v>9.85719409843476</v>
      </c>
      <c r="BB36" s="13">
        <v>9.85719409843476</v>
      </c>
      <c r="BC36" s="13">
        <v>9.85719409843476</v>
      </c>
      <c r="BD36" s="13">
        <v>9.85719409843476</v>
      </c>
      <c r="BE36" s="13">
        <v>9.85719409843476</v>
      </c>
      <c r="BF36" s="13">
        <v>9.85719409843476</v>
      </c>
      <c r="BG36" s="13">
        <v>9.85719409843476</v>
      </c>
      <c r="BH36" s="13">
        <v>9.85719409843476</v>
      </c>
      <c r="BI36" s="13">
        <v>9.85719409843476</v>
      </c>
      <c r="BJ36" s="13">
        <v>9.85719409843476</v>
      </c>
      <c r="BK36" s="13">
        <v>9.85719409843476</v>
      </c>
      <c r="BL36" s="13">
        <v>9.85719409843476</v>
      </c>
      <c r="BM36" s="13">
        <v>9.85719409843476</v>
      </c>
      <c r="BN36" s="13">
        <v>9.85719409843476</v>
      </c>
    </row>
    <row r="37" spans="4:66">
      <c r="D37" s="14" t="s">
        <v>1</v>
      </c>
      <c r="E37" s="13">
        <f t="shared" ref="E37:E66" si="10">1/ABS(E4)</f>
        <v>0.934241636831317</v>
      </c>
      <c r="F37" s="13">
        <v>0</v>
      </c>
      <c r="G37" s="13">
        <f t="shared" ref="G37:AC37" si="11">1/ABS(G4)</f>
        <v>0.240390274322358</v>
      </c>
      <c r="H37" s="13">
        <f t="shared" si="11"/>
        <v>0.224150560554162</v>
      </c>
      <c r="I37" s="13">
        <f t="shared" si="11"/>
        <v>0.366024698277686</v>
      </c>
      <c r="J37" s="13">
        <f t="shared" si="11"/>
        <v>0.322787552037522</v>
      </c>
      <c r="K37" s="13">
        <f t="shared" si="11"/>
        <v>0.259675180851555</v>
      </c>
      <c r="L37" s="13">
        <f t="shared" si="11"/>
        <v>0.231334747065264</v>
      </c>
      <c r="M37" s="13">
        <f t="shared" si="11"/>
        <v>0.703408168283436</v>
      </c>
      <c r="N37" s="13">
        <f t="shared" si="11"/>
        <v>0.912716177712294</v>
      </c>
      <c r="O37" s="13">
        <f t="shared" si="11"/>
        <v>0.655096670475391</v>
      </c>
      <c r="P37" s="13">
        <f t="shared" si="11"/>
        <v>0.221299396708398</v>
      </c>
      <c r="Q37" s="13">
        <f t="shared" si="11"/>
        <v>0.437351784409038</v>
      </c>
      <c r="R37" s="13">
        <f t="shared" si="11"/>
        <v>0.220007211093499</v>
      </c>
      <c r="S37" s="13">
        <f t="shared" si="11"/>
        <v>0.358719636224958</v>
      </c>
      <c r="T37" s="13">
        <f t="shared" si="11"/>
        <v>0.230984271970034</v>
      </c>
      <c r="U37" s="13">
        <f t="shared" si="11"/>
        <v>0.273015526738555</v>
      </c>
      <c r="V37" s="13">
        <f t="shared" si="11"/>
        <v>0.237564013366428</v>
      </c>
      <c r="W37" s="13">
        <f t="shared" si="11"/>
        <v>0.451932962547736</v>
      </c>
      <c r="X37" s="13">
        <f t="shared" si="11"/>
        <v>0.209208286665042</v>
      </c>
      <c r="Y37" s="13">
        <f t="shared" si="11"/>
        <v>0.233305831158477</v>
      </c>
      <c r="Z37" s="13">
        <f t="shared" si="11"/>
        <v>0.272092835951618</v>
      </c>
      <c r="AA37" s="13">
        <f t="shared" si="11"/>
        <v>0.221830906370854</v>
      </c>
      <c r="AB37" s="13">
        <f t="shared" si="11"/>
        <v>0.193752605860309</v>
      </c>
      <c r="AC37" s="13">
        <f t="shared" si="11"/>
        <v>0.200081359888577</v>
      </c>
      <c r="AD37" s="13">
        <f t="shared" ref="AD37" si="12">1/ABS(AD4)</f>
        <v>0.207372359346858</v>
      </c>
      <c r="AE37" s="13">
        <f t="shared" ref="AE37:AF45" si="13">1/ABS(AE4)</f>
        <v>0.254962604960481</v>
      </c>
      <c r="AF37" s="13">
        <f t="shared" si="13"/>
        <v>0.190086877409199</v>
      </c>
      <c r="AG37" s="13">
        <f t="shared" si="9"/>
        <v>0.226935554426347</v>
      </c>
      <c r="AH37" s="13">
        <f t="shared" si="9"/>
        <v>0.238152289051908</v>
      </c>
      <c r="AI37" s="13">
        <f t="shared" si="9"/>
        <v>0.235562938152717</v>
      </c>
      <c r="AJ37" s="13">
        <f t="shared" ref="AJ37:AJ66" si="14">SUM(E37:AI37)</f>
        <v>9.96404491871202</v>
      </c>
      <c r="AK37" s="13">
        <v>9.96404491871202</v>
      </c>
      <c r="AL37" s="13">
        <v>9.96404491871202</v>
      </c>
      <c r="AM37" s="13">
        <v>9.96404491871202</v>
      </c>
      <c r="AN37" s="13">
        <v>9.96404491871202</v>
      </c>
      <c r="AO37" s="13">
        <v>9.96404491871202</v>
      </c>
      <c r="AP37" s="13">
        <v>9.96404491871202</v>
      </c>
      <c r="AQ37" s="13">
        <v>9.96404491871202</v>
      </c>
      <c r="AR37" s="13">
        <v>9.96404491871202</v>
      </c>
      <c r="AS37" s="13">
        <v>9.96404491871202</v>
      </c>
      <c r="AT37" s="13">
        <v>9.96404491871202</v>
      </c>
      <c r="AU37" s="13">
        <v>9.96404491871202</v>
      </c>
      <c r="AV37" s="13">
        <v>9.96404491871202</v>
      </c>
      <c r="AW37" s="13">
        <v>9.96404491871202</v>
      </c>
      <c r="AX37" s="13">
        <v>9.96404491871202</v>
      </c>
      <c r="AY37" s="13">
        <v>9.96404491871202</v>
      </c>
      <c r="AZ37" s="13">
        <v>9.96404491871202</v>
      </c>
      <c r="BA37" s="13">
        <v>9.96404491871202</v>
      </c>
      <c r="BB37" s="13">
        <v>9.96404491871202</v>
      </c>
      <c r="BC37" s="13">
        <v>9.96404491871202</v>
      </c>
      <c r="BD37" s="13">
        <v>9.96404491871202</v>
      </c>
      <c r="BE37" s="13">
        <v>9.96404491871202</v>
      </c>
      <c r="BF37" s="13">
        <v>9.96404491871202</v>
      </c>
      <c r="BG37" s="13">
        <v>9.96404491871202</v>
      </c>
      <c r="BH37" s="13">
        <v>9.96404491871202</v>
      </c>
      <c r="BI37" s="13">
        <v>9.96404491871202</v>
      </c>
      <c r="BJ37" s="13">
        <v>9.96404491871202</v>
      </c>
      <c r="BK37" s="13">
        <v>9.96404491871202</v>
      </c>
      <c r="BL37" s="13">
        <v>9.96404491871202</v>
      </c>
      <c r="BM37" s="13">
        <v>9.96404491871202</v>
      </c>
      <c r="BN37" s="13">
        <v>9.96404491871202</v>
      </c>
    </row>
    <row r="38" spans="4:66">
      <c r="D38" s="14" t="s">
        <v>2</v>
      </c>
      <c r="E38" s="13">
        <f t="shared" si="10"/>
        <v>0.191194025318683</v>
      </c>
      <c r="F38" s="13">
        <f t="shared" ref="F38:F60" si="15">1/ABS(F5)</f>
        <v>0.240390274322358</v>
      </c>
      <c r="G38" s="13">
        <v>0</v>
      </c>
      <c r="H38" s="13">
        <f t="shared" ref="H38:AC38" si="16">1/ABS(H5)</f>
        <v>3.31801505311333</v>
      </c>
      <c r="I38" s="13">
        <f t="shared" si="16"/>
        <v>0.700355641850335</v>
      </c>
      <c r="J38" s="13">
        <f t="shared" si="16"/>
        <v>0.941717861728117</v>
      </c>
      <c r="K38" s="13">
        <f t="shared" si="16"/>
        <v>3.23690383798879</v>
      </c>
      <c r="L38" s="13">
        <f t="shared" si="16"/>
        <v>6.14106961731544</v>
      </c>
      <c r="M38" s="13">
        <f t="shared" si="16"/>
        <v>0.179161646068608</v>
      </c>
      <c r="N38" s="13">
        <f t="shared" si="16"/>
        <v>0.326341869668317</v>
      </c>
      <c r="O38" s="13">
        <f t="shared" si="16"/>
        <v>0.37973580775236</v>
      </c>
      <c r="P38" s="13">
        <f t="shared" si="16"/>
        <v>2.78657816355205</v>
      </c>
      <c r="Q38" s="13">
        <f t="shared" si="16"/>
        <v>0.533785080055452</v>
      </c>
      <c r="R38" s="13">
        <f t="shared" si="16"/>
        <v>2.59468330318401</v>
      </c>
      <c r="S38" s="13">
        <f t="shared" si="16"/>
        <v>0.72875159952197</v>
      </c>
      <c r="T38" s="13">
        <f t="shared" si="16"/>
        <v>5.90329136897448</v>
      </c>
      <c r="U38" s="13">
        <f t="shared" si="16"/>
        <v>2.01164044739656</v>
      </c>
      <c r="V38" s="13">
        <f t="shared" si="16"/>
        <v>20.2062297971677</v>
      </c>
      <c r="W38" s="13">
        <f t="shared" si="16"/>
        <v>0.513562013197168</v>
      </c>
      <c r="X38" s="13">
        <f t="shared" si="16"/>
        <v>1.61284257997328</v>
      </c>
      <c r="Y38" s="13">
        <f t="shared" si="16"/>
        <v>7.91656471169567</v>
      </c>
      <c r="Z38" s="13">
        <f t="shared" si="16"/>
        <v>2.0631919981882</v>
      </c>
      <c r="AA38" s="13">
        <f t="shared" si="16"/>
        <v>2.87326554304061</v>
      </c>
      <c r="AB38" s="13">
        <f t="shared" si="16"/>
        <v>0.998682901812141</v>
      </c>
      <c r="AC38" s="13">
        <f t="shared" si="16"/>
        <v>1.19322521248794</v>
      </c>
      <c r="AD38" s="13">
        <f t="shared" ref="AD38" si="17">1/ABS(AD5)</f>
        <v>1.5097954667112</v>
      </c>
      <c r="AE38" s="13">
        <f t="shared" si="13"/>
        <v>4.20595250481412</v>
      </c>
      <c r="AF38" s="13">
        <f t="shared" si="13"/>
        <v>0.908388685646082</v>
      </c>
      <c r="AG38" s="13">
        <f t="shared" si="9"/>
        <v>4.05456974234162</v>
      </c>
      <c r="AH38" s="13">
        <f t="shared" si="9"/>
        <v>25.5808180918829</v>
      </c>
      <c r="AI38" s="13">
        <f t="shared" si="9"/>
        <v>11.7304942793993</v>
      </c>
      <c r="AJ38" s="13">
        <f t="shared" si="14"/>
        <v>115.581199126169</v>
      </c>
      <c r="AK38" s="13">
        <v>115.581199126169</v>
      </c>
      <c r="AL38" s="13">
        <v>115.581199126169</v>
      </c>
      <c r="AM38" s="13">
        <v>115.581199126169</v>
      </c>
      <c r="AN38" s="13">
        <v>115.581199126169</v>
      </c>
      <c r="AO38" s="13">
        <v>115.581199126169</v>
      </c>
      <c r="AP38" s="13">
        <v>115.581199126169</v>
      </c>
      <c r="AQ38" s="13">
        <v>115.581199126169</v>
      </c>
      <c r="AR38" s="13">
        <v>115.581199126169</v>
      </c>
      <c r="AS38" s="13">
        <v>115.581199126169</v>
      </c>
      <c r="AT38" s="13">
        <v>115.581199126169</v>
      </c>
      <c r="AU38" s="13">
        <v>115.581199126169</v>
      </c>
      <c r="AV38" s="13">
        <v>115.581199126169</v>
      </c>
      <c r="AW38" s="13">
        <v>115.581199126169</v>
      </c>
      <c r="AX38" s="13">
        <v>115.581199126169</v>
      </c>
      <c r="AY38" s="13">
        <v>115.581199126169</v>
      </c>
      <c r="AZ38" s="13">
        <v>115.581199126169</v>
      </c>
      <c r="BA38" s="13">
        <v>115.581199126169</v>
      </c>
      <c r="BB38" s="13">
        <v>115.581199126169</v>
      </c>
      <c r="BC38" s="13">
        <v>115.581199126169</v>
      </c>
      <c r="BD38" s="13">
        <v>115.581199126169</v>
      </c>
      <c r="BE38" s="13">
        <v>115.581199126169</v>
      </c>
      <c r="BF38" s="13">
        <v>115.581199126169</v>
      </c>
      <c r="BG38" s="13">
        <v>115.581199126169</v>
      </c>
      <c r="BH38" s="13">
        <v>115.581199126169</v>
      </c>
      <c r="BI38" s="13">
        <v>115.581199126169</v>
      </c>
      <c r="BJ38" s="13">
        <v>115.581199126169</v>
      </c>
      <c r="BK38" s="13">
        <v>115.581199126169</v>
      </c>
      <c r="BL38" s="13">
        <v>115.581199126169</v>
      </c>
      <c r="BM38" s="13">
        <v>115.581199126169</v>
      </c>
      <c r="BN38" s="13">
        <v>115.581199126169</v>
      </c>
    </row>
    <row r="39" spans="4:66">
      <c r="D39" s="14" t="s">
        <v>3</v>
      </c>
      <c r="E39" s="13">
        <f t="shared" si="10"/>
        <v>0.180777103869849</v>
      </c>
      <c r="F39" s="13">
        <f t="shared" si="15"/>
        <v>0.224150560554162</v>
      </c>
      <c r="G39" s="13">
        <f t="shared" ref="G39:G60" si="18">1/ABS(G6)</f>
        <v>3.31801505311333</v>
      </c>
      <c r="H39" s="13">
        <v>0</v>
      </c>
      <c r="I39" s="13">
        <f t="shared" ref="I39:AC39" si="19">1/ABS(I6)</f>
        <v>0.578291735280852</v>
      </c>
      <c r="J39" s="13">
        <f t="shared" si="19"/>
        <v>0.733528158564348</v>
      </c>
      <c r="K39" s="13">
        <f t="shared" si="19"/>
        <v>1.63847880322457</v>
      </c>
      <c r="L39" s="13">
        <f t="shared" si="19"/>
        <v>7.21777102392938</v>
      </c>
      <c r="M39" s="13">
        <f t="shared" si="19"/>
        <v>0.169983129172529</v>
      </c>
      <c r="N39" s="13">
        <f t="shared" si="19"/>
        <v>0.297118876927715</v>
      </c>
      <c r="O39" s="13">
        <f t="shared" si="19"/>
        <v>0.340739323371696</v>
      </c>
      <c r="P39" s="13">
        <f t="shared" si="19"/>
        <v>17.3979422109281</v>
      </c>
      <c r="Q39" s="13">
        <f t="shared" si="19"/>
        <v>0.459812780912453</v>
      </c>
      <c r="R39" s="13">
        <f t="shared" si="19"/>
        <v>11.9021434616518</v>
      </c>
      <c r="S39" s="13">
        <f t="shared" si="19"/>
        <v>0.597516235738396</v>
      </c>
      <c r="T39" s="13">
        <f t="shared" si="19"/>
        <v>7.57644724666382</v>
      </c>
      <c r="U39" s="13">
        <f t="shared" si="19"/>
        <v>1.25236111138419</v>
      </c>
      <c r="V39" s="13">
        <f t="shared" si="19"/>
        <v>3.96990301519426</v>
      </c>
      <c r="W39" s="13">
        <f t="shared" si="19"/>
        <v>0.444727187005587</v>
      </c>
      <c r="X39" s="13">
        <f t="shared" si="19"/>
        <v>3.13835464913346</v>
      </c>
      <c r="Y39" s="13">
        <f t="shared" si="19"/>
        <v>5.71207942341757</v>
      </c>
      <c r="Z39" s="13">
        <f t="shared" si="19"/>
        <v>1.27214991770214</v>
      </c>
      <c r="AA39" s="13">
        <f t="shared" si="19"/>
        <v>21.4357477804565</v>
      </c>
      <c r="AB39" s="13">
        <f t="shared" si="19"/>
        <v>1.42870649192724</v>
      </c>
      <c r="AC39" s="13">
        <f t="shared" si="19"/>
        <v>1.86330861579422</v>
      </c>
      <c r="AD39" s="13">
        <f t="shared" ref="AD39" si="20">1/ABS(AD6)</f>
        <v>2.77041799753846</v>
      </c>
      <c r="AE39" s="13">
        <f t="shared" si="13"/>
        <v>1.85479451050386</v>
      </c>
      <c r="AF39" s="13">
        <f t="shared" si="13"/>
        <v>1.25083596932067</v>
      </c>
      <c r="AG39" s="13">
        <f t="shared" si="9"/>
        <v>18.2649348863459</v>
      </c>
      <c r="AH39" s="13">
        <f t="shared" si="9"/>
        <v>3.81252708169817</v>
      </c>
      <c r="AI39" s="13">
        <f t="shared" si="9"/>
        <v>4.62669274449911</v>
      </c>
      <c r="AJ39" s="13">
        <f t="shared" si="14"/>
        <v>125.730257085824</v>
      </c>
      <c r="AK39" s="13">
        <v>125.730257085824</v>
      </c>
      <c r="AL39" s="13">
        <v>125.730257085824</v>
      </c>
      <c r="AM39" s="13">
        <v>125.730257085824</v>
      </c>
      <c r="AN39" s="13">
        <v>125.730257085824</v>
      </c>
      <c r="AO39" s="13">
        <v>125.730257085824</v>
      </c>
      <c r="AP39" s="13">
        <v>125.730257085824</v>
      </c>
      <c r="AQ39" s="13">
        <v>125.730257085824</v>
      </c>
      <c r="AR39" s="13">
        <v>125.730257085824</v>
      </c>
      <c r="AS39" s="13">
        <v>125.730257085824</v>
      </c>
      <c r="AT39" s="13">
        <v>125.730257085824</v>
      </c>
      <c r="AU39" s="13">
        <v>125.730257085824</v>
      </c>
      <c r="AV39" s="13">
        <v>125.730257085824</v>
      </c>
      <c r="AW39" s="13">
        <v>125.730257085824</v>
      </c>
      <c r="AX39" s="13">
        <v>125.730257085824</v>
      </c>
      <c r="AY39" s="13">
        <v>125.730257085824</v>
      </c>
      <c r="AZ39" s="13">
        <v>125.730257085824</v>
      </c>
      <c r="BA39" s="13">
        <v>125.730257085824</v>
      </c>
      <c r="BB39" s="13">
        <v>125.730257085824</v>
      </c>
      <c r="BC39" s="13">
        <v>125.730257085824</v>
      </c>
      <c r="BD39" s="13">
        <v>125.730257085824</v>
      </c>
      <c r="BE39" s="13">
        <v>125.730257085824</v>
      </c>
      <c r="BF39" s="13">
        <v>125.730257085824</v>
      </c>
      <c r="BG39" s="13">
        <v>125.730257085824</v>
      </c>
      <c r="BH39" s="13">
        <v>125.730257085824</v>
      </c>
      <c r="BI39" s="13">
        <v>125.730257085824</v>
      </c>
      <c r="BJ39" s="13">
        <v>125.730257085824</v>
      </c>
      <c r="BK39" s="13">
        <v>125.730257085824</v>
      </c>
      <c r="BL39" s="13">
        <v>125.730257085824</v>
      </c>
      <c r="BM39" s="13">
        <v>125.730257085824</v>
      </c>
      <c r="BN39" s="13">
        <v>125.730257085824</v>
      </c>
    </row>
    <row r="40" spans="4:66">
      <c r="D40" s="14" t="s">
        <v>4</v>
      </c>
      <c r="E40" s="13">
        <f t="shared" si="10"/>
        <v>0.262988823140583</v>
      </c>
      <c r="F40" s="13">
        <f t="shared" si="15"/>
        <v>0.366024698277686</v>
      </c>
      <c r="G40" s="13">
        <f t="shared" si="18"/>
        <v>0.700355641850335</v>
      </c>
      <c r="H40" s="13">
        <f t="shared" ref="H40:H60" si="21">1/ABS(H7)</f>
        <v>0.578291735280852</v>
      </c>
      <c r="I40" s="13">
        <v>0</v>
      </c>
      <c r="J40" s="13">
        <f t="shared" ref="J40:AC40" si="22">1/ABS(J7)</f>
        <v>2.73256277567586</v>
      </c>
      <c r="K40" s="13">
        <f t="shared" si="22"/>
        <v>0.893727889150153</v>
      </c>
      <c r="L40" s="13">
        <f t="shared" si="22"/>
        <v>0.628660343503773</v>
      </c>
      <c r="M40" s="13">
        <f t="shared" si="22"/>
        <v>0.240748877851408</v>
      </c>
      <c r="N40" s="13">
        <f t="shared" si="22"/>
        <v>0.611088111169777</v>
      </c>
      <c r="O40" s="13">
        <f t="shared" si="22"/>
        <v>0.829487408725597</v>
      </c>
      <c r="P40" s="13">
        <f t="shared" si="22"/>
        <v>0.559688209531529</v>
      </c>
      <c r="Q40" s="13">
        <f t="shared" si="22"/>
        <v>2.24433050068427</v>
      </c>
      <c r="R40" s="13">
        <f t="shared" si="22"/>
        <v>0.551496088669399</v>
      </c>
      <c r="S40" s="13">
        <f t="shared" si="22"/>
        <v>17.9738714972974</v>
      </c>
      <c r="T40" s="13">
        <f t="shared" si="22"/>
        <v>0.626078802966069</v>
      </c>
      <c r="U40" s="13">
        <f t="shared" si="22"/>
        <v>1.07441475013633</v>
      </c>
      <c r="V40" s="13">
        <f t="shared" si="22"/>
        <v>0.676894229344581</v>
      </c>
      <c r="W40" s="13">
        <f t="shared" si="22"/>
        <v>1.92552634678182</v>
      </c>
      <c r="X40" s="13">
        <f t="shared" si="22"/>
        <v>0.488312410775693</v>
      </c>
      <c r="Y40" s="13">
        <f t="shared" si="22"/>
        <v>0.643432982135864</v>
      </c>
      <c r="Z40" s="13">
        <f t="shared" si="22"/>
        <v>1.06026534252022</v>
      </c>
      <c r="AA40" s="13">
        <f t="shared" si="22"/>
        <v>0.56310046014686</v>
      </c>
      <c r="AB40" s="13">
        <f t="shared" si="22"/>
        <v>0.411664118693792</v>
      </c>
      <c r="AC40" s="13">
        <f t="shared" si="22"/>
        <v>0.441323647548194</v>
      </c>
      <c r="AD40" s="13">
        <f t="shared" ref="AD40" si="23">1/ABS(AD7)</f>
        <v>0.478426008545383</v>
      </c>
      <c r="AE40" s="13">
        <f t="shared" si="13"/>
        <v>0.840274190458604</v>
      </c>
      <c r="AF40" s="13">
        <f t="shared" si="13"/>
        <v>0.395460689502671</v>
      </c>
      <c r="AG40" s="13">
        <f t="shared" si="9"/>
        <v>0.597199864327035</v>
      </c>
      <c r="AH40" s="13">
        <f t="shared" si="9"/>
        <v>0.681692166997915</v>
      </c>
      <c r="AI40" s="13">
        <f t="shared" si="9"/>
        <v>0.660897517250735</v>
      </c>
      <c r="AJ40" s="13">
        <f t="shared" si="14"/>
        <v>40.7382861289404</v>
      </c>
      <c r="AK40" s="13">
        <v>40.7382861289404</v>
      </c>
      <c r="AL40" s="13">
        <v>40.7382861289404</v>
      </c>
      <c r="AM40" s="13">
        <v>40.7382861289404</v>
      </c>
      <c r="AN40" s="13">
        <v>40.7382861289404</v>
      </c>
      <c r="AO40" s="13">
        <v>40.7382861289404</v>
      </c>
      <c r="AP40" s="13">
        <v>40.7382861289404</v>
      </c>
      <c r="AQ40" s="13">
        <v>40.7382861289404</v>
      </c>
      <c r="AR40" s="13">
        <v>40.7382861289404</v>
      </c>
      <c r="AS40" s="13">
        <v>40.7382861289404</v>
      </c>
      <c r="AT40" s="13">
        <v>40.7382861289404</v>
      </c>
      <c r="AU40" s="13">
        <v>40.7382861289404</v>
      </c>
      <c r="AV40" s="13">
        <v>40.7382861289404</v>
      </c>
      <c r="AW40" s="13">
        <v>40.7382861289404</v>
      </c>
      <c r="AX40" s="13">
        <v>40.7382861289404</v>
      </c>
      <c r="AY40" s="13">
        <v>40.7382861289404</v>
      </c>
      <c r="AZ40" s="13">
        <v>40.7382861289404</v>
      </c>
      <c r="BA40" s="13">
        <v>40.7382861289404</v>
      </c>
      <c r="BB40" s="13">
        <v>40.7382861289404</v>
      </c>
      <c r="BC40" s="13">
        <v>40.7382861289404</v>
      </c>
      <c r="BD40" s="13">
        <v>40.7382861289404</v>
      </c>
      <c r="BE40" s="13">
        <v>40.7382861289404</v>
      </c>
      <c r="BF40" s="13">
        <v>40.7382861289404</v>
      </c>
      <c r="BG40" s="13">
        <v>40.7382861289404</v>
      </c>
      <c r="BH40" s="13">
        <v>40.7382861289404</v>
      </c>
      <c r="BI40" s="13">
        <v>40.7382861289404</v>
      </c>
      <c r="BJ40" s="13">
        <v>40.7382861289404</v>
      </c>
      <c r="BK40" s="13">
        <v>40.7382861289404</v>
      </c>
      <c r="BL40" s="13">
        <v>40.7382861289404</v>
      </c>
      <c r="BM40" s="13">
        <v>40.7382861289404</v>
      </c>
      <c r="BN40" s="13">
        <v>40.7382861289404</v>
      </c>
    </row>
    <row r="41" spans="4:66">
      <c r="D41" s="14" t="s">
        <v>5</v>
      </c>
      <c r="E41" s="13">
        <f t="shared" si="10"/>
        <v>0.239900213642353</v>
      </c>
      <c r="F41" s="13">
        <f t="shared" si="15"/>
        <v>0.322787552037522</v>
      </c>
      <c r="G41" s="13">
        <f t="shared" si="18"/>
        <v>0.941717861728117</v>
      </c>
      <c r="H41" s="13">
        <f t="shared" si="21"/>
        <v>0.733528158564348</v>
      </c>
      <c r="I41" s="13">
        <f t="shared" ref="I41:I60" si="24">1/ABS(I8)</f>
        <v>2.73256277567586</v>
      </c>
      <c r="J41" s="13">
        <v>0</v>
      </c>
      <c r="K41" s="13">
        <f t="shared" ref="K41:AC41" si="25">1/ABS(K8)</f>
        <v>1.32810595413996</v>
      </c>
      <c r="L41" s="13">
        <f t="shared" si="25"/>
        <v>0.816508326114953</v>
      </c>
      <c r="M41" s="13">
        <f t="shared" si="25"/>
        <v>0.221255454712278</v>
      </c>
      <c r="N41" s="13">
        <f t="shared" si="25"/>
        <v>0.499405195623132</v>
      </c>
      <c r="O41" s="13">
        <f t="shared" si="25"/>
        <v>0.63632635663056</v>
      </c>
      <c r="P41" s="13">
        <f t="shared" si="25"/>
        <v>0.703852487014172</v>
      </c>
      <c r="Q41" s="13">
        <f t="shared" si="25"/>
        <v>1.23224944597748</v>
      </c>
      <c r="R41" s="13">
        <f t="shared" si="25"/>
        <v>0.690945257110503</v>
      </c>
      <c r="S41" s="13">
        <f t="shared" si="25"/>
        <v>3.22247472873648</v>
      </c>
      <c r="T41" s="13">
        <f t="shared" si="25"/>
        <v>0.812158864624069</v>
      </c>
      <c r="U41" s="13">
        <f t="shared" si="25"/>
        <v>1.77059328035826</v>
      </c>
      <c r="V41" s="13">
        <f t="shared" si="25"/>
        <v>0.899783176367538</v>
      </c>
      <c r="W41" s="13">
        <f t="shared" si="25"/>
        <v>1.12956654123076</v>
      </c>
      <c r="X41" s="13">
        <f t="shared" si="25"/>
        <v>0.594561256379948</v>
      </c>
      <c r="Y41" s="13">
        <f t="shared" si="25"/>
        <v>0.841604490569873</v>
      </c>
      <c r="Z41" s="13">
        <f t="shared" si="25"/>
        <v>1.73249181028929</v>
      </c>
      <c r="AA41" s="13">
        <f t="shared" si="25"/>
        <v>0.709257471470786</v>
      </c>
      <c r="AB41" s="13">
        <f t="shared" si="25"/>
        <v>0.48468210511475</v>
      </c>
      <c r="AC41" s="13">
        <f t="shared" si="25"/>
        <v>0.526328551442446</v>
      </c>
      <c r="AD41" s="13">
        <f t="shared" ref="AD41" si="26">1/ABS(AD8)</f>
        <v>0.579968847023656</v>
      </c>
      <c r="AE41" s="13">
        <f t="shared" si="13"/>
        <v>1.21339947413186</v>
      </c>
      <c r="AF41" s="13">
        <f t="shared" si="13"/>
        <v>0.462376532788747</v>
      </c>
      <c r="AG41" s="13">
        <f t="shared" si="9"/>
        <v>0.764219566718957</v>
      </c>
      <c r="AH41" s="13">
        <f t="shared" si="9"/>
        <v>0.908280918418891</v>
      </c>
      <c r="AI41" s="13">
        <f t="shared" si="9"/>
        <v>0.871735405530151</v>
      </c>
      <c r="AJ41" s="13">
        <f t="shared" si="14"/>
        <v>28.6226280601677</v>
      </c>
      <c r="AK41" s="13">
        <v>28.6226280601677</v>
      </c>
      <c r="AL41" s="13">
        <v>28.6226280601677</v>
      </c>
      <c r="AM41" s="13">
        <v>28.6226280601677</v>
      </c>
      <c r="AN41" s="13">
        <v>28.6226280601677</v>
      </c>
      <c r="AO41" s="13">
        <v>28.6226280601677</v>
      </c>
      <c r="AP41" s="13">
        <v>28.6226280601677</v>
      </c>
      <c r="AQ41" s="13">
        <v>28.6226280601677</v>
      </c>
      <c r="AR41" s="13">
        <v>28.6226280601677</v>
      </c>
      <c r="AS41" s="13">
        <v>28.6226280601677</v>
      </c>
      <c r="AT41" s="13">
        <v>28.6226280601677</v>
      </c>
      <c r="AU41" s="13">
        <v>28.6226280601677</v>
      </c>
      <c r="AV41" s="13">
        <v>28.6226280601677</v>
      </c>
      <c r="AW41" s="13">
        <v>28.6226280601677</v>
      </c>
      <c r="AX41" s="13">
        <v>28.6226280601677</v>
      </c>
      <c r="AY41" s="13">
        <v>28.6226280601677</v>
      </c>
      <c r="AZ41" s="13">
        <v>28.6226280601677</v>
      </c>
      <c r="BA41" s="13">
        <v>28.6226280601677</v>
      </c>
      <c r="BB41" s="13">
        <v>28.6226280601677</v>
      </c>
      <c r="BC41" s="13">
        <v>28.6226280601677</v>
      </c>
      <c r="BD41" s="13">
        <v>28.6226280601677</v>
      </c>
      <c r="BE41" s="13">
        <v>28.6226280601677</v>
      </c>
      <c r="BF41" s="13">
        <v>28.6226280601677</v>
      </c>
      <c r="BG41" s="13">
        <v>28.6226280601677</v>
      </c>
      <c r="BH41" s="13">
        <v>28.6226280601677</v>
      </c>
      <c r="BI41" s="13">
        <v>28.6226280601677</v>
      </c>
      <c r="BJ41" s="13">
        <v>28.6226280601677</v>
      </c>
      <c r="BK41" s="13">
        <v>28.6226280601677</v>
      </c>
      <c r="BL41" s="13">
        <v>28.6226280601677</v>
      </c>
      <c r="BM41" s="13">
        <v>28.6226280601677</v>
      </c>
      <c r="BN41" s="13">
        <v>28.6226280601677</v>
      </c>
    </row>
    <row r="42" spans="4:66">
      <c r="D42" s="14" t="s">
        <v>6</v>
      </c>
      <c r="E42" s="13">
        <f t="shared" si="10"/>
        <v>0.203196204635141</v>
      </c>
      <c r="F42" s="13">
        <f t="shared" si="15"/>
        <v>0.259675180851555</v>
      </c>
      <c r="G42" s="13">
        <f t="shared" si="18"/>
        <v>3.23690383798879</v>
      </c>
      <c r="H42" s="13">
        <f t="shared" si="21"/>
        <v>1.63847880322457</v>
      </c>
      <c r="I42" s="13">
        <f t="shared" si="24"/>
        <v>0.893727889150153</v>
      </c>
      <c r="J42" s="13">
        <f t="shared" ref="J42:J60" si="27">1/ABS(J9)</f>
        <v>1.32810595413996</v>
      </c>
      <c r="K42" s="13">
        <v>0</v>
      </c>
      <c r="L42" s="13">
        <f t="shared" ref="L42:AC42" si="28">1/ABS(L9)</f>
        <v>2.11965323941086</v>
      </c>
      <c r="M42" s="13">
        <f t="shared" si="28"/>
        <v>0.189659226769437</v>
      </c>
      <c r="N42" s="13">
        <f t="shared" si="28"/>
        <v>0.362932403406401</v>
      </c>
      <c r="O42" s="13">
        <f t="shared" si="28"/>
        <v>0.430205112379644</v>
      </c>
      <c r="P42" s="13">
        <f t="shared" si="28"/>
        <v>1.49745372363527</v>
      </c>
      <c r="Q42" s="13">
        <f t="shared" si="28"/>
        <v>0.639191663045408</v>
      </c>
      <c r="R42" s="13">
        <f t="shared" si="28"/>
        <v>1.4402151831264</v>
      </c>
      <c r="S42" s="13">
        <f t="shared" si="28"/>
        <v>0.940492691494308</v>
      </c>
      <c r="T42" s="13">
        <f t="shared" si="28"/>
        <v>2.09058844546802</v>
      </c>
      <c r="U42" s="13">
        <f t="shared" si="28"/>
        <v>5.31435668022699</v>
      </c>
      <c r="V42" s="13">
        <f t="shared" si="28"/>
        <v>2.78996928480798</v>
      </c>
      <c r="W42" s="13">
        <f t="shared" si="28"/>
        <v>0.610408446134138</v>
      </c>
      <c r="X42" s="13">
        <f t="shared" si="28"/>
        <v>1.07647202291889</v>
      </c>
      <c r="Y42" s="13">
        <f t="shared" si="28"/>
        <v>2.29750580143065</v>
      </c>
      <c r="Z42" s="13">
        <f t="shared" si="28"/>
        <v>5.68994353722955</v>
      </c>
      <c r="AA42" s="13">
        <f t="shared" si="28"/>
        <v>1.5221319874871</v>
      </c>
      <c r="AB42" s="13">
        <f t="shared" si="28"/>
        <v>0.763209613306475</v>
      </c>
      <c r="AC42" s="13">
        <f t="shared" si="28"/>
        <v>0.87183809452945</v>
      </c>
      <c r="AD42" s="13">
        <f t="shared" ref="AD42" si="29">1/ABS(AD9)</f>
        <v>1.02957074528327</v>
      </c>
      <c r="AE42" s="13">
        <f t="shared" si="13"/>
        <v>14.049102249769</v>
      </c>
      <c r="AF42" s="13">
        <f t="shared" si="13"/>
        <v>0.70932673778474</v>
      </c>
      <c r="AG42" s="13">
        <f t="shared" si="9"/>
        <v>1.79994512985455</v>
      </c>
      <c r="AH42" s="13">
        <f t="shared" si="9"/>
        <v>2.87332386862536</v>
      </c>
      <c r="AI42" s="13">
        <f t="shared" si="9"/>
        <v>2.53687926630225</v>
      </c>
      <c r="AJ42" s="13">
        <f t="shared" si="14"/>
        <v>61.2044630244163</v>
      </c>
      <c r="AK42" s="13">
        <v>61.2044630244163</v>
      </c>
      <c r="AL42" s="13">
        <v>61.2044630244163</v>
      </c>
      <c r="AM42" s="13">
        <v>61.2044630244163</v>
      </c>
      <c r="AN42" s="13">
        <v>61.2044630244163</v>
      </c>
      <c r="AO42" s="13">
        <v>61.2044630244163</v>
      </c>
      <c r="AP42" s="13">
        <v>61.2044630244163</v>
      </c>
      <c r="AQ42" s="13">
        <v>61.2044630244163</v>
      </c>
      <c r="AR42" s="13">
        <v>61.2044630244163</v>
      </c>
      <c r="AS42" s="13">
        <v>61.2044630244163</v>
      </c>
      <c r="AT42" s="13">
        <v>61.2044630244163</v>
      </c>
      <c r="AU42" s="13">
        <v>61.2044630244163</v>
      </c>
      <c r="AV42" s="13">
        <v>61.2044630244163</v>
      </c>
      <c r="AW42" s="13">
        <v>61.2044630244163</v>
      </c>
      <c r="AX42" s="13">
        <v>61.2044630244163</v>
      </c>
      <c r="AY42" s="13">
        <v>61.2044630244163</v>
      </c>
      <c r="AZ42" s="13">
        <v>61.2044630244163</v>
      </c>
      <c r="BA42" s="13">
        <v>61.2044630244163</v>
      </c>
      <c r="BB42" s="13">
        <v>61.2044630244163</v>
      </c>
      <c r="BC42" s="13">
        <v>61.2044630244163</v>
      </c>
      <c r="BD42" s="13">
        <v>61.2044630244163</v>
      </c>
      <c r="BE42" s="13">
        <v>61.2044630244163</v>
      </c>
      <c r="BF42" s="13">
        <v>61.2044630244163</v>
      </c>
      <c r="BG42" s="13">
        <v>61.2044630244163</v>
      </c>
      <c r="BH42" s="13">
        <v>61.2044630244163</v>
      </c>
      <c r="BI42" s="13">
        <v>61.2044630244163</v>
      </c>
      <c r="BJ42" s="13">
        <v>61.2044630244163</v>
      </c>
      <c r="BK42" s="13">
        <v>61.2044630244163</v>
      </c>
      <c r="BL42" s="13">
        <v>61.2044630244163</v>
      </c>
      <c r="BM42" s="13">
        <v>61.2044630244163</v>
      </c>
      <c r="BN42" s="13">
        <v>61.2044630244163</v>
      </c>
    </row>
    <row r="43" spans="4:66">
      <c r="D43" s="14" t="s">
        <v>7</v>
      </c>
      <c r="E43" s="13">
        <f t="shared" si="10"/>
        <v>0.185421183665117</v>
      </c>
      <c r="F43" s="13">
        <f t="shared" si="15"/>
        <v>0.231334747065264</v>
      </c>
      <c r="G43" s="13">
        <f t="shared" si="18"/>
        <v>6.14106961731544</v>
      </c>
      <c r="H43" s="13">
        <f t="shared" si="21"/>
        <v>7.21777102392938</v>
      </c>
      <c r="I43" s="13">
        <f t="shared" si="24"/>
        <v>0.628660343503773</v>
      </c>
      <c r="J43" s="13">
        <f t="shared" si="27"/>
        <v>0.816508326114953</v>
      </c>
      <c r="K43" s="13">
        <f t="shared" ref="K43:K60" si="30">1/ABS(K10)</f>
        <v>2.11965323941086</v>
      </c>
      <c r="L43" s="13">
        <v>0</v>
      </c>
      <c r="M43" s="13">
        <f t="shared" ref="M43:AC43" si="31">1/ABS(M10)</f>
        <v>0.174082892762858</v>
      </c>
      <c r="N43" s="13">
        <f t="shared" si="31"/>
        <v>0.309874846329389</v>
      </c>
      <c r="O43" s="13">
        <f t="shared" si="31"/>
        <v>0.357622084939072</v>
      </c>
      <c r="P43" s="13">
        <f t="shared" si="31"/>
        <v>5.10139039921106</v>
      </c>
      <c r="Q43" s="13">
        <f t="shared" si="31"/>
        <v>0.491098531117985</v>
      </c>
      <c r="R43" s="13">
        <f t="shared" si="31"/>
        <v>4.49306121452298</v>
      </c>
      <c r="S43" s="13">
        <f t="shared" si="31"/>
        <v>0.651445527494332</v>
      </c>
      <c r="T43" s="13">
        <f t="shared" si="31"/>
        <v>152.463581177468</v>
      </c>
      <c r="U43" s="13">
        <f t="shared" si="31"/>
        <v>1.51527822459196</v>
      </c>
      <c r="V43" s="13">
        <f t="shared" si="31"/>
        <v>8.82235696580485</v>
      </c>
      <c r="W43" s="13">
        <f t="shared" si="31"/>
        <v>0.473928573505358</v>
      </c>
      <c r="X43" s="13">
        <f t="shared" si="31"/>
        <v>2.18729725424723</v>
      </c>
      <c r="Y43" s="13">
        <f t="shared" si="31"/>
        <v>27.3817568848178</v>
      </c>
      <c r="Z43" s="13">
        <f t="shared" si="31"/>
        <v>1.54434442592846</v>
      </c>
      <c r="AA43" s="13">
        <f t="shared" si="31"/>
        <v>5.39962718932641</v>
      </c>
      <c r="AB43" s="13">
        <f t="shared" si="31"/>
        <v>1.19263321973845</v>
      </c>
      <c r="AC43" s="13">
        <f t="shared" si="31"/>
        <v>1.4809841416749</v>
      </c>
      <c r="AD43" s="13">
        <f t="shared" ref="AD43" si="32">1/ABS(AD10)</f>
        <v>2.00198881937729</v>
      </c>
      <c r="AE43" s="13">
        <f t="shared" si="13"/>
        <v>2.49627833344864</v>
      </c>
      <c r="AF43" s="13">
        <f t="shared" si="13"/>
        <v>1.06608414137618</v>
      </c>
      <c r="AG43" s="13">
        <f t="shared" si="9"/>
        <v>11.9335713146367</v>
      </c>
      <c r="AH43" s="13">
        <f t="shared" si="9"/>
        <v>8.08105027570994</v>
      </c>
      <c r="AI43" s="13">
        <f t="shared" si="9"/>
        <v>12.8882284618637</v>
      </c>
      <c r="AJ43" s="13">
        <f t="shared" si="14"/>
        <v>269.847983380898</v>
      </c>
      <c r="AK43" s="13">
        <v>269.847983380899</v>
      </c>
      <c r="AL43" s="13">
        <v>269.847983380899</v>
      </c>
      <c r="AM43" s="13">
        <v>269.847983380899</v>
      </c>
      <c r="AN43" s="13">
        <v>269.847983380899</v>
      </c>
      <c r="AO43" s="13">
        <v>269.847983380899</v>
      </c>
      <c r="AP43" s="13">
        <v>269.847983380899</v>
      </c>
      <c r="AQ43" s="13">
        <v>269.847983380899</v>
      </c>
      <c r="AR43" s="13">
        <v>269.847983380899</v>
      </c>
      <c r="AS43" s="13">
        <v>269.847983380899</v>
      </c>
      <c r="AT43" s="13">
        <v>269.847983380899</v>
      </c>
      <c r="AU43" s="13">
        <v>269.847983380899</v>
      </c>
      <c r="AV43" s="13">
        <v>269.847983380899</v>
      </c>
      <c r="AW43" s="13">
        <v>269.847983380899</v>
      </c>
      <c r="AX43" s="13">
        <v>269.847983380899</v>
      </c>
      <c r="AY43" s="13">
        <v>269.847983380899</v>
      </c>
      <c r="AZ43" s="13">
        <v>269.847983380899</v>
      </c>
      <c r="BA43" s="13">
        <v>269.847983380899</v>
      </c>
      <c r="BB43" s="13">
        <v>269.847983380899</v>
      </c>
      <c r="BC43" s="13">
        <v>269.847983380899</v>
      </c>
      <c r="BD43" s="13">
        <v>269.847983380899</v>
      </c>
      <c r="BE43" s="13">
        <v>269.847983380899</v>
      </c>
      <c r="BF43" s="13">
        <v>269.847983380899</v>
      </c>
      <c r="BG43" s="13">
        <v>269.847983380899</v>
      </c>
      <c r="BH43" s="13">
        <v>269.847983380899</v>
      </c>
      <c r="BI43" s="13">
        <v>269.847983380899</v>
      </c>
      <c r="BJ43" s="13">
        <v>269.847983380899</v>
      </c>
      <c r="BK43" s="13">
        <v>269.847983380899</v>
      </c>
      <c r="BL43" s="13">
        <v>269.847983380899</v>
      </c>
      <c r="BM43" s="13">
        <v>269.847983380899</v>
      </c>
      <c r="BN43" s="13">
        <v>269.847983380899</v>
      </c>
    </row>
    <row r="44" spans="4:66">
      <c r="D44" s="14" t="s">
        <v>8</v>
      </c>
      <c r="E44" s="13">
        <f t="shared" si="10"/>
        <v>2.84687139448029</v>
      </c>
      <c r="F44" s="13">
        <f t="shared" si="15"/>
        <v>0.703408168283436</v>
      </c>
      <c r="G44" s="13">
        <f t="shared" si="18"/>
        <v>0.179161646068608</v>
      </c>
      <c r="H44" s="13">
        <f t="shared" si="21"/>
        <v>0.169983129172529</v>
      </c>
      <c r="I44" s="13">
        <f t="shared" si="24"/>
        <v>0.240748877851408</v>
      </c>
      <c r="J44" s="13">
        <f t="shared" si="27"/>
        <v>0.221255454712278</v>
      </c>
      <c r="K44" s="13">
        <f t="shared" si="30"/>
        <v>0.189659226769437</v>
      </c>
      <c r="L44" s="13">
        <f t="shared" ref="L44:L60" si="33">1/ABS(L11)</f>
        <v>0.174082892762858</v>
      </c>
      <c r="M44" s="13">
        <v>0</v>
      </c>
      <c r="N44" s="13">
        <f t="shared" ref="N44:AC44" si="34">1/ABS(N11)</f>
        <v>0.397254095155473</v>
      </c>
      <c r="O44" s="13">
        <f t="shared" si="34"/>
        <v>0.339196693218019</v>
      </c>
      <c r="P44" s="13">
        <f t="shared" si="34"/>
        <v>0.168338412244155</v>
      </c>
      <c r="Q44" s="13">
        <f t="shared" si="34"/>
        <v>0.269677083982967</v>
      </c>
      <c r="R44" s="13">
        <f t="shared" si="34"/>
        <v>0.167589659887238</v>
      </c>
      <c r="S44" s="13">
        <f t="shared" si="34"/>
        <v>0.237566817451961</v>
      </c>
      <c r="T44" s="13">
        <f t="shared" si="34"/>
        <v>0.173884351637787</v>
      </c>
      <c r="U44" s="13">
        <f t="shared" si="34"/>
        <v>0.196678299139165</v>
      </c>
      <c r="V44" s="13">
        <f t="shared" si="34"/>
        <v>0.177587043220711</v>
      </c>
      <c r="W44" s="13">
        <f t="shared" si="34"/>
        <v>0.275151060487141</v>
      </c>
      <c r="X44" s="13">
        <f t="shared" si="34"/>
        <v>0.161249358276233</v>
      </c>
      <c r="Y44" s="13">
        <f t="shared" si="34"/>
        <v>0.175196727542029</v>
      </c>
      <c r="Z44" s="13">
        <f t="shared" si="34"/>
        <v>0.196199001855313</v>
      </c>
      <c r="AA44" s="13">
        <f t="shared" si="34"/>
        <v>0.168645786579301</v>
      </c>
      <c r="AB44" s="13">
        <f t="shared" si="34"/>
        <v>0.151909411909382</v>
      </c>
      <c r="AC44" s="13">
        <f t="shared" si="34"/>
        <v>0.155772544648783</v>
      </c>
      <c r="AD44" s="13">
        <f t="shared" ref="AD44" si="35">1/ABS(AD11)</f>
        <v>0.16015648887478</v>
      </c>
      <c r="AE44" s="13">
        <f t="shared" si="13"/>
        <v>0.187132980202413</v>
      </c>
      <c r="AF44" s="13">
        <f t="shared" si="13"/>
        <v>0.149646786401006</v>
      </c>
      <c r="AG44" s="13">
        <f t="shared" si="9"/>
        <v>0.171579942725339</v>
      </c>
      <c r="AH44" s="13">
        <f t="shared" si="9"/>
        <v>0.177915569955639</v>
      </c>
      <c r="AI44" s="13">
        <f t="shared" si="9"/>
        <v>0.176466446843467</v>
      </c>
      <c r="AJ44" s="13">
        <f t="shared" si="14"/>
        <v>9.15996535233914</v>
      </c>
      <c r="AK44" s="13">
        <v>9.15996535233915</v>
      </c>
      <c r="AL44" s="13">
        <v>9.15996535233915</v>
      </c>
      <c r="AM44" s="13">
        <v>9.15996535233915</v>
      </c>
      <c r="AN44" s="13">
        <v>9.15996535233915</v>
      </c>
      <c r="AO44" s="13">
        <v>9.15996535233915</v>
      </c>
      <c r="AP44" s="13">
        <v>9.15996535233915</v>
      </c>
      <c r="AQ44" s="13">
        <v>9.15996535233915</v>
      </c>
      <c r="AR44" s="13">
        <v>9.15996535233915</v>
      </c>
      <c r="AS44" s="13">
        <v>9.15996535233915</v>
      </c>
      <c r="AT44" s="13">
        <v>9.15996535233915</v>
      </c>
      <c r="AU44" s="13">
        <v>9.15996535233915</v>
      </c>
      <c r="AV44" s="13">
        <v>9.15996535233915</v>
      </c>
      <c r="AW44" s="13">
        <v>9.15996535233915</v>
      </c>
      <c r="AX44" s="13">
        <v>9.15996535233915</v>
      </c>
      <c r="AY44" s="13">
        <v>9.15996535233915</v>
      </c>
      <c r="AZ44" s="13">
        <v>9.15996535233915</v>
      </c>
      <c r="BA44" s="13">
        <v>9.15996535233915</v>
      </c>
      <c r="BB44" s="13">
        <v>9.15996535233915</v>
      </c>
      <c r="BC44" s="13">
        <v>9.15996535233915</v>
      </c>
      <c r="BD44" s="13">
        <v>9.15996535233915</v>
      </c>
      <c r="BE44" s="13">
        <v>9.15996535233915</v>
      </c>
      <c r="BF44" s="13">
        <v>9.15996535233915</v>
      </c>
      <c r="BG44" s="13">
        <v>9.15996535233915</v>
      </c>
      <c r="BH44" s="13">
        <v>9.15996535233915</v>
      </c>
      <c r="BI44" s="13">
        <v>9.15996535233915</v>
      </c>
      <c r="BJ44" s="13">
        <v>9.15996535233915</v>
      </c>
      <c r="BK44" s="13">
        <v>9.15996535233915</v>
      </c>
      <c r="BL44" s="13">
        <v>9.15996535233915</v>
      </c>
      <c r="BM44" s="13">
        <v>9.15996535233915</v>
      </c>
      <c r="BN44" s="13">
        <v>9.15996535233915</v>
      </c>
    </row>
    <row r="45" spans="4:66">
      <c r="D45" s="14" t="s">
        <v>9</v>
      </c>
      <c r="E45" s="13">
        <f t="shared" si="10"/>
        <v>0.461676736259979</v>
      </c>
      <c r="F45" s="13">
        <f t="shared" si="15"/>
        <v>0.912716177712294</v>
      </c>
      <c r="G45" s="13">
        <f t="shared" si="18"/>
        <v>0.326341869668317</v>
      </c>
      <c r="H45" s="13">
        <f t="shared" si="21"/>
        <v>0.297118876927715</v>
      </c>
      <c r="I45" s="13">
        <f t="shared" si="24"/>
        <v>0.611088111169777</v>
      </c>
      <c r="J45" s="13">
        <f t="shared" si="27"/>
        <v>0.499405195623132</v>
      </c>
      <c r="K45" s="13">
        <f t="shared" si="30"/>
        <v>0.362932403406401</v>
      </c>
      <c r="L45" s="13">
        <f t="shared" si="33"/>
        <v>0.309874846329389</v>
      </c>
      <c r="M45" s="13">
        <f t="shared" ref="M45:M60" si="36">1/ABS(M12)</f>
        <v>0.397254095155473</v>
      </c>
      <c r="N45" s="13">
        <v>0</v>
      </c>
      <c r="O45" s="13">
        <f t="shared" ref="O45:AC45" si="37">1/ABS(O12)</f>
        <v>2.32093188719018</v>
      </c>
      <c r="P45" s="13">
        <f t="shared" si="37"/>
        <v>0.292129935290922</v>
      </c>
      <c r="Q45" s="13">
        <f t="shared" si="37"/>
        <v>0.839730645805468</v>
      </c>
      <c r="R45" s="13">
        <f t="shared" si="37"/>
        <v>0.289882404379075</v>
      </c>
      <c r="S45" s="13">
        <f t="shared" si="37"/>
        <v>0.590995052724662</v>
      </c>
      <c r="T45" s="13">
        <f t="shared" si="37"/>
        <v>0.30924631816169</v>
      </c>
      <c r="U45" s="13">
        <f t="shared" si="37"/>
        <v>0.389534835772977</v>
      </c>
      <c r="V45" s="13">
        <f t="shared" si="37"/>
        <v>0.321155036882504</v>
      </c>
      <c r="W45" s="13">
        <f t="shared" si="37"/>
        <v>0.895185659077129</v>
      </c>
      <c r="X45" s="13">
        <f t="shared" si="37"/>
        <v>0.271422382293975</v>
      </c>
      <c r="Y45" s="13">
        <f t="shared" si="37"/>
        <v>0.313421789251612</v>
      </c>
      <c r="Z45" s="13">
        <f t="shared" si="37"/>
        <v>0.387659201630269</v>
      </c>
      <c r="AA45" s="13">
        <f t="shared" si="37"/>
        <v>0.293056843675567</v>
      </c>
      <c r="AB45" s="13">
        <f t="shared" si="37"/>
        <v>0.245966756545246</v>
      </c>
      <c r="AC45" s="13">
        <f t="shared" si="37"/>
        <v>0.256256766385156</v>
      </c>
      <c r="AD45" s="13">
        <f t="shared" ref="AD45" si="38">1/ABS(AD12)</f>
        <v>0.268340208360886</v>
      </c>
      <c r="AE45" s="13">
        <f t="shared" si="13"/>
        <v>0.353792824393987</v>
      </c>
      <c r="AF45" s="13">
        <f t="shared" si="13"/>
        <v>0.240089030585142</v>
      </c>
      <c r="AG45" s="13">
        <f t="shared" si="9"/>
        <v>0.30203208546572</v>
      </c>
      <c r="AH45" s="13">
        <f t="shared" si="9"/>
        <v>0.322231074966904</v>
      </c>
      <c r="AI45" s="13">
        <f t="shared" si="9"/>
        <v>0.317508788204666</v>
      </c>
      <c r="AJ45" s="13">
        <f t="shared" si="14"/>
        <v>13.9989778392962</v>
      </c>
      <c r="AK45" s="13">
        <v>13.9989778392962</v>
      </c>
      <c r="AL45" s="13">
        <v>13.9989778392962</v>
      </c>
      <c r="AM45" s="13">
        <v>13.9989778392962</v>
      </c>
      <c r="AN45" s="13">
        <v>13.9989778392962</v>
      </c>
      <c r="AO45" s="13">
        <v>13.9989778392962</v>
      </c>
      <c r="AP45" s="13">
        <v>13.9989778392962</v>
      </c>
      <c r="AQ45" s="13">
        <v>13.9989778392962</v>
      </c>
      <c r="AR45" s="13">
        <v>13.9989778392962</v>
      </c>
      <c r="AS45" s="13">
        <v>13.9989778392962</v>
      </c>
      <c r="AT45" s="13">
        <v>13.9989778392962</v>
      </c>
      <c r="AU45" s="13">
        <v>13.9989778392962</v>
      </c>
      <c r="AV45" s="13">
        <v>13.9989778392962</v>
      </c>
      <c r="AW45" s="13">
        <v>13.9989778392962</v>
      </c>
      <c r="AX45" s="13">
        <v>13.9989778392962</v>
      </c>
      <c r="AY45" s="13">
        <v>13.9989778392962</v>
      </c>
      <c r="AZ45" s="13">
        <v>13.9989778392962</v>
      </c>
      <c r="BA45" s="13">
        <v>13.9989778392962</v>
      </c>
      <c r="BB45" s="13">
        <v>13.9989778392962</v>
      </c>
      <c r="BC45" s="13">
        <v>13.9989778392962</v>
      </c>
      <c r="BD45" s="13">
        <v>13.9989778392962</v>
      </c>
      <c r="BE45" s="13">
        <v>13.9989778392962</v>
      </c>
      <c r="BF45" s="13">
        <v>13.9989778392962</v>
      </c>
      <c r="BG45" s="13">
        <v>13.9989778392962</v>
      </c>
      <c r="BH45" s="13">
        <v>13.9989778392962</v>
      </c>
      <c r="BI45" s="13">
        <v>13.9989778392962</v>
      </c>
      <c r="BJ45" s="13">
        <v>13.9989778392962</v>
      </c>
      <c r="BK45" s="13">
        <v>13.9989778392962</v>
      </c>
      <c r="BL45" s="13">
        <v>13.9989778392962</v>
      </c>
      <c r="BM45" s="13">
        <v>13.9989778392962</v>
      </c>
      <c r="BN45" s="13">
        <v>13.9989778392962</v>
      </c>
    </row>
    <row r="46" spans="4:66">
      <c r="D46" s="14" t="s">
        <v>10</v>
      </c>
      <c r="E46" s="13">
        <f t="shared" si="10"/>
        <v>0.385077602983598</v>
      </c>
      <c r="F46" s="13">
        <f t="shared" si="15"/>
        <v>0.655096670475391</v>
      </c>
      <c r="G46" s="13">
        <f t="shared" si="18"/>
        <v>0.37973580775236</v>
      </c>
      <c r="H46" s="13">
        <f t="shared" si="21"/>
        <v>0.340739323371696</v>
      </c>
      <c r="I46" s="13">
        <f t="shared" si="24"/>
        <v>0.829487408725597</v>
      </c>
      <c r="J46" s="13">
        <f t="shared" si="27"/>
        <v>0.63632635663056</v>
      </c>
      <c r="K46" s="13">
        <f t="shared" si="30"/>
        <v>0.430205112379644</v>
      </c>
      <c r="L46" s="13">
        <f t="shared" si="33"/>
        <v>0.357622084939072</v>
      </c>
      <c r="M46" s="13">
        <f t="shared" si="36"/>
        <v>0.339196693218019</v>
      </c>
      <c r="N46" s="13">
        <f t="shared" ref="N46:N60" si="39">1/ABS(N13)</f>
        <v>2.32093188719018</v>
      </c>
      <c r="O46" s="13">
        <v>0</v>
      </c>
      <c r="P46" s="13">
        <f t="shared" ref="P46:Y46" si="40">1/ABS(P13)</f>
        <v>0.334194119531867</v>
      </c>
      <c r="Q46" s="13">
        <f t="shared" si="40"/>
        <v>1.31579530049456</v>
      </c>
      <c r="R46" s="13">
        <f t="shared" si="40"/>
        <v>0.331255994279153</v>
      </c>
      <c r="S46" s="13">
        <f t="shared" si="40"/>
        <v>0.792895576134777</v>
      </c>
      <c r="T46" s="13">
        <f t="shared" si="40"/>
        <v>0.356785201359399</v>
      </c>
      <c r="U46" s="13">
        <f t="shared" si="40"/>
        <v>0.468098375139127</v>
      </c>
      <c r="V46" s="13">
        <f t="shared" si="40"/>
        <v>0.372731070328002</v>
      </c>
      <c r="W46" s="13">
        <f t="shared" si="40"/>
        <v>1.45724736993148</v>
      </c>
      <c r="X46" s="13">
        <f t="shared" si="40"/>
        <v>0.307367621598375</v>
      </c>
      <c r="Y46" s="13">
        <f t="shared" si="40"/>
        <v>0.362354652941091</v>
      </c>
      <c r="Z46" s="13">
        <f t="shared" ref="Z46:AI46" si="41">1/ABS(Z13)</f>
        <v>0.465392496954355</v>
      </c>
      <c r="AA46" s="13">
        <f t="shared" si="41"/>
        <v>0.335407734032321</v>
      </c>
      <c r="AB46" s="13">
        <f t="shared" si="41"/>
        <v>0.275123702091885</v>
      </c>
      <c r="AC46" s="13">
        <f t="shared" si="41"/>
        <v>0.288062027007744</v>
      </c>
      <c r="AD46" s="13">
        <f t="shared" si="41"/>
        <v>0.30342096415165</v>
      </c>
      <c r="AE46" s="13">
        <f t="shared" si="41"/>
        <v>0.417422978946839</v>
      </c>
      <c r="AF46" s="13">
        <f t="shared" si="41"/>
        <v>0.267790662365909</v>
      </c>
      <c r="AG46" s="13">
        <f t="shared" si="41"/>
        <v>0.347216784861328</v>
      </c>
      <c r="AH46" s="13">
        <f t="shared" si="41"/>
        <v>0.374181254323076</v>
      </c>
      <c r="AI46" s="13">
        <f t="shared" si="41"/>
        <v>0.367828578686389</v>
      </c>
      <c r="AJ46" s="13">
        <f t="shared" si="14"/>
        <v>16.2149914128254</v>
      </c>
      <c r="AK46" s="13">
        <v>16.2149914128254</v>
      </c>
      <c r="AL46" s="13">
        <v>16.2149914128254</v>
      </c>
      <c r="AM46" s="13">
        <v>16.2149914128254</v>
      </c>
      <c r="AN46" s="13">
        <v>16.2149914128254</v>
      </c>
      <c r="AO46" s="13">
        <v>16.2149914128254</v>
      </c>
      <c r="AP46" s="13">
        <v>16.2149914128254</v>
      </c>
      <c r="AQ46" s="13">
        <v>16.2149914128254</v>
      </c>
      <c r="AR46" s="13">
        <v>16.2149914128254</v>
      </c>
      <c r="AS46" s="13">
        <v>16.2149914128254</v>
      </c>
      <c r="AT46" s="13">
        <v>16.2149914128254</v>
      </c>
      <c r="AU46" s="13">
        <v>16.2149914128254</v>
      </c>
      <c r="AV46" s="13">
        <v>16.2149914128254</v>
      </c>
      <c r="AW46" s="13">
        <v>16.2149914128254</v>
      </c>
      <c r="AX46" s="13">
        <v>16.2149914128254</v>
      </c>
      <c r="AY46" s="13">
        <v>16.2149914128254</v>
      </c>
      <c r="AZ46" s="13">
        <v>16.2149914128254</v>
      </c>
      <c r="BA46" s="13">
        <v>16.2149914128254</v>
      </c>
      <c r="BB46" s="13">
        <v>16.2149914128254</v>
      </c>
      <c r="BC46" s="13">
        <v>16.2149914128254</v>
      </c>
      <c r="BD46" s="13">
        <v>16.2149914128254</v>
      </c>
      <c r="BE46" s="13">
        <v>16.2149914128254</v>
      </c>
      <c r="BF46" s="13">
        <v>16.2149914128254</v>
      </c>
      <c r="BG46" s="13">
        <v>16.2149914128254</v>
      </c>
      <c r="BH46" s="13">
        <v>16.2149914128254</v>
      </c>
      <c r="BI46" s="13">
        <v>16.2149914128254</v>
      </c>
      <c r="BJ46" s="13">
        <v>16.2149914128254</v>
      </c>
      <c r="BK46" s="13">
        <v>16.2149914128254</v>
      </c>
      <c r="BL46" s="13">
        <v>16.2149914128254</v>
      </c>
      <c r="BM46" s="13">
        <v>16.2149914128254</v>
      </c>
      <c r="BN46" s="13">
        <v>16.2149914128254</v>
      </c>
    </row>
    <row r="47" spans="4:66">
      <c r="D47" s="14" t="s">
        <v>11</v>
      </c>
      <c r="E47" s="13">
        <f t="shared" si="10"/>
        <v>0.178918017283487</v>
      </c>
      <c r="F47" s="13">
        <f t="shared" si="15"/>
        <v>0.221299396708398</v>
      </c>
      <c r="G47" s="13">
        <f t="shared" si="18"/>
        <v>2.78657816355205</v>
      </c>
      <c r="H47" s="13">
        <f t="shared" si="21"/>
        <v>17.3979422109281</v>
      </c>
      <c r="I47" s="13">
        <f t="shared" si="24"/>
        <v>0.559688209531529</v>
      </c>
      <c r="J47" s="13">
        <f t="shared" si="27"/>
        <v>0.703852487014172</v>
      </c>
      <c r="K47" s="13">
        <f t="shared" si="30"/>
        <v>1.49745372363527</v>
      </c>
      <c r="L47" s="13">
        <f t="shared" si="33"/>
        <v>5.10139039921106</v>
      </c>
      <c r="M47" s="13">
        <f t="shared" si="36"/>
        <v>0.168338412244155</v>
      </c>
      <c r="N47" s="13">
        <f t="shared" si="39"/>
        <v>0.292129935290922</v>
      </c>
      <c r="O47" s="13">
        <f t="shared" ref="O47:O60" si="42">1/ABS(O14)</f>
        <v>0.334194119531867</v>
      </c>
      <c r="P47" s="13">
        <v>0</v>
      </c>
      <c r="Q47" s="13">
        <f t="shared" ref="Q47:AC47" si="43">1/ABS(Q14)</f>
        <v>0.447973230331372</v>
      </c>
      <c r="R47" s="13">
        <f t="shared" si="43"/>
        <v>37.6783819020413</v>
      </c>
      <c r="S47" s="13">
        <f t="shared" si="43"/>
        <v>0.577676471554054</v>
      </c>
      <c r="T47" s="13">
        <f t="shared" si="43"/>
        <v>5.27799054248881</v>
      </c>
      <c r="U47" s="13">
        <f t="shared" si="43"/>
        <v>1.16826551646531</v>
      </c>
      <c r="V47" s="13">
        <f t="shared" si="43"/>
        <v>3.23234011246499</v>
      </c>
      <c r="W47" s="13">
        <f t="shared" si="43"/>
        <v>0.433642395461739</v>
      </c>
      <c r="X47" s="13">
        <f t="shared" si="43"/>
        <v>3.82906676552921</v>
      </c>
      <c r="Y47" s="13">
        <f t="shared" si="43"/>
        <v>4.30023083860536</v>
      </c>
      <c r="Z47" s="13">
        <f t="shared" si="43"/>
        <v>1.18546767735969</v>
      </c>
      <c r="AA47" s="13">
        <f t="shared" si="43"/>
        <v>92.3615302199821</v>
      </c>
      <c r="AB47" s="13">
        <f t="shared" si="43"/>
        <v>1.5565274018313</v>
      </c>
      <c r="AC47" s="13">
        <f t="shared" si="43"/>
        <v>2.0868040060415</v>
      </c>
      <c r="AD47" s="13">
        <f t="shared" ref="AD47" si="44">1/ABS(AD14)</f>
        <v>3.29512852059878</v>
      </c>
      <c r="AE47" s="13">
        <f t="shared" ref="AE47:AI60" si="45">1/ABS(AE14)</f>
        <v>1.67610497010384</v>
      </c>
      <c r="AF47" s="13">
        <f t="shared" si="45"/>
        <v>1.34773200745503</v>
      </c>
      <c r="AG47" s="13">
        <f t="shared" si="45"/>
        <v>8.91044995534866</v>
      </c>
      <c r="AH47" s="13">
        <f t="shared" si="45"/>
        <v>3.12723518418532</v>
      </c>
      <c r="AI47" s="13">
        <f t="shared" si="45"/>
        <v>3.65476808852537</v>
      </c>
      <c r="AJ47" s="13">
        <f t="shared" si="14"/>
        <v>205.389100881305</v>
      </c>
      <c r="AK47" s="13">
        <v>205.389100881305</v>
      </c>
      <c r="AL47" s="13">
        <v>205.389100881305</v>
      </c>
      <c r="AM47" s="13">
        <v>205.389100881305</v>
      </c>
      <c r="AN47" s="13">
        <v>205.389100881305</v>
      </c>
      <c r="AO47" s="13">
        <v>205.389100881305</v>
      </c>
      <c r="AP47" s="13">
        <v>205.389100881305</v>
      </c>
      <c r="AQ47" s="13">
        <v>205.389100881305</v>
      </c>
      <c r="AR47" s="13">
        <v>205.389100881305</v>
      </c>
      <c r="AS47" s="13">
        <v>205.389100881305</v>
      </c>
      <c r="AT47" s="13">
        <v>205.389100881305</v>
      </c>
      <c r="AU47" s="13">
        <v>205.389100881305</v>
      </c>
      <c r="AV47" s="13">
        <v>205.389100881305</v>
      </c>
      <c r="AW47" s="13">
        <v>205.389100881305</v>
      </c>
      <c r="AX47" s="13">
        <v>205.389100881305</v>
      </c>
      <c r="AY47" s="13">
        <v>205.389100881305</v>
      </c>
      <c r="AZ47" s="13">
        <v>205.389100881305</v>
      </c>
      <c r="BA47" s="13">
        <v>205.389100881305</v>
      </c>
      <c r="BB47" s="13">
        <v>205.389100881305</v>
      </c>
      <c r="BC47" s="13">
        <v>205.389100881305</v>
      </c>
      <c r="BD47" s="13">
        <v>205.389100881305</v>
      </c>
      <c r="BE47" s="13">
        <v>205.389100881305</v>
      </c>
      <c r="BF47" s="13">
        <v>205.389100881305</v>
      </c>
      <c r="BG47" s="13">
        <v>205.389100881305</v>
      </c>
      <c r="BH47" s="13">
        <v>205.389100881305</v>
      </c>
      <c r="BI47" s="13">
        <v>205.389100881305</v>
      </c>
      <c r="BJ47" s="13">
        <v>205.389100881305</v>
      </c>
      <c r="BK47" s="13">
        <v>205.389100881305</v>
      </c>
      <c r="BL47" s="13">
        <v>205.389100881305</v>
      </c>
      <c r="BM47" s="13">
        <v>205.389100881305</v>
      </c>
      <c r="BN47" s="13">
        <v>205.389100881305</v>
      </c>
    </row>
    <row r="48" spans="4:66">
      <c r="D48" s="14" t="s">
        <v>12</v>
      </c>
      <c r="E48" s="13">
        <f t="shared" si="10"/>
        <v>0.297896038731289</v>
      </c>
      <c r="F48" s="13">
        <f t="shared" si="15"/>
        <v>0.437351784409038</v>
      </c>
      <c r="G48" s="13">
        <f t="shared" si="18"/>
        <v>0.533785080055452</v>
      </c>
      <c r="H48" s="13">
        <f t="shared" si="21"/>
        <v>0.459812780912453</v>
      </c>
      <c r="I48" s="13">
        <f t="shared" si="24"/>
        <v>2.24433050068427</v>
      </c>
      <c r="J48" s="13">
        <f t="shared" si="27"/>
        <v>1.23224944597748</v>
      </c>
      <c r="K48" s="13">
        <f t="shared" si="30"/>
        <v>0.639191663045408</v>
      </c>
      <c r="L48" s="13">
        <f t="shared" si="33"/>
        <v>0.491098531117985</v>
      </c>
      <c r="M48" s="13">
        <f t="shared" si="36"/>
        <v>0.269677083982967</v>
      </c>
      <c r="N48" s="13">
        <f t="shared" si="39"/>
        <v>0.839730645805468</v>
      </c>
      <c r="O48" s="13">
        <f t="shared" si="42"/>
        <v>1.31579530049456</v>
      </c>
      <c r="P48" s="13">
        <f t="shared" ref="P48:P60" si="46">1/ABS(P15)</f>
        <v>0.447973230331372</v>
      </c>
      <c r="Q48" s="13">
        <v>0</v>
      </c>
      <c r="R48" s="13">
        <f t="shared" ref="R48:AC48" si="47">1/ABS(R15)</f>
        <v>0.442709679320614</v>
      </c>
      <c r="S48" s="13">
        <f t="shared" si="47"/>
        <v>1.99519759575017</v>
      </c>
      <c r="T48" s="13">
        <f t="shared" si="47"/>
        <v>0.489521738778413</v>
      </c>
      <c r="U48" s="13">
        <f t="shared" si="47"/>
        <v>0.726582371310302</v>
      </c>
      <c r="V48" s="13">
        <f t="shared" si="47"/>
        <v>0.520047071024286</v>
      </c>
      <c r="W48" s="13">
        <f t="shared" si="47"/>
        <v>13.555399002975</v>
      </c>
      <c r="X48" s="13">
        <f t="shared" si="47"/>
        <v>0.401052926736422</v>
      </c>
      <c r="Y48" s="13">
        <f t="shared" si="47"/>
        <v>0.500067362006912</v>
      </c>
      <c r="Z48" s="13">
        <f t="shared" si="47"/>
        <v>0.720083774217024</v>
      </c>
      <c r="AA48" s="13">
        <f t="shared" si="47"/>
        <v>0.450156586320045</v>
      </c>
      <c r="AB48" s="13">
        <f t="shared" si="47"/>
        <v>0.347858512544025</v>
      </c>
      <c r="AC48" s="13">
        <f t="shared" si="47"/>
        <v>0.368802559152122</v>
      </c>
      <c r="AD48" s="13">
        <f t="shared" ref="AD48" si="48">1/ABS(AD15)</f>
        <v>0.39435993621142</v>
      </c>
      <c r="AE48" s="13">
        <f t="shared" si="45"/>
        <v>0.611375908231957</v>
      </c>
      <c r="AF48" s="13">
        <f t="shared" si="45"/>
        <v>0.336217686676052</v>
      </c>
      <c r="AG48" s="13">
        <f t="shared" si="45"/>
        <v>0.471687329833739</v>
      </c>
      <c r="AH48" s="13">
        <f t="shared" si="45"/>
        <v>0.522874460054304</v>
      </c>
      <c r="AI48" s="13">
        <f t="shared" si="45"/>
        <v>0.51055285390185</v>
      </c>
      <c r="AJ48" s="13">
        <f t="shared" si="14"/>
        <v>32.5734394405924</v>
      </c>
      <c r="AK48" s="13">
        <v>32.5734394405924</v>
      </c>
      <c r="AL48" s="13">
        <v>32.5734394405924</v>
      </c>
      <c r="AM48" s="13">
        <v>32.5734394405924</v>
      </c>
      <c r="AN48" s="13">
        <v>32.5734394405924</v>
      </c>
      <c r="AO48" s="13">
        <v>32.5734394405924</v>
      </c>
      <c r="AP48" s="13">
        <v>32.5734394405924</v>
      </c>
      <c r="AQ48" s="13">
        <v>32.5734394405924</v>
      </c>
      <c r="AR48" s="13">
        <v>32.5734394405924</v>
      </c>
      <c r="AS48" s="13">
        <v>32.5734394405924</v>
      </c>
      <c r="AT48" s="13">
        <v>32.5734394405924</v>
      </c>
      <c r="AU48" s="13">
        <v>32.5734394405924</v>
      </c>
      <c r="AV48" s="13">
        <v>32.5734394405924</v>
      </c>
      <c r="AW48" s="13">
        <v>32.5734394405924</v>
      </c>
      <c r="AX48" s="13">
        <v>32.5734394405924</v>
      </c>
      <c r="AY48" s="13">
        <v>32.5734394405924</v>
      </c>
      <c r="AZ48" s="13">
        <v>32.5734394405924</v>
      </c>
      <c r="BA48" s="13">
        <v>32.5734394405924</v>
      </c>
      <c r="BB48" s="13">
        <v>32.5734394405924</v>
      </c>
      <c r="BC48" s="13">
        <v>32.5734394405924</v>
      </c>
      <c r="BD48" s="13">
        <v>32.5734394405924</v>
      </c>
      <c r="BE48" s="13">
        <v>32.5734394405924</v>
      </c>
      <c r="BF48" s="13">
        <v>32.5734394405924</v>
      </c>
      <c r="BG48" s="13">
        <v>32.5734394405924</v>
      </c>
      <c r="BH48" s="13">
        <v>32.5734394405924</v>
      </c>
      <c r="BI48" s="13">
        <v>32.5734394405924</v>
      </c>
      <c r="BJ48" s="13">
        <v>32.5734394405924</v>
      </c>
      <c r="BK48" s="13">
        <v>32.5734394405924</v>
      </c>
      <c r="BL48" s="13">
        <v>32.5734394405924</v>
      </c>
      <c r="BM48" s="13">
        <v>32.5734394405924</v>
      </c>
      <c r="BN48" s="13">
        <v>32.5734394405924</v>
      </c>
    </row>
    <row r="49" spans="4:66">
      <c r="D49" s="14" t="s">
        <v>13</v>
      </c>
      <c r="E49" s="13">
        <f t="shared" si="10"/>
        <v>0.178072429854461</v>
      </c>
      <c r="F49" s="13">
        <f t="shared" si="15"/>
        <v>0.220007211093499</v>
      </c>
      <c r="G49" s="13">
        <f t="shared" si="18"/>
        <v>2.59468330318401</v>
      </c>
      <c r="H49" s="13">
        <f t="shared" si="21"/>
        <v>11.9021434616518</v>
      </c>
      <c r="I49" s="13">
        <f t="shared" si="24"/>
        <v>0.551496088669399</v>
      </c>
      <c r="J49" s="13">
        <f t="shared" si="27"/>
        <v>0.690945257110503</v>
      </c>
      <c r="K49" s="13">
        <f t="shared" si="30"/>
        <v>1.4402151831264</v>
      </c>
      <c r="L49" s="13">
        <f t="shared" si="33"/>
        <v>4.49306121452298</v>
      </c>
      <c r="M49" s="13">
        <f t="shared" si="36"/>
        <v>0.167589659887238</v>
      </c>
      <c r="N49" s="13">
        <f t="shared" si="39"/>
        <v>0.289882404379075</v>
      </c>
      <c r="O49" s="13">
        <f t="shared" si="42"/>
        <v>0.331255994279153</v>
      </c>
      <c r="P49" s="13">
        <f t="shared" si="46"/>
        <v>37.6783819020413</v>
      </c>
      <c r="Q49" s="13">
        <f t="shared" ref="Q49:Q60" si="49">1/ABS(Q16)</f>
        <v>0.442709679320614</v>
      </c>
      <c r="R49" s="13">
        <v>0</v>
      </c>
      <c r="S49" s="13">
        <f t="shared" ref="S49:AC49" si="50">1/ABS(S16)</f>
        <v>0.568953405980277</v>
      </c>
      <c r="T49" s="13">
        <f t="shared" si="50"/>
        <v>4.62949108638195</v>
      </c>
      <c r="U49" s="13">
        <f t="shared" si="50"/>
        <v>1.1331313566945</v>
      </c>
      <c r="V49" s="13">
        <f t="shared" si="50"/>
        <v>2.97695418701138</v>
      </c>
      <c r="W49" s="13">
        <f t="shared" si="50"/>
        <v>0.428708369242772</v>
      </c>
      <c r="X49" s="13">
        <f t="shared" si="50"/>
        <v>4.26221444475847</v>
      </c>
      <c r="Y49" s="13">
        <f t="shared" si="50"/>
        <v>3.85972115860378</v>
      </c>
      <c r="Z49" s="13">
        <f t="shared" si="50"/>
        <v>1.14930724473983</v>
      </c>
      <c r="AA49" s="13">
        <f t="shared" si="50"/>
        <v>26.7612685359239</v>
      </c>
      <c r="AB49" s="13">
        <f t="shared" si="50"/>
        <v>1.62359974864665</v>
      </c>
      <c r="AC49" s="13">
        <f t="shared" si="50"/>
        <v>2.20915741707474</v>
      </c>
      <c r="AD49" s="13">
        <f t="shared" ref="AD49" si="51">1/ABS(AD16)</f>
        <v>3.61091806636421</v>
      </c>
      <c r="AE49" s="13">
        <f t="shared" si="45"/>
        <v>1.60471977125895</v>
      </c>
      <c r="AF49" s="13">
        <f t="shared" si="45"/>
        <v>1.3977278530892</v>
      </c>
      <c r="AG49" s="13">
        <f t="shared" si="45"/>
        <v>7.20626216524035</v>
      </c>
      <c r="AH49" s="13">
        <f t="shared" si="45"/>
        <v>2.88757210357214</v>
      </c>
      <c r="AI49" s="13">
        <f t="shared" si="45"/>
        <v>3.33160545069225</v>
      </c>
      <c r="AJ49" s="13">
        <f t="shared" si="14"/>
        <v>130.621756154396</v>
      </c>
      <c r="AK49" s="13">
        <v>130.621756154396</v>
      </c>
      <c r="AL49" s="13">
        <v>130.621756154396</v>
      </c>
      <c r="AM49" s="13">
        <v>130.621756154396</v>
      </c>
      <c r="AN49" s="13">
        <v>130.621756154396</v>
      </c>
      <c r="AO49" s="13">
        <v>130.621756154396</v>
      </c>
      <c r="AP49" s="13">
        <v>130.621756154396</v>
      </c>
      <c r="AQ49" s="13">
        <v>130.621756154396</v>
      </c>
      <c r="AR49" s="13">
        <v>130.621756154396</v>
      </c>
      <c r="AS49" s="13">
        <v>130.621756154396</v>
      </c>
      <c r="AT49" s="13">
        <v>130.621756154396</v>
      </c>
      <c r="AU49" s="13">
        <v>130.621756154396</v>
      </c>
      <c r="AV49" s="13">
        <v>130.621756154396</v>
      </c>
      <c r="AW49" s="13">
        <v>130.621756154396</v>
      </c>
      <c r="AX49" s="13">
        <v>130.621756154396</v>
      </c>
      <c r="AY49" s="13">
        <v>130.621756154396</v>
      </c>
      <c r="AZ49" s="13">
        <v>130.621756154396</v>
      </c>
      <c r="BA49" s="13">
        <v>130.621756154396</v>
      </c>
      <c r="BB49" s="13">
        <v>130.621756154396</v>
      </c>
      <c r="BC49" s="13">
        <v>130.621756154396</v>
      </c>
      <c r="BD49" s="13">
        <v>130.621756154396</v>
      </c>
      <c r="BE49" s="13">
        <v>130.621756154396</v>
      </c>
      <c r="BF49" s="13">
        <v>130.621756154396</v>
      </c>
      <c r="BG49" s="13">
        <v>130.621756154396</v>
      </c>
      <c r="BH49" s="13">
        <v>130.621756154396</v>
      </c>
      <c r="BI49" s="13">
        <v>130.621756154396</v>
      </c>
      <c r="BJ49" s="13">
        <v>130.621756154396</v>
      </c>
      <c r="BK49" s="13">
        <v>130.621756154396</v>
      </c>
      <c r="BL49" s="13">
        <v>130.621756154396</v>
      </c>
      <c r="BM49" s="13">
        <v>130.621756154396</v>
      </c>
      <c r="BN49" s="13">
        <v>130.621756154396</v>
      </c>
    </row>
    <row r="50" spans="4:66">
      <c r="D50" s="14" t="s">
        <v>14</v>
      </c>
      <c r="E50" s="13">
        <f t="shared" si="10"/>
        <v>0.259196332553847</v>
      </c>
      <c r="F50" s="13">
        <f t="shared" si="15"/>
        <v>0.358719636224958</v>
      </c>
      <c r="G50" s="13">
        <f t="shared" si="18"/>
        <v>0.72875159952197</v>
      </c>
      <c r="H50" s="13">
        <f t="shared" si="21"/>
        <v>0.597516235738396</v>
      </c>
      <c r="I50" s="13">
        <f t="shared" si="24"/>
        <v>17.9738714972974</v>
      </c>
      <c r="J50" s="13">
        <f t="shared" si="27"/>
        <v>3.22247472873648</v>
      </c>
      <c r="K50" s="13">
        <f t="shared" si="30"/>
        <v>0.940492691494308</v>
      </c>
      <c r="L50" s="13">
        <f t="shared" si="33"/>
        <v>0.651445527494332</v>
      </c>
      <c r="M50" s="13">
        <f t="shared" si="36"/>
        <v>0.237566817451961</v>
      </c>
      <c r="N50" s="13">
        <f t="shared" si="39"/>
        <v>0.590995052724662</v>
      </c>
      <c r="O50" s="13">
        <f t="shared" si="42"/>
        <v>0.792895576134777</v>
      </c>
      <c r="P50" s="13">
        <f t="shared" si="46"/>
        <v>0.577676471554054</v>
      </c>
      <c r="Q50" s="13">
        <f t="shared" si="49"/>
        <v>1.99519759575017</v>
      </c>
      <c r="R50" s="13">
        <f t="shared" ref="R50:R60" si="52">1/ABS(R17)</f>
        <v>0.568953405980277</v>
      </c>
      <c r="S50" s="13">
        <v>0</v>
      </c>
      <c r="T50" s="13">
        <f t="shared" ref="T50:AC50" si="53">1/ABS(T17)</f>
        <v>0.648673877419058</v>
      </c>
      <c r="U50" s="13">
        <f t="shared" si="53"/>
        <v>1.14272268882225</v>
      </c>
      <c r="V50" s="13">
        <f t="shared" si="53"/>
        <v>0.703383585873302</v>
      </c>
      <c r="W50" s="13">
        <f t="shared" si="53"/>
        <v>1.73920655252462</v>
      </c>
      <c r="X50" s="13">
        <f t="shared" si="53"/>
        <v>0.50194932163097</v>
      </c>
      <c r="Y50" s="13">
        <f t="shared" si="53"/>
        <v>0.667321933482251</v>
      </c>
      <c r="Z50" s="13">
        <f t="shared" si="53"/>
        <v>1.12673032853575</v>
      </c>
      <c r="AA50" s="13">
        <f t="shared" si="53"/>
        <v>0.58131229737917</v>
      </c>
      <c r="AB50" s="13">
        <f t="shared" si="53"/>
        <v>0.421313665756219</v>
      </c>
      <c r="AC50" s="13">
        <f t="shared" si="53"/>
        <v>0.452432504261682</v>
      </c>
      <c r="AD50" s="13">
        <f t="shared" ref="AD50" si="54">1/ABS(AD17)</f>
        <v>0.491508924656311</v>
      </c>
      <c r="AE50" s="13">
        <f t="shared" si="45"/>
        <v>0.881483324915677</v>
      </c>
      <c r="AF50" s="13">
        <f t="shared" si="45"/>
        <v>0.404357350221999</v>
      </c>
      <c r="AG50" s="13">
        <f t="shared" si="45"/>
        <v>0.617724374744527</v>
      </c>
      <c r="AH50" s="13">
        <f t="shared" si="45"/>
        <v>0.708565830616014</v>
      </c>
      <c r="AI50" s="13">
        <f t="shared" si="45"/>
        <v>0.686126315538746</v>
      </c>
      <c r="AJ50" s="13">
        <f t="shared" si="14"/>
        <v>41.2705660450361</v>
      </c>
      <c r="AK50" s="13">
        <v>41.2705660450362</v>
      </c>
      <c r="AL50" s="13">
        <v>41.2705660450362</v>
      </c>
      <c r="AM50" s="13">
        <v>41.2705660450362</v>
      </c>
      <c r="AN50" s="13">
        <v>41.2705660450362</v>
      </c>
      <c r="AO50" s="13">
        <v>41.2705660450362</v>
      </c>
      <c r="AP50" s="13">
        <v>41.2705660450362</v>
      </c>
      <c r="AQ50" s="13">
        <v>41.2705660450362</v>
      </c>
      <c r="AR50" s="13">
        <v>41.2705660450362</v>
      </c>
      <c r="AS50" s="13">
        <v>41.2705660450362</v>
      </c>
      <c r="AT50" s="13">
        <v>41.2705660450362</v>
      </c>
      <c r="AU50" s="13">
        <v>41.2705660450362</v>
      </c>
      <c r="AV50" s="13">
        <v>41.2705660450362</v>
      </c>
      <c r="AW50" s="13">
        <v>41.2705660450362</v>
      </c>
      <c r="AX50" s="13">
        <v>41.2705660450362</v>
      </c>
      <c r="AY50" s="13">
        <v>41.2705660450362</v>
      </c>
      <c r="AZ50" s="13">
        <v>41.2705660450362</v>
      </c>
      <c r="BA50" s="13">
        <v>41.2705660450362</v>
      </c>
      <c r="BB50" s="13">
        <v>41.2705660450362</v>
      </c>
      <c r="BC50" s="13">
        <v>41.2705660450362</v>
      </c>
      <c r="BD50" s="13">
        <v>41.2705660450362</v>
      </c>
      <c r="BE50" s="13">
        <v>41.2705660450362</v>
      </c>
      <c r="BF50" s="13">
        <v>41.2705660450362</v>
      </c>
      <c r="BG50" s="13">
        <v>41.2705660450362</v>
      </c>
      <c r="BH50" s="13">
        <v>41.2705660450362</v>
      </c>
      <c r="BI50" s="13">
        <v>41.2705660450362</v>
      </c>
      <c r="BJ50" s="13">
        <v>41.2705660450362</v>
      </c>
      <c r="BK50" s="13">
        <v>41.2705660450362</v>
      </c>
      <c r="BL50" s="13">
        <v>41.2705660450362</v>
      </c>
      <c r="BM50" s="13">
        <v>41.2705660450362</v>
      </c>
      <c r="BN50" s="13">
        <v>41.2705660450362</v>
      </c>
    </row>
    <row r="51" spans="4:66">
      <c r="D51" s="14" t="s">
        <v>15</v>
      </c>
      <c r="E51" s="13">
        <f t="shared" si="10"/>
        <v>0.185195954447631</v>
      </c>
      <c r="F51" s="13">
        <f t="shared" si="15"/>
        <v>0.230984271970034</v>
      </c>
      <c r="G51" s="13">
        <f t="shared" si="18"/>
        <v>5.90329136897448</v>
      </c>
      <c r="H51" s="13">
        <f t="shared" si="21"/>
        <v>7.57644724666382</v>
      </c>
      <c r="I51" s="13">
        <f t="shared" si="24"/>
        <v>0.626078802966069</v>
      </c>
      <c r="J51" s="13">
        <f t="shared" si="27"/>
        <v>0.812158864624069</v>
      </c>
      <c r="K51" s="13">
        <f t="shared" si="30"/>
        <v>2.09058844546802</v>
      </c>
      <c r="L51" s="13">
        <f t="shared" si="33"/>
        <v>152.463581177468</v>
      </c>
      <c r="M51" s="13">
        <f t="shared" si="36"/>
        <v>0.173884351637787</v>
      </c>
      <c r="N51" s="13">
        <f t="shared" si="39"/>
        <v>0.30924631816169</v>
      </c>
      <c r="O51" s="13">
        <f t="shared" si="42"/>
        <v>0.356785201359399</v>
      </c>
      <c r="P51" s="13">
        <f t="shared" si="46"/>
        <v>5.27799054248881</v>
      </c>
      <c r="Q51" s="13">
        <f t="shared" si="49"/>
        <v>0.489521738778413</v>
      </c>
      <c r="R51" s="13">
        <f t="shared" si="52"/>
        <v>4.62949108638195</v>
      </c>
      <c r="S51" s="13">
        <f t="shared" ref="S51:S60" si="55">1/ABS(S18)</f>
        <v>0.648673877419058</v>
      </c>
      <c r="T51" s="13">
        <v>0</v>
      </c>
      <c r="U51" s="13">
        <f t="shared" ref="U51:AC51" si="56">1/ABS(U18)</f>
        <v>1.5003666444774</v>
      </c>
      <c r="V51" s="13">
        <f t="shared" si="56"/>
        <v>8.33977315640329</v>
      </c>
      <c r="W51" s="13">
        <f t="shared" si="56"/>
        <v>0.472459945611845</v>
      </c>
      <c r="X51" s="13">
        <f t="shared" si="56"/>
        <v>2.21913374336937</v>
      </c>
      <c r="Y51" s="13">
        <f t="shared" si="56"/>
        <v>23.2128380894938</v>
      </c>
      <c r="Z51" s="13">
        <f t="shared" si="56"/>
        <v>1.52885821184856</v>
      </c>
      <c r="AA51" s="13">
        <f t="shared" si="56"/>
        <v>5.59788089455497</v>
      </c>
      <c r="AB51" s="13">
        <f t="shared" si="56"/>
        <v>1.20203604305666</v>
      </c>
      <c r="AC51" s="13">
        <f t="shared" si="56"/>
        <v>1.49551107438737</v>
      </c>
      <c r="AD51" s="13">
        <f t="shared" ref="AD51" si="57">1/ABS(AD18)</f>
        <v>2.02862657569833</v>
      </c>
      <c r="AE51" s="13">
        <f t="shared" si="45"/>
        <v>2.45606530319866</v>
      </c>
      <c r="AF51" s="13">
        <f t="shared" si="45"/>
        <v>1.0735911042966</v>
      </c>
      <c r="AG51" s="13">
        <f t="shared" si="45"/>
        <v>12.9469500545978</v>
      </c>
      <c r="AH51" s="13">
        <f t="shared" si="45"/>
        <v>7.67428878535393</v>
      </c>
      <c r="AI51" s="13">
        <f t="shared" si="45"/>
        <v>11.8836647183673</v>
      </c>
      <c r="AJ51" s="13">
        <f t="shared" si="14"/>
        <v>265.405963593525</v>
      </c>
      <c r="AK51" s="13">
        <v>265.405963593525</v>
      </c>
      <c r="AL51" s="13">
        <v>265.405963593525</v>
      </c>
      <c r="AM51" s="13">
        <v>265.405963593525</v>
      </c>
      <c r="AN51" s="13">
        <v>265.405963593525</v>
      </c>
      <c r="AO51" s="13">
        <v>265.405963593525</v>
      </c>
      <c r="AP51" s="13">
        <v>265.405963593525</v>
      </c>
      <c r="AQ51" s="13">
        <v>265.405963593525</v>
      </c>
      <c r="AR51" s="13">
        <v>265.405963593525</v>
      </c>
      <c r="AS51" s="13">
        <v>265.405963593525</v>
      </c>
      <c r="AT51" s="13">
        <v>265.405963593525</v>
      </c>
      <c r="AU51" s="13">
        <v>265.405963593525</v>
      </c>
      <c r="AV51" s="13">
        <v>265.405963593525</v>
      </c>
      <c r="AW51" s="13">
        <v>265.405963593525</v>
      </c>
      <c r="AX51" s="13">
        <v>265.405963593525</v>
      </c>
      <c r="AY51" s="13">
        <v>265.405963593525</v>
      </c>
      <c r="AZ51" s="13">
        <v>265.405963593525</v>
      </c>
      <c r="BA51" s="13">
        <v>265.405963593525</v>
      </c>
      <c r="BB51" s="13">
        <v>265.405963593525</v>
      </c>
      <c r="BC51" s="13">
        <v>265.405963593525</v>
      </c>
      <c r="BD51" s="13">
        <v>265.405963593525</v>
      </c>
      <c r="BE51" s="13">
        <v>265.405963593525</v>
      </c>
      <c r="BF51" s="13">
        <v>265.405963593525</v>
      </c>
      <c r="BG51" s="13">
        <v>265.405963593525</v>
      </c>
      <c r="BH51" s="13">
        <v>265.405963593525</v>
      </c>
      <c r="BI51" s="13">
        <v>265.405963593525</v>
      </c>
      <c r="BJ51" s="13">
        <v>265.405963593525</v>
      </c>
      <c r="BK51" s="13">
        <v>265.405963593525</v>
      </c>
      <c r="BL51" s="13">
        <v>265.405963593525</v>
      </c>
      <c r="BM51" s="13">
        <v>265.405963593525</v>
      </c>
      <c r="BN51" s="13">
        <v>265.405963593525</v>
      </c>
    </row>
    <row r="52" spans="4:66">
      <c r="D52" s="14" t="s">
        <v>16</v>
      </c>
      <c r="E52" s="13">
        <f t="shared" si="10"/>
        <v>0.211274350053446</v>
      </c>
      <c r="F52" s="13">
        <f t="shared" si="15"/>
        <v>0.273015526738555</v>
      </c>
      <c r="G52" s="13">
        <f t="shared" si="18"/>
        <v>2.01164044739656</v>
      </c>
      <c r="H52" s="13">
        <f t="shared" si="21"/>
        <v>1.25236111138419</v>
      </c>
      <c r="I52" s="13">
        <f t="shared" si="24"/>
        <v>1.07441475013633</v>
      </c>
      <c r="J52" s="13">
        <f t="shared" si="27"/>
        <v>1.77059328035826</v>
      </c>
      <c r="K52" s="13">
        <f t="shared" si="30"/>
        <v>5.31435668022699</v>
      </c>
      <c r="L52" s="13">
        <f t="shared" si="33"/>
        <v>1.51527822459196</v>
      </c>
      <c r="M52" s="13">
        <f t="shared" si="36"/>
        <v>0.196678299139165</v>
      </c>
      <c r="N52" s="13">
        <f t="shared" si="39"/>
        <v>0.389534835772977</v>
      </c>
      <c r="O52" s="13">
        <f t="shared" si="42"/>
        <v>0.468098375139127</v>
      </c>
      <c r="P52" s="13">
        <f t="shared" si="46"/>
        <v>1.16826551646531</v>
      </c>
      <c r="Q52" s="13">
        <f t="shared" si="49"/>
        <v>0.726582371310302</v>
      </c>
      <c r="R52" s="13">
        <f t="shared" si="52"/>
        <v>1.1331313566945</v>
      </c>
      <c r="S52" s="13">
        <f t="shared" si="55"/>
        <v>1.14272268882225</v>
      </c>
      <c r="T52" s="13">
        <f t="shared" ref="T52:T60" si="58">1/ABS(T19)</f>
        <v>1.5003666444774</v>
      </c>
      <c r="U52" s="13">
        <v>0</v>
      </c>
      <c r="V52" s="13">
        <f t="shared" ref="V52:AC52" si="59">1/ABS(V19)</f>
        <v>1.8295033998282</v>
      </c>
      <c r="W52" s="13">
        <f t="shared" si="59"/>
        <v>0.689618176464801</v>
      </c>
      <c r="X52" s="13">
        <f t="shared" si="59"/>
        <v>0.895150934535362</v>
      </c>
      <c r="Y52" s="13">
        <f t="shared" si="59"/>
        <v>1.6040443890198</v>
      </c>
      <c r="Z52" s="13">
        <f t="shared" si="59"/>
        <v>80.5097113581499</v>
      </c>
      <c r="AA52" s="13">
        <f t="shared" si="59"/>
        <v>1.18323201998286</v>
      </c>
      <c r="AB52" s="13">
        <f t="shared" si="59"/>
        <v>0.667367151750245</v>
      </c>
      <c r="AC52" s="13">
        <f t="shared" si="59"/>
        <v>0.74896746229937</v>
      </c>
      <c r="AD52" s="13">
        <f t="shared" ref="AD52" si="60">1/ABS(AD19)</f>
        <v>0.862479313045159</v>
      </c>
      <c r="AE52" s="13">
        <f t="shared" si="45"/>
        <v>3.85581629099298</v>
      </c>
      <c r="AF52" s="13">
        <f t="shared" si="45"/>
        <v>0.625799037867466</v>
      </c>
      <c r="AG52" s="13">
        <f t="shared" si="45"/>
        <v>1.34455223860891</v>
      </c>
      <c r="AH52" s="13">
        <f t="shared" si="45"/>
        <v>1.86498090693404</v>
      </c>
      <c r="AI52" s="13">
        <f t="shared" si="45"/>
        <v>1.71716674516228</v>
      </c>
      <c r="AJ52" s="13">
        <f t="shared" si="14"/>
        <v>118.546703883349</v>
      </c>
      <c r="AK52" s="13">
        <v>118.546703883349</v>
      </c>
      <c r="AL52" s="13">
        <v>118.546703883349</v>
      </c>
      <c r="AM52" s="13">
        <v>118.546703883349</v>
      </c>
      <c r="AN52" s="13">
        <v>118.546703883349</v>
      </c>
      <c r="AO52" s="13">
        <v>118.546703883349</v>
      </c>
      <c r="AP52" s="13">
        <v>118.546703883349</v>
      </c>
      <c r="AQ52" s="13">
        <v>118.546703883349</v>
      </c>
      <c r="AR52" s="13">
        <v>118.546703883349</v>
      </c>
      <c r="AS52" s="13">
        <v>118.546703883349</v>
      </c>
      <c r="AT52" s="13">
        <v>118.546703883349</v>
      </c>
      <c r="AU52" s="13">
        <v>118.546703883349</v>
      </c>
      <c r="AV52" s="13">
        <v>118.546703883349</v>
      </c>
      <c r="AW52" s="13">
        <v>118.546703883349</v>
      </c>
      <c r="AX52" s="13">
        <v>118.546703883349</v>
      </c>
      <c r="AY52" s="13">
        <v>118.546703883349</v>
      </c>
      <c r="AZ52" s="13">
        <v>118.546703883349</v>
      </c>
      <c r="BA52" s="13">
        <v>118.546703883349</v>
      </c>
      <c r="BB52" s="13">
        <v>118.546703883349</v>
      </c>
      <c r="BC52" s="13">
        <v>118.546703883349</v>
      </c>
      <c r="BD52" s="13">
        <v>118.546703883349</v>
      </c>
      <c r="BE52" s="13">
        <v>118.546703883349</v>
      </c>
      <c r="BF52" s="13">
        <v>118.546703883349</v>
      </c>
      <c r="BG52" s="13">
        <v>118.546703883349</v>
      </c>
      <c r="BH52" s="13">
        <v>118.546703883349</v>
      </c>
      <c r="BI52" s="13">
        <v>118.546703883349</v>
      </c>
      <c r="BJ52" s="13">
        <v>118.546703883349</v>
      </c>
      <c r="BK52" s="13">
        <v>118.546703883349</v>
      </c>
      <c r="BL52" s="13">
        <v>118.546703883349</v>
      </c>
      <c r="BM52" s="13">
        <v>118.546703883349</v>
      </c>
      <c r="BN52" s="13">
        <v>118.546703883349</v>
      </c>
    </row>
    <row r="53" spans="4:66">
      <c r="D53" s="14" t="s">
        <v>17</v>
      </c>
      <c r="E53" s="13">
        <f t="shared" si="10"/>
        <v>0.189401879622457</v>
      </c>
      <c r="F53" s="13">
        <f t="shared" si="15"/>
        <v>0.237564013366428</v>
      </c>
      <c r="G53" s="13">
        <f t="shared" si="18"/>
        <v>20.2062297971677</v>
      </c>
      <c r="H53" s="13">
        <f t="shared" si="21"/>
        <v>3.96990301519426</v>
      </c>
      <c r="I53" s="13">
        <f t="shared" si="24"/>
        <v>0.676894229344581</v>
      </c>
      <c r="J53" s="13">
        <f t="shared" si="27"/>
        <v>0.899783176367538</v>
      </c>
      <c r="K53" s="13">
        <f t="shared" si="30"/>
        <v>2.78996928480798</v>
      </c>
      <c r="L53" s="13">
        <f t="shared" si="33"/>
        <v>8.82235696580485</v>
      </c>
      <c r="M53" s="13">
        <f t="shared" si="36"/>
        <v>0.177587043220711</v>
      </c>
      <c r="N53" s="13">
        <f t="shared" si="39"/>
        <v>0.321155036882504</v>
      </c>
      <c r="O53" s="13">
        <f t="shared" si="42"/>
        <v>0.372731070328002</v>
      </c>
      <c r="P53" s="13">
        <f t="shared" si="46"/>
        <v>3.23234011246499</v>
      </c>
      <c r="Q53" s="13">
        <f t="shared" si="49"/>
        <v>0.520047071024286</v>
      </c>
      <c r="R53" s="13">
        <f t="shared" si="52"/>
        <v>2.97695418701138</v>
      </c>
      <c r="S53" s="13">
        <f t="shared" si="55"/>
        <v>0.703383585873302</v>
      </c>
      <c r="T53" s="13">
        <f t="shared" si="58"/>
        <v>8.33977315640329</v>
      </c>
      <c r="U53" s="13">
        <f t="shared" ref="U53:U60" si="61">1/ABS(U20)</f>
        <v>1.8295033998282</v>
      </c>
      <c r="V53" s="13">
        <v>0</v>
      </c>
      <c r="W53" s="13">
        <f t="shared" ref="W53:AC53" si="62">1/ABS(W20)</f>
        <v>0.500832834071575</v>
      </c>
      <c r="X53" s="13">
        <f t="shared" si="62"/>
        <v>1.75274507097123</v>
      </c>
      <c r="Y53" s="13">
        <f t="shared" si="62"/>
        <v>13.0161338536206</v>
      </c>
      <c r="Z53" s="13">
        <f t="shared" si="62"/>
        <v>1.87204373845765</v>
      </c>
      <c r="AA53" s="13">
        <f t="shared" si="62"/>
        <v>3.34956346645314</v>
      </c>
      <c r="AB53" s="13">
        <f t="shared" si="62"/>
        <v>1.05060871742023</v>
      </c>
      <c r="AC53" s="13">
        <f t="shared" si="62"/>
        <v>1.2681100841228</v>
      </c>
      <c r="AD53" s="13">
        <f t="shared" ref="AD53" si="63">1/ABS(AD20)</f>
        <v>1.63171616618855</v>
      </c>
      <c r="AE53" s="13">
        <f t="shared" si="45"/>
        <v>3.48131280427755</v>
      </c>
      <c r="AF53" s="13">
        <f t="shared" si="45"/>
        <v>0.95114839122357</v>
      </c>
      <c r="AG53" s="13">
        <f t="shared" si="45"/>
        <v>5.07239303355187</v>
      </c>
      <c r="AH53" s="13">
        <f t="shared" si="45"/>
        <v>96.1732993152962</v>
      </c>
      <c r="AI53" s="13">
        <f t="shared" si="45"/>
        <v>27.9656039935411</v>
      </c>
      <c r="AJ53" s="13">
        <f t="shared" si="14"/>
        <v>214.351088493909</v>
      </c>
      <c r="AK53" s="13">
        <v>214.351088493908</v>
      </c>
      <c r="AL53" s="13">
        <v>214.351088493908</v>
      </c>
      <c r="AM53" s="13">
        <v>214.351088493908</v>
      </c>
      <c r="AN53" s="13">
        <v>214.351088493908</v>
      </c>
      <c r="AO53" s="13">
        <v>214.351088493908</v>
      </c>
      <c r="AP53" s="13">
        <v>214.351088493908</v>
      </c>
      <c r="AQ53" s="13">
        <v>214.351088493908</v>
      </c>
      <c r="AR53" s="13">
        <v>214.351088493908</v>
      </c>
      <c r="AS53" s="13">
        <v>214.351088493908</v>
      </c>
      <c r="AT53" s="13">
        <v>214.351088493908</v>
      </c>
      <c r="AU53" s="13">
        <v>214.351088493908</v>
      </c>
      <c r="AV53" s="13">
        <v>214.351088493908</v>
      </c>
      <c r="AW53" s="13">
        <v>214.351088493908</v>
      </c>
      <c r="AX53" s="13">
        <v>214.351088493908</v>
      </c>
      <c r="AY53" s="13">
        <v>214.351088493908</v>
      </c>
      <c r="AZ53" s="13">
        <v>214.351088493908</v>
      </c>
      <c r="BA53" s="13">
        <v>214.351088493908</v>
      </c>
      <c r="BB53" s="13">
        <v>214.351088493908</v>
      </c>
      <c r="BC53" s="13">
        <v>214.351088493908</v>
      </c>
      <c r="BD53" s="13">
        <v>214.351088493908</v>
      </c>
      <c r="BE53" s="13">
        <v>214.351088493908</v>
      </c>
      <c r="BF53" s="13">
        <v>214.351088493908</v>
      </c>
      <c r="BG53" s="13">
        <v>214.351088493908</v>
      </c>
      <c r="BH53" s="13">
        <v>214.351088493908</v>
      </c>
      <c r="BI53" s="13">
        <v>214.351088493908</v>
      </c>
      <c r="BJ53" s="13">
        <v>214.351088493908</v>
      </c>
      <c r="BK53" s="13">
        <v>214.351088493908</v>
      </c>
      <c r="BL53" s="13">
        <v>214.351088493908</v>
      </c>
      <c r="BM53" s="13">
        <v>214.351088493908</v>
      </c>
      <c r="BN53" s="13">
        <v>214.351088493908</v>
      </c>
    </row>
    <row r="54" spans="4:66">
      <c r="D54" s="14" t="s">
        <v>18</v>
      </c>
      <c r="E54" s="13">
        <f t="shared" si="10"/>
        <v>0.304589761533473</v>
      </c>
      <c r="F54" s="13">
        <f t="shared" si="15"/>
        <v>0.451932962547736</v>
      </c>
      <c r="G54" s="13">
        <f t="shared" si="18"/>
        <v>0.513562013197168</v>
      </c>
      <c r="H54" s="13">
        <f t="shared" si="21"/>
        <v>0.444727187005587</v>
      </c>
      <c r="I54" s="13">
        <f t="shared" si="24"/>
        <v>1.92552634678182</v>
      </c>
      <c r="J54" s="13">
        <f t="shared" si="27"/>
        <v>1.12956654123076</v>
      </c>
      <c r="K54" s="13">
        <f t="shared" si="30"/>
        <v>0.610408446134138</v>
      </c>
      <c r="L54" s="13">
        <f t="shared" si="33"/>
        <v>0.473928573505358</v>
      </c>
      <c r="M54" s="13">
        <f t="shared" si="36"/>
        <v>0.275151060487141</v>
      </c>
      <c r="N54" s="13">
        <f t="shared" si="39"/>
        <v>0.895185659077129</v>
      </c>
      <c r="O54" s="13">
        <f t="shared" si="42"/>
        <v>1.45724736993148</v>
      </c>
      <c r="P54" s="13">
        <f t="shared" si="46"/>
        <v>0.433642395461739</v>
      </c>
      <c r="Q54" s="13">
        <f t="shared" si="49"/>
        <v>13.555399002975</v>
      </c>
      <c r="R54" s="13">
        <f t="shared" si="52"/>
        <v>0.428708369242772</v>
      </c>
      <c r="S54" s="13">
        <f t="shared" si="55"/>
        <v>1.73920655252462</v>
      </c>
      <c r="T54" s="13">
        <f t="shared" si="58"/>
        <v>0.472459945611845</v>
      </c>
      <c r="U54" s="13">
        <f t="shared" si="61"/>
        <v>0.689618176464801</v>
      </c>
      <c r="V54" s="13">
        <f t="shared" ref="V54:V60" si="64">1/ABS(V21)</f>
        <v>0.500832834071575</v>
      </c>
      <c r="W54" s="13">
        <v>0</v>
      </c>
      <c r="X54" s="13">
        <f t="shared" ref="X54:AC54" si="65">1/ABS(X21)</f>
        <v>0.389528260520832</v>
      </c>
      <c r="Y54" s="13">
        <f t="shared" si="65"/>
        <v>0.482275894968324</v>
      </c>
      <c r="Z54" s="13">
        <f t="shared" si="65"/>
        <v>0.683761314936062</v>
      </c>
      <c r="AA54" s="13">
        <f t="shared" si="65"/>
        <v>0.43568797413859</v>
      </c>
      <c r="AB54" s="13">
        <f t="shared" si="65"/>
        <v>0.339155117342269</v>
      </c>
      <c r="AC54" s="13">
        <f t="shared" si="65"/>
        <v>0.359034291504582</v>
      </c>
      <c r="AD54" s="13">
        <f t="shared" ref="AD54" si="66">1/ABS(AD21)</f>
        <v>0.383211373718932</v>
      </c>
      <c r="AE54" s="13">
        <f t="shared" si="45"/>
        <v>0.584991603864223</v>
      </c>
      <c r="AF54" s="13">
        <f t="shared" si="45"/>
        <v>0.328080236920617</v>
      </c>
      <c r="AG54" s="13">
        <f t="shared" si="45"/>
        <v>0.455825950510416</v>
      </c>
      <c r="AH54" s="13">
        <f t="shared" si="45"/>
        <v>0.503454628375722</v>
      </c>
      <c r="AI54" s="13">
        <f t="shared" si="45"/>
        <v>0.492021280690196</v>
      </c>
      <c r="AJ54" s="13">
        <f t="shared" si="14"/>
        <v>31.7387211252749</v>
      </c>
      <c r="AK54" s="13">
        <v>31.7387211252749</v>
      </c>
      <c r="AL54" s="13">
        <v>31.7387211252749</v>
      </c>
      <c r="AM54" s="13">
        <v>31.7387211252749</v>
      </c>
      <c r="AN54" s="13">
        <v>31.7387211252749</v>
      </c>
      <c r="AO54" s="13">
        <v>31.7387211252749</v>
      </c>
      <c r="AP54" s="13">
        <v>31.7387211252749</v>
      </c>
      <c r="AQ54" s="13">
        <v>31.7387211252749</v>
      </c>
      <c r="AR54" s="13">
        <v>31.7387211252749</v>
      </c>
      <c r="AS54" s="13">
        <v>31.7387211252749</v>
      </c>
      <c r="AT54" s="13">
        <v>31.7387211252749</v>
      </c>
      <c r="AU54" s="13">
        <v>31.7387211252749</v>
      </c>
      <c r="AV54" s="13">
        <v>31.7387211252749</v>
      </c>
      <c r="AW54" s="13">
        <v>31.7387211252749</v>
      </c>
      <c r="AX54" s="13">
        <v>31.7387211252749</v>
      </c>
      <c r="AY54" s="13">
        <v>31.7387211252749</v>
      </c>
      <c r="AZ54" s="13">
        <v>31.7387211252749</v>
      </c>
      <c r="BA54" s="13">
        <v>31.7387211252749</v>
      </c>
      <c r="BB54" s="13">
        <v>31.7387211252749</v>
      </c>
      <c r="BC54" s="13">
        <v>31.7387211252749</v>
      </c>
      <c r="BD54" s="13">
        <v>31.7387211252749</v>
      </c>
      <c r="BE54" s="13">
        <v>31.7387211252749</v>
      </c>
      <c r="BF54" s="13">
        <v>31.7387211252749</v>
      </c>
      <c r="BG54" s="13">
        <v>31.7387211252749</v>
      </c>
      <c r="BH54" s="13">
        <v>31.7387211252749</v>
      </c>
      <c r="BI54" s="13">
        <v>31.7387211252749</v>
      </c>
      <c r="BJ54" s="13">
        <v>31.7387211252749</v>
      </c>
      <c r="BK54" s="13">
        <v>31.7387211252749</v>
      </c>
      <c r="BL54" s="13">
        <v>31.7387211252749</v>
      </c>
      <c r="BM54" s="13">
        <v>31.7387211252749</v>
      </c>
      <c r="BN54" s="13">
        <v>31.7387211252749</v>
      </c>
    </row>
    <row r="55" spans="4:66">
      <c r="D55" s="14" t="s">
        <v>19</v>
      </c>
      <c r="E55" s="13">
        <f t="shared" si="10"/>
        <v>0.170931046612857</v>
      </c>
      <c r="F55" s="13">
        <f t="shared" si="15"/>
        <v>0.209208286665042</v>
      </c>
      <c r="G55" s="13">
        <f t="shared" si="18"/>
        <v>1.61284257997328</v>
      </c>
      <c r="H55" s="13">
        <f t="shared" si="21"/>
        <v>3.13835464913346</v>
      </c>
      <c r="I55" s="13">
        <f t="shared" si="24"/>
        <v>0.488312410775693</v>
      </c>
      <c r="J55" s="13">
        <f t="shared" si="27"/>
        <v>0.594561256379948</v>
      </c>
      <c r="K55" s="13">
        <f t="shared" si="30"/>
        <v>1.07647202291889</v>
      </c>
      <c r="L55" s="13">
        <f t="shared" si="33"/>
        <v>2.18729725424723</v>
      </c>
      <c r="M55" s="13">
        <f t="shared" si="36"/>
        <v>0.161249358276233</v>
      </c>
      <c r="N55" s="13">
        <f t="shared" si="39"/>
        <v>0.271422382293975</v>
      </c>
      <c r="O55" s="13">
        <f t="shared" si="42"/>
        <v>0.307367621598375</v>
      </c>
      <c r="P55" s="13">
        <f t="shared" si="46"/>
        <v>3.82906676552921</v>
      </c>
      <c r="Q55" s="13">
        <f t="shared" si="49"/>
        <v>0.401052926736422</v>
      </c>
      <c r="R55" s="13">
        <f t="shared" si="52"/>
        <v>4.26221444475847</v>
      </c>
      <c r="S55" s="13">
        <f t="shared" si="55"/>
        <v>0.50194932163097</v>
      </c>
      <c r="T55" s="13">
        <f t="shared" si="58"/>
        <v>2.21913374336937</v>
      </c>
      <c r="U55" s="13">
        <f t="shared" si="61"/>
        <v>0.895150934535362</v>
      </c>
      <c r="V55" s="13">
        <f t="shared" si="64"/>
        <v>1.75274507097123</v>
      </c>
      <c r="W55" s="13">
        <f t="shared" ref="W55:W60" si="67">1/ABS(W22)</f>
        <v>0.389528260520832</v>
      </c>
      <c r="X55" s="13">
        <v>0</v>
      </c>
      <c r="Y55" s="13">
        <f>1/ABS(Y22)</f>
        <v>2.02549737874439</v>
      </c>
      <c r="Z55" s="13">
        <f>1/ABS(Z22)</f>
        <v>0.90521561606266</v>
      </c>
      <c r="AA55" s="13">
        <f>1/ABS(AA22)</f>
        <v>3.67664279942066</v>
      </c>
      <c r="AB55" s="13">
        <f>1/ABS(AB22)</f>
        <v>2.62263767096622</v>
      </c>
      <c r="AC55" s="13">
        <f>1/ABS(AC22)</f>
        <v>4.58628402759193</v>
      </c>
      <c r="AD55" s="13">
        <f t="shared" ref="AD55" si="68">1/ABS(AD22)</f>
        <v>23.6305738091793</v>
      </c>
      <c r="AE55" s="13">
        <f t="shared" si="45"/>
        <v>1.16579793415381</v>
      </c>
      <c r="AF55" s="13">
        <f t="shared" si="45"/>
        <v>2.07974994981783</v>
      </c>
      <c r="AG55" s="13">
        <f t="shared" si="45"/>
        <v>2.67817912857103</v>
      </c>
      <c r="AH55" s="13">
        <f t="shared" si="45"/>
        <v>1.72137328113668</v>
      </c>
      <c r="AI55" s="13">
        <f t="shared" si="45"/>
        <v>1.86994385851625</v>
      </c>
      <c r="AJ55" s="13">
        <f t="shared" si="14"/>
        <v>71.4307557910876</v>
      </c>
      <c r="AK55" s="13">
        <v>71.4307557910876</v>
      </c>
      <c r="AL55" s="13">
        <v>71.4307557910876</v>
      </c>
      <c r="AM55" s="13">
        <v>71.4307557910876</v>
      </c>
      <c r="AN55" s="13">
        <v>71.4307557910876</v>
      </c>
      <c r="AO55" s="13">
        <v>71.4307557910876</v>
      </c>
      <c r="AP55" s="13">
        <v>71.4307557910876</v>
      </c>
      <c r="AQ55" s="13">
        <v>71.4307557910876</v>
      </c>
      <c r="AR55" s="13">
        <v>71.4307557910876</v>
      </c>
      <c r="AS55" s="13">
        <v>71.4307557910876</v>
      </c>
      <c r="AT55" s="13">
        <v>71.4307557910876</v>
      </c>
      <c r="AU55" s="13">
        <v>71.4307557910876</v>
      </c>
      <c r="AV55" s="13">
        <v>71.4307557910876</v>
      </c>
      <c r="AW55" s="13">
        <v>71.4307557910876</v>
      </c>
      <c r="AX55" s="13">
        <v>71.4307557910876</v>
      </c>
      <c r="AY55" s="13">
        <v>71.4307557910876</v>
      </c>
      <c r="AZ55" s="13">
        <v>71.4307557910876</v>
      </c>
      <c r="BA55" s="13">
        <v>71.4307557910876</v>
      </c>
      <c r="BB55" s="13">
        <v>71.4307557910876</v>
      </c>
      <c r="BC55" s="13">
        <v>71.4307557910876</v>
      </c>
      <c r="BD55" s="13">
        <v>71.4307557910876</v>
      </c>
      <c r="BE55" s="13">
        <v>71.4307557910876</v>
      </c>
      <c r="BF55" s="13">
        <v>71.4307557910876</v>
      </c>
      <c r="BG55" s="13">
        <v>71.4307557910876</v>
      </c>
      <c r="BH55" s="13">
        <v>71.4307557910876</v>
      </c>
      <c r="BI55" s="13">
        <v>71.4307557910876</v>
      </c>
      <c r="BJ55" s="13">
        <v>71.4307557910876</v>
      </c>
      <c r="BK55" s="13">
        <v>71.4307557910876</v>
      </c>
      <c r="BL55" s="13">
        <v>71.4307557910876</v>
      </c>
      <c r="BM55" s="13">
        <v>71.4307557910876</v>
      </c>
      <c r="BN55" s="13">
        <v>71.4307557910876</v>
      </c>
    </row>
    <row r="56" spans="4:66">
      <c r="D56" s="14" t="s">
        <v>20</v>
      </c>
      <c r="E56" s="13">
        <f t="shared" si="10"/>
        <v>0.186685361888594</v>
      </c>
      <c r="F56" s="13">
        <f t="shared" si="15"/>
        <v>0.233305831158477</v>
      </c>
      <c r="G56" s="13">
        <f t="shared" si="18"/>
        <v>7.91656471169567</v>
      </c>
      <c r="H56" s="13">
        <f t="shared" si="21"/>
        <v>5.71207942341757</v>
      </c>
      <c r="I56" s="13">
        <f t="shared" si="24"/>
        <v>0.643432982135864</v>
      </c>
      <c r="J56" s="13">
        <f t="shared" si="27"/>
        <v>0.841604490569873</v>
      </c>
      <c r="K56" s="13">
        <f t="shared" si="30"/>
        <v>2.29750580143065</v>
      </c>
      <c r="L56" s="13">
        <f t="shared" si="33"/>
        <v>27.3817568848178</v>
      </c>
      <c r="M56" s="13">
        <f t="shared" si="36"/>
        <v>0.175196727542029</v>
      </c>
      <c r="N56" s="13">
        <f t="shared" si="39"/>
        <v>0.313421789251612</v>
      </c>
      <c r="O56" s="13">
        <f t="shared" si="42"/>
        <v>0.362354652941091</v>
      </c>
      <c r="P56" s="13">
        <f t="shared" si="46"/>
        <v>4.30023083860536</v>
      </c>
      <c r="Q56" s="13">
        <f t="shared" si="49"/>
        <v>0.500067362006912</v>
      </c>
      <c r="R56" s="13">
        <f t="shared" si="52"/>
        <v>3.85972115860378</v>
      </c>
      <c r="S56" s="13">
        <f t="shared" si="55"/>
        <v>0.667321933482251</v>
      </c>
      <c r="T56" s="13">
        <f t="shared" si="58"/>
        <v>23.2128380894938</v>
      </c>
      <c r="U56" s="13">
        <f t="shared" si="61"/>
        <v>1.6040443890198</v>
      </c>
      <c r="V56" s="13">
        <f t="shared" si="64"/>
        <v>13.0161338536206</v>
      </c>
      <c r="W56" s="13">
        <f t="shared" si="67"/>
        <v>0.482275894968324</v>
      </c>
      <c r="X56" s="13">
        <f>1/ABS(X23)</f>
        <v>2.02549737874439</v>
      </c>
      <c r="Y56" s="13">
        <v>0</v>
      </c>
      <c r="Z56" s="13">
        <f>1/ABS(Z23)</f>
        <v>1.63665241960589</v>
      </c>
      <c r="AA56" s="13">
        <f>1/ABS(AA23)</f>
        <v>4.51022075920836</v>
      </c>
      <c r="AB56" s="13">
        <f>1/ABS(AB23)</f>
        <v>1.14285528951425</v>
      </c>
      <c r="AC56" s="13">
        <f>1/ABS(AC23)</f>
        <v>1.40499295199963</v>
      </c>
      <c r="AD56" s="13">
        <f t="shared" ref="AD56" si="69">1/ABS(AD23)</f>
        <v>1.86558826400699</v>
      </c>
      <c r="AE56" s="13">
        <f t="shared" si="45"/>
        <v>2.746681616037</v>
      </c>
      <c r="AF56" s="13">
        <f t="shared" si="45"/>
        <v>1.02613258950104</v>
      </c>
      <c r="AG56" s="13">
        <f t="shared" si="45"/>
        <v>8.31131681890807</v>
      </c>
      <c r="AH56" s="13">
        <f t="shared" si="45"/>
        <v>11.4645208854199</v>
      </c>
      <c r="AI56" s="13">
        <f t="shared" si="45"/>
        <v>24.3489596266863</v>
      </c>
      <c r="AJ56" s="13">
        <f t="shared" si="14"/>
        <v>154.189960776282</v>
      </c>
      <c r="AK56" s="13">
        <v>154.189960776282</v>
      </c>
      <c r="AL56" s="13">
        <v>154.189960776282</v>
      </c>
      <c r="AM56" s="13">
        <v>154.189960776282</v>
      </c>
      <c r="AN56" s="13">
        <v>154.189960776282</v>
      </c>
      <c r="AO56" s="13">
        <v>154.189960776282</v>
      </c>
      <c r="AP56" s="13">
        <v>154.189960776282</v>
      </c>
      <c r="AQ56" s="13">
        <v>154.189960776282</v>
      </c>
      <c r="AR56" s="13">
        <v>154.189960776282</v>
      </c>
      <c r="AS56" s="13">
        <v>154.189960776282</v>
      </c>
      <c r="AT56" s="13">
        <v>154.189960776282</v>
      </c>
      <c r="AU56" s="13">
        <v>154.189960776282</v>
      </c>
      <c r="AV56" s="13">
        <v>154.189960776282</v>
      </c>
      <c r="AW56" s="13">
        <v>154.189960776282</v>
      </c>
      <c r="AX56" s="13">
        <v>154.189960776282</v>
      </c>
      <c r="AY56" s="13">
        <v>154.189960776282</v>
      </c>
      <c r="AZ56" s="13">
        <v>154.189960776282</v>
      </c>
      <c r="BA56" s="13">
        <v>154.189960776282</v>
      </c>
      <c r="BB56" s="13">
        <v>154.189960776282</v>
      </c>
      <c r="BC56" s="13">
        <v>154.189960776282</v>
      </c>
      <c r="BD56" s="13">
        <v>154.189960776282</v>
      </c>
      <c r="BE56" s="13">
        <v>154.189960776282</v>
      </c>
      <c r="BF56" s="13">
        <v>154.189960776282</v>
      </c>
      <c r="BG56" s="13">
        <v>154.189960776282</v>
      </c>
      <c r="BH56" s="13">
        <v>154.189960776282</v>
      </c>
      <c r="BI56" s="13">
        <v>154.189960776282</v>
      </c>
      <c r="BJ56" s="13">
        <v>154.189960776282</v>
      </c>
      <c r="BK56" s="13">
        <v>154.189960776282</v>
      </c>
      <c r="BL56" s="13">
        <v>154.189960776282</v>
      </c>
      <c r="BM56" s="13">
        <v>154.189960776282</v>
      </c>
      <c r="BN56" s="13">
        <v>154.189960776282</v>
      </c>
    </row>
    <row r="57" spans="4:66">
      <c r="D57" s="14" t="s">
        <v>21</v>
      </c>
      <c r="E57" s="13">
        <f t="shared" si="10"/>
        <v>0.210721373022766</v>
      </c>
      <c r="F57" s="13">
        <f t="shared" si="15"/>
        <v>0.272092835951618</v>
      </c>
      <c r="G57" s="13">
        <f t="shared" si="18"/>
        <v>2.0631919981882</v>
      </c>
      <c r="H57" s="13">
        <f t="shared" si="21"/>
        <v>1.27214991770214</v>
      </c>
      <c r="I57" s="13">
        <f t="shared" si="24"/>
        <v>1.06026534252022</v>
      </c>
      <c r="J57" s="13">
        <f t="shared" si="27"/>
        <v>1.73249181028929</v>
      </c>
      <c r="K57" s="13">
        <f t="shared" si="30"/>
        <v>5.68994353722955</v>
      </c>
      <c r="L57" s="13">
        <f t="shared" si="33"/>
        <v>1.54434442592846</v>
      </c>
      <c r="M57" s="13">
        <f t="shared" si="36"/>
        <v>0.196199001855313</v>
      </c>
      <c r="N57" s="13">
        <f t="shared" si="39"/>
        <v>0.387659201630269</v>
      </c>
      <c r="O57" s="13">
        <f t="shared" si="42"/>
        <v>0.465392496954355</v>
      </c>
      <c r="P57" s="13">
        <f t="shared" si="46"/>
        <v>1.18546767735969</v>
      </c>
      <c r="Q57" s="13">
        <f t="shared" si="49"/>
        <v>0.720083774217024</v>
      </c>
      <c r="R57" s="13">
        <f t="shared" si="52"/>
        <v>1.14930724473983</v>
      </c>
      <c r="S57" s="13">
        <f t="shared" si="55"/>
        <v>1.12673032853575</v>
      </c>
      <c r="T57" s="13">
        <f t="shared" si="58"/>
        <v>1.52885821184856</v>
      </c>
      <c r="U57" s="13">
        <f t="shared" si="61"/>
        <v>80.5097113581499</v>
      </c>
      <c r="V57" s="13">
        <f t="shared" si="64"/>
        <v>1.87204373845765</v>
      </c>
      <c r="W57" s="13">
        <f t="shared" si="67"/>
        <v>0.683761314936062</v>
      </c>
      <c r="X57" s="13">
        <f>1/ABS(X24)</f>
        <v>0.90521561606266</v>
      </c>
      <c r="Y57" s="13">
        <f>1/ABS(Y24)</f>
        <v>1.63665241960589</v>
      </c>
      <c r="Z57" s="13">
        <v>0</v>
      </c>
      <c r="AA57" s="13">
        <f>1/ABS(AA24)</f>
        <v>1.20088108275223</v>
      </c>
      <c r="AB57" s="13">
        <f>1/ABS(AB24)</f>
        <v>0.672945381193057</v>
      </c>
      <c r="AC57" s="13">
        <f>1/ABS(AC24)</f>
        <v>0.756000398956977</v>
      </c>
      <c r="AD57" s="13">
        <f t="shared" ref="AD57" si="70">1/ABS(AD24)</f>
        <v>0.871818878857184</v>
      </c>
      <c r="AE57" s="13">
        <f t="shared" si="45"/>
        <v>4.04977015670145</v>
      </c>
      <c r="AF57" s="13">
        <f t="shared" si="45"/>
        <v>0.630701457195975</v>
      </c>
      <c r="AG57" s="13">
        <f t="shared" si="45"/>
        <v>1.36738830364629</v>
      </c>
      <c r="AH57" s="13">
        <f t="shared" si="45"/>
        <v>1.90920705868347</v>
      </c>
      <c r="AI57" s="13">
        <f t="shared" si="45"/>
        <v>1.75458984965997</v>
      </c>
      <c r="AJ57" s="13">
        <f t="shared" si="14"/>
        <v>119.425586192832</v>
      </c>
      <c r="AK57" s="13">
        <v>119.425586192832</v>
      </c>
      <c r="AL57" s="13">
        <v>119.425586192832</v>
      </c>
      <c r="AM57" s="13">
        <v>119.425586192832</v>
      </c>
      <c r="AN57" s="13">
        <v>119.425586192832</v>
      </c>
      <c r="AO57" s="13">
        <v>119.425586192832</v>
      </c>
      <c r="AP57" s="13">
        <v>119.425586192832</v>
      </c>
      <c r="AQ57" s="13">
        <v>119.425586192832</v>
      </c>
      <c r="AR57" s="13">
        <v>119.425586192832</v>
      </c>
      <c r="AS57" s="13">
        <v>119.425586192832</v>
      </c>
      <c r="AT57" s="13">
        <v>119.425586192832</v>
      </c>
      <c r="AU57" s="13">
        <v>119.425586192832</v>
      </c>
      <c r="AV57" s="13">
        <v>119.425586192832</v>
      </c>
      <c r="AW57" s="13">
        <v>119.425586192832</v>
      </c>
      <c r="AX57" s="13">
        <v>119.425586192832</v>
      </c>
      <c r="AY57" s="13">
        <v>119.425586192832</v>
      </c>
      <c r="AZ57" s="13">
        <v>119.425586192832</v>
      </c>
      <c r="BA57" s="13">
        <v>119.425586192832</v>
      </c>
      <c r="BB57" s="13">
        <v>119.425586192832</v>
      </c>
      <c r="BC57" s="13">
        <v>119.425586192832</v>
      </c>
      <c r="BD57" s="13">
        <v>119.425586192832</v>
      </c>
      <c r="BE57" s="13">
        <v>119.425586192832</v>
      </c>
      <c r="BF57" s="13">
        <v>119.425586192832</v>
      </c>
      <c r="BG57" s="13">
        <v>119.425586192832</v>
      </c>
      <c r="BH57" s="13">
        <v>119.425586192832</v>
      </c>
      <c r="BI57" s="13">
        <v>119.425586192832</v>
      </c>
      <c r="BJ57" s="13">
        <v>119.425586192832</v>
      </c>
      <c r="BK57" s="13">
        <v>119.425586192832</v>
      </c>
      <c r="BL57" s="13">
        <v>119.425586192832</v>
      </c>
      <c r="BM57" s="13">
        <v>119.425586192832</v>
      </c>
      <c r="BN57" s="13">
        <v>119.425586192832</v>
      </c>
    </row>
    <row r="58" spans="4:66">
      <c r="D58" s="14" t="s">
        <v>22</v>
      </c>
      <c r="E58" s="13">
        <f t="shared" si="10"/>
        <v>0.179265280787349</v>
      </c>
      <c r="F58" s="13">
        <f t="shared" si="15"/>
        <v>0.221830906370854</v>
      </c>
      <c r="G58" s="13">
        <f t="shared" si="18"/>
        <v>2.87326554304061</v>
      </c>
      <c r="H58" s="13">
        <f t="shared" si="21"/>
        <v>21.4357477804565</v>
      </c>
      <c r="I58" s="13">
        <f t="shared" si="24"/>
        <v>0.56310046014686</v>
      </c>
      <c r="J58" s="13">
        <f t="shared" si="27"/>
        <v>0.709257471470786</v>
      </c>
      <c r="K58" s="13">
        <f t="shared" si="30"/>
        <v>1.5221319874871</v>
      </c>
      <c r="L58" s="13">
        <f t="shared" si="33"/>
        <v>5.39962718932641</v>
      </c>
      <c r="M58" s="13">
        <f t="shared" si="36"/>
        <v>0.168645786579301</v>
      </c>
      <c r="N58" s="13">
        <f t="shared" si="39"/>
        <v>0.293056843675567</v>
      </c>
      <c r="O58" s="13">
        <f t="shared" si="42"/>
        <v>0.335407734032321</v>
      </c>
      <c r="P58" s="13">
        <f t="shared" si="46"/>
        <v>92.3615302199821</v>
      </c>
      <c r="Q58" s="13">
        <f t="shared" si="49"/>
        <v>0.450156586320045</v>
      </c>
      <c r="R58" s="13">
        <f t="shared" si="52"/>
        <v>26.7612685359239</v>
      </c>
      <c r="S58" s="13">
        <f t="shared" si="55"/>
        <v>0.58131229737917</v>
      </c>
      <c r="T58" s="13">
        <f t="shared" si="58"/>
        <v>5.59788089455497</v>
      </c>
      <c r="U58" s="13">
        <f t="shared" si="61"/>
        <v>1.18323201998286</v>
      </c>
      <c r="V58" s="13">
        <f t="shared" si="64"/>
        <v>3.34956346645314</v>
      </c>
      <c r="W58" s="13">
        <f t="shared" si="67"/>
        <v>0.43568797413859</v>
      </c>
      <c r="X58" s="13">
        <f>1/ABS(X25)</f>
        <v>3.67664279942066</v>
      </c>
      <c r="Y58" s="13">
        <f>1/ABS(Y25)</f>
        <v>4.51022075920836</v>
      </c>
      <c r="Z58" s="13">
        <f>1/ABS(Z25)</f>
        <v>1.20088108275223</v>
      </c>
      <c r="AA58" s="13">
        <v>0</v>
      </c>
      <c r="AB58" s="13">
        <f>1/ABS(AB25)</f>
        <v>1.53073068484203</v>
      </c>
      <c r="AC58" s="13">
        <f>1/ABS(AC25)</f>
        <v>2.0406967772024</v>
      </c>
      <c r="AD58" s="13">
        <f t="shared" ref="AD58" si="71">1/ABS(AD25)</f>
        <v>3.18161972664529</v>
      </c>
      <c r="AE58" s="13">
        <f t="shared" si="45"/>
        <v>1.70708379457388</v>
      </c>
      <c r="AF58" s="13">
        <f t="shared" si="45"/>
        <v>1.32834884808802</v>
      </c>
      <c r="AG58" s="13">
        <f t="shared" si="45"/>
        <v>9.86185907018574</v>
      </c>
      <c r="AH58" s="13">
        <f t="shared" si="45"/>
        <v>3.23682981810139</v>
      </c>
      <c r="AI58" s="13">
        <f t="shared" si="45"/>
        <v>3.80534657273505</v>
      </c>
      <c r="AJ58" s="13">
        <f t="shared" si="14"/>
        <v>200.502228911864</v>
      </c>
      <c r="AK58" s="13">
        <v>200.502228911863</v>
      </c>
      <c r="AL58" s="13">
        <v>200.502228911863</v>
      </c>
      <c r="AM58" s="13">
        <v>200.502228911863</v>
      </c>
      <c r="AN58" s="13">
        <v>200.502228911863</v>
      </c>
      <c r="AO58" s="13">
        <v>200.502228911863</v>
      </c>
      <c r="AP58" s="13">
        <v>200.502228911863</v>
      </c>
      <c r="AQ58" s="13">
        <v>200.502228911863</v>
      </c>
      <c r="AR58" s="13">
        <v>200.502228911863</v>
      </c>
      <c r="AS58" s="13">
        <v>200.502228911863</v>
      </c>
      <c r="AT58" s="13">
        <v>200.502228911863</v>
      </c>
      <c r="AU58" s="13">
        <v>200.502228911863</v>
      </c>
      <c r="AV58" s="13">
        <v>200.502228911863</v>
      </c>
      <c r="AW58" s="13">
        <v>200.502228911863</v>
      </c>
      <c r="AX58" s="13">
        <v>200.502228911863</v>
      </c>
      <c r="AY58" s="13">
        <v>200.502228911863</v>
      </c>
      <c r="AZ58" s="13">
        <v>200.502228911863</v>
      </c>
      <c r="BA58" s="13">
        <v>200.502228911863</v>
      </c>
      <c r="BB58" s="13">
        <v>200.502228911863</v>
      </c>
      <c r="BC58" s="13">
        <v>200.502228911863</v>
      </c>
      <c r="BD58" s="13">
        <v>200.502228911863</v>
      </c>
      <c r="BE58" s="13">
        <v>200.502228911863</v>
      </c>
      <c r="BF58" s="13">
        <v>200.502228911863</v>
      </c>
      <c r="BG58" s="13">
        <v>200.502228911863</v>
      </c>
      <c r="BH58" s="13">
        <v>200.502228911863</v>
      </c>
      <c r="BI58" s="13">
        <v>200.502228911863</v>
      </c>
      <c r="BJ58" s="13">
        <v>200.502228911863</v>
      </c>
      <c r="BK58" s="13">
        <v>200.502228911863</v>
      </c>
      <c r="BL58" s="13">
        <v>200.502228911863</v>
      </c>
      <c r="BM58" s="13">
        <v>200.502228911863</v>
      </c>
      <c r="BN58" s="13">
        <v>200.502228911863</v>
      </c>
    </row>
    <row r="59" spans="4:66">
      <c r="D59" s="14" t="s">
        <v>23</v>
      </c>
      <c r="E59" s="13">
        <f t="shared" si="10"/>
        <v>0.160472230077466</v>
      </c>
      <c r="F59" s="13">
        <f t="shared" si="15"/>
        <v>0.193752605860309</v>
      </c>
      <c r="G59" s="13">
        <f t="shared" si="18"/>
        <v>0.998682901812141</v>
      </c>
      <c r="H59" s="13">
        <f t="shared" si="21"/>
        <v>1.42870649192724</v>
      </c>
      <c r="I59" s="13">
        <f t="shared" si="24"/>
        <v>0.411664118693792</v>
      </c>
      <c r="J59" s="13">
        <f t="shared" si="27"/>
        <v>0.48468210511475</v>
      </c>
      <c r="K59" s="13">
        <f t="shared" si="30"/>
        <v>0.763209613306475</v>
      </c>
      <c r="L59" s="13">
        <f t="shared" si="33"/>
        <v>1.19263321973845</v>
      </c>
      <c r="M59" s="13">
        <f t="shared" si="36"/>
        <v>0.151909411909382</v>
      </c>
      <c r="N59" s="13">
        <f t="shared" si="39"/>
        <v>0.245966756545246</v>
      </c>
      <c r="O59" s="13">
        <f t="shared" si="42"/>
        <v>0.275123702091885</v>
      </c>
      <c r="P59" s="13">
        <f t="shared" si="46"/>
        <v>1.5565274018313</v>
      </c>
      <c r="Q59" s="13">
        <f t="shared" si="49"/>
        <v>0.347858512544025</v>
      </c>
      <c r="R59" s="13">
        <f t="shared" si="52"/>
        <v>1.62359974864665</v>
      </c>
      <c r="S59" s="13">
        <f t="shared" si="55"/>
        <v>0.421313665756219</v>
      </c>
      <c r="T59" s="13">
        <f t="shared" si="58"/>
        <v>1.20203604305666</v>
      </c>
      <c r="U59" s="13">
        <f t="shared" si="61"/>
        <v>0.667367151750245</v>
      </c>
      <c r="V59" s="13">
        <f t="shared" si="64"/>
        <v>1.05060871742023</v>
      </c>
      <c r="W59" s="13">
        <f t="shared" si="67"/>
        <v>0.339155117342269</v>
      </c>
      <c r="X59" s="13">
        <f>1/ABS(X26)</f>
        <v>2.62263767096622</v>
      </c>
      <c r="Y59" s="13">
        <f>1/ABS(Y26)</f>
        <v>1.14285528951425</v>
      </c>
      <c r="Z59" s="13">
        <f>1/ABS(Z26)</f>
        <v>0.672945381193057</v>
      </c>
      <c r="AA59" s="13">
        <f>1/ABS(AA26)</f>
        <v>1.53073068484203</v>
      </c>
      <c r="AB59" s="13">
        <v>0</v>
      </c>
      <c r="AC59" s="13">
        <f>1/ABS(AC26)</f>
        <v>6.12542132137391</v>
      </c>
      <c r="AD59" s="13">
        <f t="shared" ref="AD59" si="72">1/ABS(AD26)</f>
        <v>2.95004862213814</v>
      </c>
      <c r="AE59" s="13">
        <f t="shared" si="45"/>
        <v>0.807052276331224</v>
      </c>
      <c r="AF59" s="13">
        <f t="shared" si="45"/>
        <v>10.0470693148932</v>
      </c>
      <c r="AG59" s="13">
        <f t="shared" si="45"/>
        <v>1.32505871034801</v>
      </c>
      <c r="AH59" s="13">
        <f t="shared" si="45"/>
        <v>1.03925576217029</v>
      </c>
      <c r="AI59" s="13">
        <f t="shared" si="45"/>
        <v>1.09161852127848</v>
      </c>
      <c r="AJ59" s="13">
        <f t="shared" si="14"/>
        <v>42.8699630704735</v>
      </c>
      <c r="AK59" s="13">
        <v>42.8699630704735</v>
      </c>
      <c r="AL59" s="13">
        <v>42.8699630704735</v>
      </c>
      <c r="AM59" s="13">
        <v>42.8699630704735</v>
      </c>
      <c r="AN59" s="13">
        <v>42.8699630704735</v>
      </c>
      <c r="AO59" s="13">
        <v>42.8699630704735</v>
      </c>
      <c r="AP59" s="13">
        <v>42.8699630704735</v>
      </c>
      <c r="AQ59" s="13">
        <v>42.8699630704735</v>
      </c>
      <c r="AR59" s="13">
        <v>42.8699630704735</v>
      </c>
      <c r="AS59" s="13">
        <v>42.8699630704735</v>
      </c>
      <c r="AT59" s="13">
        <v>42.8699630704735</v>
      </c>
      <c r="AU59" s="13">
        <v>42.8699630704735</v>
      </c>
      <c r="AV59" s="13">
        <v>42.8699630704735</v>
      </c>
      <c r="AW59" s="13">
        <v>42.8699630704735</v>
      </c>
      <c r="AX59" s="13">
        <v>42.8699630704735</v>
      </c>
      <c r="AY59" s="13">
        <v>42.8699630704735</v>
      </c>
      <c r="AZ59" s="13">
        <v>42.8699630704735</v>
      </c>
      <c r="BA59" s="13">
        <v>42.8699630704735</v>
      </c>
      <c r="BB59" s="13">
        <v>42.8699630704735</v>
      </c>
      <c r="BC59" s="13">
        <v>42.8699630704735</v>
      </c>
      <c r="BD59" s="13">
        <v>42.8699630704735</v>
      </c>
      <c r="BE59" s="13">
        <v>42.8699630704735</v>
      </c>
      <c r="BF59" s="13">
        <v>42.8699630704735</v>
      </c>
      <c r="BG59" s="13">
        <v>42.8699630704735</v>
      </c>
      <c r="BH59" s="13">
        <v>42.8699630704735</v>
      </c>
      <c r="BI59" s="13">
        <v>42.8699630704735</v>
      </c>
      <c r="BJ59" s="13">
        <v>42.8699630704735</v>
      </c>
      <c r="BK59" s="13">
        <v>42.8699630704735</v>
      </c>
      <c r="BL59" s="13">
        <v>42.8699630704735</v>
      </c>
      <c r="BM59" s="13">
        <v>42.8699630704735</v>
      </c>
      <c r="BN59" s="13">
        <v>42.8699630704735</v>
      </c>
    </row>
    <row r="60" spans="4:66">
      <c r="D60" s="14" t="s">
        <v>24</v>
      </c>
      <c r="E60" s="13">
        <f t="shared" si="10"/>
        <v>0.164789339281904</v>
      </c>
      <c r="F60" s="13">
        <f t="shared" si="15"/>
        <v>0.200081359888577</v>
      </c>
      <c r="G60" s="13">
        <f t="shared" si="18"/>
        <v>1.19322521248794</v>
      </c>
      <c r="H60" s="13">
        <f t="shared" si="21"/>
        <v>1.86330861579422</v>
      </c>
      <c r="I60" s="13">
        <f t="shared" si="24"/>
        <v>0.441323647548194</v>
      </c>
      <c r="J60" s="13">
        <f t="shared" si="27"/>
        <v>0.526328551442446</v>
      </c>
      <c r="K60" s="13">
        <f t="shared" si="30"/>
        <v>0.87183809452945</v>
      </c>
      <c r="L60" s="13">
        <f t="shared" si="33"/>
        <v>1.4809841416749</v>
      </c>
      <c r="M60" s="13">
        <f t="shared" si="36"/>
        <v>0.155772544648783</v>
      </c>
      <c r="N60" s="13">
        <f t="shared" si="39"/>
        <v>0.256256766385156</v>
      </c>
      <c r="O60" s="13">
        <f t="shared" si="42"/>
        <v>0.288062027007744</v>
      </c>
      <c r="P60" s="13">
        <f t="shared" si="46"/>
        <v>2.0868040060415</v>
      </c>
      <c r="Q60" s="13">
        <f t="shared" si="49"/>
        <v>0.368802559152122</v>
      </c>
      <c r="R60" s="13">
        <f t="shared" si="52"/>
        <v>2.20915741707474</v>
      </c>
      <c r="S60" s="13">
        <f t="shared" si="55"/>
        <v>0.452432504261682</v>
      </c>
      <c r="T60" s="13">
        <f t="shared" si="58"/>
        <v>1.49551107438737</v>
      </c>
      <c r="U60" s="13">
        <f t="shared" si="61"/>
        <v>0.74896746229937</v>
      </c>
      <c r="V60" s="13">
        <f t="shared" si="64"/>
        <v>1.2681100841228</v>
      </c>
      <c r="W60" s="13">
        <f t="shared" si="67"/>
        <v>0.359034291504582</v>
      </c>
      <c r="X60" s="13">
        <f>1/ABS(X27)</f>
        <v>4.58628402759193</v>
      </c>
      <c r="Y60" s="13">
        <f>1/ABS(Y27)</f>
        <v>1.40499295199963</v>
      </c>
      <c r="Z60" s="13">
        <f>1/ABS(Z27)</f>
        <v>0.756000398956977</v>
      </c>
      <c r="AA60" s="13">
        <f>1/ABS(AA27)</f>
        <v>2.0406967772024</v>
      </c>
      <c r="AB60" s="13">
        <f>1/ABS(AB27)</f>
        <v>6.12542132137391</v>
      </c>
      <c r="AC60" s="13">
        <v>0</v>
      </c>
      <c r="AD60" s="13">
        <f t="shared" ref="AD60:AD66" si="73">1/ABS(AD27)</f>
        <v>5.69076213745987</v>
      </c>
      <c r="AE60" s="13">
        <f t="shared" si="45"/>
        <v>0.929520907450105</v>
      </c>
      <c r="AF60" s="13">
        <f t="shared" si="45"/>
        <v>3.80538372121595</v>
      </c>
      <c r="AG60" s="13">
        <f t="shared" si="45"/>
        <v>1.69081870144457</v>
      </c>
      <c r="AH60" s="13">
        <f t="shared" si="45"/>
        <v>1.2516068008127</v>
      </c>
      <c r="AI60" s="13">
        <f t="shared" si="45"/>
        <v>1.32834432149767</v>
      </c>
      <c r="AJ60" s="13">
        <f t="shared" si="14"/>
        <v>46.0406217665392</v>
      </c>
      <c r="AK60" s="13">
        <v>46.0406217665392</v>
      </c>
      <c r="AL60" s="13">
        <v>46.0406217665392</v>
      </c>
      <c r="AM60" s="13">
        <v>46.0406217665392</v>
      </c>
      <c r="AN60" s="13">
        <v>46.0406217665392</v>
      </c>
      <c r="AO60" s="13">
        <v>46.0406217665392</v>
      </c>
      <c r="AP60" s="13">
        <v>46.0406217665392</v>
      </c>
      <c r="AQ60" s="13">
        <v>46.0406217665392</v>
      </c>
      <c r="AR60" s="13">
        <v>46.0406217665392</v>
      </c>
      <c r="AS60" s="13">
        <v>46.0406217665392</v>
      </c>
      <c r="AT60" s="13">
        <v>46.0406217665392</v>
      </c>
      <c r="AU60" s="13">
        <v>46.0406217665392</v>
      </c>
      <c r="AV60" s="13">
        <v>46.0406217665392</v>
      </c>
      <c r="AW60" s="13">
        <v>46.0406217665392</v>
      </c>
      <c r="AX60" s="13">
        <v>46.0406217665392</v>
      </c>
      <c r="AY60" s="13">
        <v>46.0406217665392</v>
      </c>
      <c r="AZ60" s="13">
        <v>46.0406217665392</v>
      </c>
      <c r="BA60" s="13">
        <v>46.0406217665392</v>
      </c>
      <c r="BB60" s="13">
        <v>46.0406217665392</v>
      </c>
      <c r="BC60" s="13">
        <v>46.0406217665392</v>
      </c>
      <c r="BD60" s="13">
        <v>46.0406217665392</v>
      </c>
      <c r="BE60" s="13">
        <v>46.0406217665392</v>
      </c>
      <c r="BF60" s="13">
        <v>46.0406217665392</v>
      </c>
      <c r="BG60" s="13">
        <v>46.0406217665392</v>
      </c>
      <c r="BH60" s="13">
        <v>46.0406217665392</v>
      </c>
      <c r="BI60" s="13">
        <v>46.0406217665392</v>
      </c>
      <c r="BJ60" s="13">
        <v>46.0406217665392</v>
      </c>
      <c r="BK60" s="13">
        <v>46.0406217665392</v>
      </c>
      <c r="BL60" s="13">
        <v>46.0406217665392</v>
      </c>
      <c r="BM60" s="13">
        <v>46.0406217665392</v>
      </c>
      <c r="BN60" s="13">
        <v>46.0406217665392</v>
      </c>
    </row>
    <row r="61" spans="4:66">
      <c r="D61" s="14" t="s">
        <v>25</v>
      </c>
      <c r="E61" s="13">
        <f t="shared" si="10"/>
        <v>0.169703501427241</v>
      </c>
      <c r="F61" s="13">
        <f t="shared" ref="F61:AI61" si="74">1/ABS(F28)</f>
        <v>0.207372359346858</v>
      </c>
      <c r="G61" s="13">
        <f t="shared" si="74"/>
        <v>1.5097954667112</v>
      </c>
      <c r="H61" s="13">
        <f t="shared" si="74"/>
        <v>2.77041799753846</v>
      </c>
      <c r="I61" s="13">
        <f t="shared" si="74"/>
        <v>0.478426008545383</v>
      </c>
      <c r="J61" s="13">
        <f t="shared" si="74"/>
        <v>0.579968847023656</v>
      </c>
      <c r="K61" s="13">
        <f t="shared" si="74"/>
        <v>1.02957074528327</v>
      </c>
      <c r="L61" s="13">
        <f t="shared" si="74"/>
        <v>2.00198881937729</v>
      </c>
      <c r="M61" s="13">
        <f t="shared" si="74"/>
        <v>0.16015648887478</v>
      </c>
      <c r="N61" s="13">
        <f t="shared" si="74"/>
        <v>0.268340208360886</v>
      </c>
      <c r="O61" s="13">
        <f t="shared" si="74"/>
        <v>0.30342096415165</v>
      </c>
      <c r="P61" s="13">
        <f t="shared" si="74"/>
        <v>3.29512852059878</v>
      </c>
      <c r="Q61" s="13">
        <f t="shared" si="74"/>
        <v>0.39435993621142</v>
      </c>
      <c r="R61" s="13">
        <f t="shared" si="74"/>
        <v>3.61091806636421</v>
      </c>
      <c r="S61" s="13">
        <f t="shared" si="74"/>
        <v>0.491508924656311</v>
      </c>
      <c r="T61" s="13">
        <f t="shared" si="74"/>
        <v>2.02862657569833</v>
      </c>
      <c r="U61" s="13">
        <f t="shared" si="74"/>
        <v>0.862479313045159</v>
      </c>
      <c r="V61" s="13">
        <f t="shared" si="74"/>
        <v>1.63171616618855</v>
      </c>
      <c r="W61" s="13">
        <f t="shared" si="74"/>
        <v>0.383211373718932</v>
      </c>
      <c r="X61" s="13">
        <f t="shared" si="74"/>
        <v>23.6305738091793</v>
      </c>
      <c r="Y61" s="13">
        <f t="shared" si="74"/>
        <v>1.86558826400699</v>
      </c>
      <c r="Z61" s="13">
        <f t="shared" si="74"/>
        <v>0.871818878857184</v>
      </c>
      <c r="AA61" s="13">
        <f t="shared" si="74"/>
        <v>3.18161972664529</v>
      </c>
      <c r="AB61" s="13">
        <f t="shared" si="74"/>
        <v>2.95004862213814</v>
      </c>
      <c r="AC61" s="13">
        <f t="shared" si="74"/>
        <v>5.69076213745987</v>
      </c>
      <c r="AD61" s="13">
        <v>0</v>
      </c>
      <c r="AE61" s="13">
        <f t="shared" si="74"/>
        <v>1.1109881080492</v>
      </c>
      <c r="AF61" s="13">
        <f t="shared" si="74"/>
        <v>2.28045503107106</v>
      </c>
      <c r="AG61" s="13">
        <f t="shared" si="74"/>
        <v>2.40554577868612</v>
      </c>
      <c r="AH61" s="13">
        <f t="shared" si="74"/>
        <v>1.60449365992041</v>
      </c>
      <c r="AI61" s="13">
        <f t="shared" si="74"/>
        <v>1.73282154282176</v>
      </c>
      <c r="AJ61" s="13">
        <f t="shared" si="14"/>
        <v>69.5018258419577</v>
      </c>
      <c r="AK61" s="13">
        <v>69.5018258419576</v>
      </c>
      <c r="AL61" s="13">
        <v>69.5018258419576</v>
      </c>
      <c r="AM61" s="13">
        <v>69.5018258419576</v>
      </c>
      <c r="AN61" s="13">
        <v>69.5018258419576</v>
      </c>
      <c r="AO61" s="13">
        <v>69.5018258419576</v>
      </c>
      <c r="AP61" s="13">
        <v>69.5018258419576</v>
      </c>
      <c r="AQ61" s="13">
        <v>69.5018258419576</v>
      </c>
      <c r="AR61" s="13">
        <v>69.5018258419576</v>
      </c>
      <c r="AS61" s="13">
        <v>69.5018258419576</v>
      </c>
      <c r="AT61" s="13">
        <v>69.5018258419576</v>
      </c>
      <c r="AU61" s="13">
        <v>69.5018258419576</v>
      </c>
      <c r="AV61" s="13">
        <v>69.5018258419576</v>
      </c>
      <c r="AW61" s="13">
        <v>69.5018258419576</v>
      </c>
      <c r="AX61" s="13">
        <v>69.5018258419576</v>
      </c>
      <c r="AY61" s="13">
        <v>69.5018258419576</v>
      </c>
      <c r="AZ61" s="13">
        <v>69.5018258419576</v>
      </c>
      <c r="BA61" s="13">
        <v>69.5018258419576</v>
      </c>
      <c r="BB61" s="13">
        <v>69.5018258419576</v>
      </c>
      <c r="BC61" s="13">
        <v>69.5018258419576</v>
      </c>
      <c r="BD61" s="13">
        <v>69.5018258419576</v>
      </c>
      <c r="BE61" s="13">
        <v>69.5018258419576</v>
      </c>
      <c r="BF61" s="13">
        <v>69.5018258419576</v>
      </c>
      <c r="BG61" s="13">
        <v>69.5018258419576</v>
      </c>
      <c r="BH61" s="13">
        <v>69.5018258419576</v>
      </c>
      <c r="BI61" s="13">
        <v>69.5018258419576</v>
      </c>
      <c r="BJ61" s="13">
        <v>69.5018258419576</v>
      </c>
      <c r="BK61" s="13">
        <v>69.5018258419576</v>
      </c>
      <c r="BL61" s="13">
        <v>69.5018258419576</v>
      </c>
      <c r="BM61" s="13">
        <v>69.5018258419576</v>
      </c>
      <c r="BN61" s="13">
        <v>69.5018258419576</v>
      </c>
    </row>
    <row r="62" spans="4:66">
      <c r="D62" s="14" t="s">
        <v>26</v>
      </c>
      <c r="E62" s="13">
        <f t="shared" si="10"/>
        <v>0.200299219442878</v>
      </c>
      <c r="F62" s="13">
        <f t="shared" ref="F62:AC62" si="75">1/ABS(F29)</f>
        <v>0.254962604960481</v>
      </c>
      <c r="G62" s="13">
        <f t="shared" si="75"/>
        <v>4.20595250481412</v>
      </c>
      <c r="H62" s="13">
        <f t="shared" si="75"/>
        <v>1.85479451050386</v>
      </c>
      <c r="I62" s="13">
        <f t="shared" si="75"/>
        <v>0.840274190458604</v>
      </c>
      <c r="J62" s="13">
        <f t="shared" si="75"/>
        <v>1.21339947413186</v>
      </c>
      <c r="K62" s="13">
        <f t="shared" si="75"/>
        <v>14.049102249769</v>
      </c>
      <c r="L62" s="13">
        <f t="shared" si="75"/>
        <v>2.49627833344864</v>
      </c>
      <c r="M62" s="13">
        <f t="shared" si="75"/>
        <v>0.187132980202413</v>
      </c>
      <c r="N62" s="13">
        <f t="shared" si="75"/>
        <v>0.353792824393987</v>
      </c>
      <c r="O62" s="13">
        <f t="shared" si="75"/>
        <v>0.417422978946839</v>
      </c>
      <c r="P62" s="13">
        <f t="shared" si="75"/>
        <v>1.67610497010384</v>
      </c>
      <c r="Q62" s="13">
        <f t="shared" si="75"/>
        <v>0.611375908231957</v>
      </c>
      <c r="R62" s="13">
        <f t="shared" si="75"/>
        <v>1.60471977125895</v>
      </c>
      <c r="S62" s="13">
        <f t="shared" si="75"/>
        <v>0.881483324915677</v>
      </c>
      <c r="T62" s="13">
        <f t="shared" si="75"/>
        <v>2.45606530319866</v>
      </c>
      <c r="U62" s="13">
        <f t="shared" si="75"/>
        <v>3.85581629099298</v>
      </c>
      <c r="V62" s="13">
        <f t="shared" si="75"/>
        <v>3.48131280427755</v>
      </c>
      <c r="W62" s="13">
        <f t="shared" si="75"/>
        <v>0.584991603864223</v>
      </c>
      <c r="X62" s="13">
        <f t="shared" si="75"/>
        <v>1.16579793415381</v>
      </c>
      <c r="Y62" s="13">
        <f t="shared" si="75"/>
        <v>2.746681616037</v>
      </c>
      <c r="Z62" s="13">
        <f t="shared" si="75"/>
        <v>4.04977015670145</v>
      </c>
      <c r="AA62" s="13">
        <f t="shared" si="75"/>
        <v>1.70708379457388</v>
      </c>
      <c r="AB62" s="13">
        <f t="shared" si="75"/>
        <v>0.807052276331224</v>
      </c>
      <c r="AC62" s="13">
        <f t="shared" si="75"/>
        <v>0.929520907450105</v>
      </c>
      <c r="AD62" s="13">
        <f t="shared" si="73"/>
        <v>1.1109881080492</v>
      </c>
      <c r="AE62" s="13">
        <v>0</v>
      </c>
      <c r="AF62" s="13">
        <f>1/ABS(AF29)</f>
        <v>0.747044345587384</v>
      </c>
      <c r="AG62" s="13">
        <f>1/ABS(AG29)</f>
        <v>2.0644369996845</v>
      </c>
      <c r="AH62" s="13">
        <f>1/ABS(AH29)</f>
        <v>3.61206346889715</v>
      </c>
      <c r="AI62" s="13">
        <f>1/ABS(AI29)</f>
        <v>3.09591607622479</v>
      </c>
      <c r="AJ62" s="13">
        <f t="shared" si="14"/>
        <v>63.261637531607</v>
      </c>
      <c r="AK62" s="13">
        <v>63.261637531607</v>
      </c>
      <c r="AL62" s="13">
        <v>63.261637531607</v>
      </c>
      <c r="AM62" s="13">
        <v>63.261637531607</v>
      </c>
      <c r="AN62" s="13">
        <v>63.261637531607</v>
      </c>
      <c r="AO62" s="13">
        <v>63.261637531607</v>
      </c>
      <c r="AP62" s="13">
        <v>63.261637531607</v>
      </c>
      <c r="AQ62" s="13">
        <v>63.261637531607</v>
      </c>
      <c r="AR62" s="13">
        <v>63.261637531607</v>
      </c>
      <c r="AS62" s="13">
        <v>63.261637531607</v>
      </c>
      <c r="AT62" s="13">
        <v>63.261637531607</v>
      </c>
      <c r="AU62" s="13">
        <v>63.261637531607</v>
      </c>
      <c r="AV62" s="13">
        <v>63.261637531607</v>
      </c>
      <c r="AW62" s="13">
        <v>63.261637531607</v>
      </c>
      <c r="AX62" s="13">
        <v>63.261637531607</v>
      </c>
      <c r="AY62" s="13">
        <v>63.261637531607</v>
      </c>
      <c r="AZ62" s="13">
        <v>63.261637531607</v>
      </c>
      <c r="BA62" s="13">
        <v>63.261637531607</v>
      </c>
      <c r="BB62" s="13">
        <v>63.261637531607</v>
      </c>
      <c r="BC62" s="13">
        <v>63.261637531607</v>
      </c>
      <c r="BD62" s="13">
        <v>63.261637531607</v>
      </c>
      <c r="BE62" s="13">
        <v>63.261637531607</v>
      </c>
      <c r="BF62" s="13">
        <v>63.261637531607</v>
      </c>
      <c r="BG62" s="13">
        <v>63.261637531607</v>
      </c>
      <c r="BH62" s="13">
        <v>63.261637531607</v>
      </c>
      <c r="BI62" s="13">
        <v>63.261637531607</v>
      </c>
      <c r="BJ62" s="13">
        <v>63.261637531607</v>
      </c>
      <c r="BK62" s="13">
        <v>63.261637531607</v>
      </c>
      <c r="BL62" s="13">
        <v>63.261637531607</v>
      </c>
      <c r="BM62" s="13">
        <v>63.261637531607</v>
      </c>
      <c r="BN62" s="13">
        <v>63.261637531607</v>
      </c>
    </row>
    <row r="63" spans="4:66">
      <c r="D63" s="14" t="s">
        <v>27</v>
      </c>
      <c r="E63" s="13">
        <f t="shared" si="10"/>
        <v>0.157949454489184</v>
      </c>
      <c r="F63" s="13">
        <f t="shared" ref="F63:AC63" si="76">1/ABS(F30)</f>
        <v>0.190086877409199</v>
      </c>
      <c r="G63" s="13">
        <f t="shared" si="76"/>
        <v>0.908388685646082</v>
      </c>
      <c r="H63" s="13">
        <f t="shared" si="76"/>
        <v>1.25083596932067</v>
      </c>
      <c r="I63" s="13">
        <f t="shared" si="76"/>
        <v>0.395460689502671</v>
      </c>
      <c r="J63" s="13">
        <f t="shared" si="76"/>
        <v>0.462376532788747</v>
      </c>
      <c r="K63" s="13">
        <f t="shared" si="76"/>
        <v>0.70932673778474</v>
      </c>
      <c r="L63" s="13">
        <f t="shared" si="76"/>
        <v>1.06608414137618</v>
      </c>
      <c r="M63" s="13">
        <f t="shared" si="76"/>
        <v>0.149646786401006</v>
      </c>
      <c r="N63" s="13">
        <f t="shared" si="76"/>
        <v>0.240089030585142</v>
      </c>
      <c r="O63" s="13">
        <f t="shared" si="76"/>
        <v>0.267790662365909</v>
      </c>
      <c r="P63" s="13">
        <f t="shared" si="76"/>
        <v>1.34773200745503</v>
      </c>
      <c r="Q63" s="13">
        <f t="shared" si="76"/>
        <v>0.336217686676052</v>
      </c>
      <c r="R63" s="13">
        <f t="shared" si="76"/>
        <v>1.3977278530892</v>
      </c>
      <c r="S63" s="13">
        <f t="shared" si="76"/>
        <v>0.404357350221999</v>
      </c>
      <c r="T63" s="13">
        <f t="shared" si="76"/>
        <v>1.0735911042966</v>
      </c>
      <c r="U63" s="13">
        <f t="shared" si="76"/>
        <v>0.625799037867466</v>
      </c>
      <c r="V63" s="13">
        <f t="shared" si="76"/>
        <v>0.95114839122357</v>
      </c>
      <c r="W63" s="13">
        <f t="shared" si="76"/>
        <v>0.328080236920617</v>
      </c>
      <c r="X63" s="13">
        <f t="shared" si="76"/>
        <v>2.07974994981783</v>
      </c>
      <c r="Y63" s="13">
        <f t="shared" si="76"/>
        <v>1.02613258950104</v>
      </c>
      <c r="Z63" s="13">
        <f t="shared" si="76"/>
        <v>0.630701457195975</v>
      </c>
      <c r="AA63" s="13">
        <f t="shared" si="76"/>
        <v>1.32834884808802</v>
      </c>
      <c r="AB63" s="13">
        <f t="shared" si="76"/>
        <v>10.0470693148932</v>
      </c>
      <c r="AC63" s="13">
        <f t="shared" si="76"/>
        <v>3.80538372121595</v>
      </c>
      <c r="AD63" s="13">
        <f t="shared" si="73"/>
        <v>2.28045503107106</v>
      </c>
      <c r="AE63" s="13">
        <f>1/ABS(AE30)</f>
        <v>0.747044345587384</v>
      </c>
      <c r="AF63" s="13">
        <v>0</v>
      </c>
      <c r="AG63" s="13">
        <f>1/ABS(AG30)</f>
        <v>1.17066539170333</v>
      </c>
      <c r="AH63" s="13">
        <f>1/ABS(AH30)</f>
        <v>0.941833710074897</v>
      </c>
      <c r="AI63" s="13">
        <f>1/ABS(AI30)</f>
        <v>0.984637249020489</v>
      </c>
      <c r="AJ63" s="13">
        <f t="shared" si="14"/>
        <v>37.3047108435892</v>
      </c>
      <c r="AK63" s="13">
        <v>37.3047108435892</v>
      </c>
      <c r="AL63" s="13">
        <v>37.3047108435892</v>
      </c>
      <c r="AM63" s="13">
        <v>37.3047108435892</v>
      </c>
      <c r="AN63" s="13">
        <v>37.3047108435892</v>
      </c>
      <c r="AO63" s="13">
        <v>37.3047108435892</v>
      </c>
      <c r="AP63" s="13">
        <v>37.3047108435892</v>
      </c>
      <c r="AQ63" s="13">
        <v>37.3047108435892</v>
      </c>
      <c r="AR63" s="13">
        <v>37.3047108435892</v>
      </c>
      <c r="AS63" s="13">
        <v>37.3047108435892</v>
      </c>
      <c r="AT63" s="13">
        <v>37.3047108435892</v>
      </c>
      <c r="AU63" s="13">
        <v>37.3047108435892</v>
      </c>
      <c r="AV63" s="13">
        <v>37.3047108435892</v>
      </c>
      <c r="AW63" s="13">
        <v>37.3047108435892</v>
      </c>
      <c r="AX63" s="13">
        <v>37.3047108435892</v>
      </c>
      <c r="AY63" s="13">
        <v>37.3047108435892</v>
      </c>
      <c r="AZ63" s="13">
        <v>37.3047108435892</v>
      </c>
      <c r="BA63" s="13">
        <v>37.3047108435892</v>
      </c>
      <c r="BB63" s="13">
        <v>37.3047108435892</v>
      </c>
      <c r="BC63" s="13">
        <v>37.3047108435892</v>
      </c>
      <c r="BD63" s="13">
        <v>37.3047108435892</v>
      </c>
      <c r="BE63" s="13">
        <v>37.3047108435892</v>
      </c>
      <c r="BF63" s="13">
        <v>37.3047108435892</v>
      </c>
      <c r="BG63" s="13">
        <v>37.3047108435892</v>
      </c>
      <c r="BH63" s="13">
        <v>37.3047108435892</v>
      </c>
      <c r="BI63" s="13">
        <v>37.3047108435892</v>
      </c>
      <c r="BJ63" s="13">
        <v>37.3047108435892</v>
      </c>
      <c r="BK63" s="13">
        <v>37.3047108435892</v>
      </c>
      <c r="BL63" s="13">
        <v>37.3047108435892</v>
      </c>
      <c r="BM63" s="13">
        <v>37.3047108435892</v>
      </c>
      <c r="BN63" s="13">
        <v>37.3047108435892</v>
      </c>
    </row>
    <row r="64" spans="4:66">
      <c r="D64" s="14" t="s">
        <v>28</v>
      </c>
      <c r="E64" s="13">
        <f t="shared" si="10"/>
        <v>0.182584230398862</v>
      </c>
      <c r="F64" s="13">
        <f t="shared" ref="F64:AC64" si="77">1/ABS(F31)</f>
        <v>0.226935554426347</v>
      </c>
      <c r="G64" s="13">
        <f t="shared" si="77"/>
        <v>4.05456974234162</v>
      </c>
      <c r="H64" s="13">
        <f t="shared" si="77"/>
        <v>18.2649348863459</v>
      </c>
      <c r="I64" s="13">
        <f t="shared" si="77"/>
        <v>0.597199864327035</v>
      </c>
      <c r="J64" s="13">
        <f t="shared" si="77"/>
        <v>0.764219566718957</v>
      </c>
      <c r="K64" s="13">
        <f t="shared" si="77"/>
        <v>1.79994512985455</v>
      </c>
      <c r="L64" s="13">
        <f t="shared" si="77"/>
        <v>11.9335713146367</v>
      </c>
      <c r="M64" s="13">
        <f t="shared" si="77"/>
        <v>0.171579942725339</v>
      </c>
      <c r="N64" s="13">
        <f t="shared" si="77"/>
        <v>0.30203208546572</v>
      </c>
      <c r="O64" s="13">
        <f t="shared" si="77"/>
        <v>0.347216784861328</v>
      </c>
      <c r="P64" s="13">
        <f t="shared" si="77"/>
        <v>8.91044995534866</v>
      </c>
      <c r="Q64" s="13">
        <f t="shared" si="77"/>
        <v>0.471687329833739</v>
      </c>
      <c r="R64" s="13">
        <f t="shared" si="77"/>
        <v>7.20626216524035</v>
      </c>
      <c r="S64" s="13">
        <f t="shared" si="77"/>
        <v>0.617724374744527</v>
      </c>
      <c r="T64" s="13">
        <f t="shared" si="77"/>
        <v>12.9469500545978</v>
      </c>
      <c r="U64" s="13">
        <f t="shared" si="77"/>
        <v>1.34455223860891</v>
      </c>
      <c r="V64" s="13">
        <f t="shared" si="77"/>
        <v>5.07239303355187</v>
      </c>
      <c r="W64" s="13">
        <f t="shared" si="77"/>
        <v>0.455825950510416</v>
      </c>
      <c r="X64" s="13">
        <f t="shared" si="77"/>
        <v>2.67817912857103</v>
      </c>
      <c r="Y64" s="13">
        <f t="shared" si="77"/>
        <v>8.31131681890807</v>
      </c>
      <c r="Z64" s="13">
        <f t="shared" si="77"/>
        <v>1.36738830364629</v>
      </c>
      <c r="AA64" s="13">
        <f t="shared" si="77"/>
        <v>9.86185907018574</v>
      </c>
      <c r="AB64" s="13">
        <f t="shared" si="77"/>
        <v>1.32505871034801</v>
      </c>
      <c r="AC64" s="13">
        <f t="shared" si="77"/>
        <v>1.69081870144457</v>
      </c>
      <c r="AD64" s="13">
        <f t="shared" si="73"/>
        <v>2.40554577868612</v>
      </c>
      <c r="AE64" s="13">
        <f>1/ABS(AE31)</f>
        <v>2.0644369996845</v>
      </c>
      <c r="AF64" s="13">
        <f>1/ABS(AF31)</f>
        <v>1.17066539170333</v>
      </c>
      <c r="AG64" s="13">
        <v>0</v>
      </c>
      <c r="AH64" s="13">
        <f>1/ABS(AH31)</f>
        <v>4.81826695183992</v>
      </c>
      <c r="AI64" s="13">
        <f>1/ABS(AI31)</f>
        <v>6.19627081250532</v>
      </c>
      <c r="AJ64" s="13">
        <f t="shared" si="14"/>
        <v>117.560440872062</v>
      </c>
      <c r="AK64" s="13">
        <v>117.560440872061</v>
      </c>
      <c r="AL64" s="13">
        <v>117.560440872061</v>
      </c>
      <c r="AM64" s="13">
        <v>117.560440872061</v>
      </c>
      <c r="AN64" s="13">
        <v>117.560440872061</v>
      </c>
      <c r="AO64" s="13">
        <v>117.560440872061</v>
      </c>
      <c r="AP64" s="13">
        <v>117.560440872061</v>
      </c>
      <c r="AQ64" s="13">
        <v>117.560440872061</v>
      </c>
      <c r="AR64" s="13">
        <v>117.560440872061</v>
      </c>
      <c r="AS64" s="13">
        <v>117.560440872061</v>
      </c>
      <c r="AT64" s="13">
        <v>117.560440872061</v>
      </c>
      <c r="AU64" s="13">
        <v>117.560440872061</v>
      </c>
      <c r="AV64" s="13">
        <v>117.560440872061</v>
      </c>
      <c r="AW64" s="13">
        <v>117.560440872061</v>
      </c>
      <c r="AX64" s="13">
        <v>117.560440872061</v>
      </c>
      <c r="AY64" s="13">
        <v>117.560440872061</v>
      </c>
      <c r="AZ64" s="13">
        <v>117.560440872061</v>
      </c>
      <c r="BA64" s="13">
        <v>117.560440872061</v>
      </c>
      <c r="BB64" s="13">
        <v>117.560440872061</v>
      </c>
      <c r="BC64" s="13">
        <v>117.560440872061</v>
      </c>
      <c r="BD64" s="13">
        <v>117.560440872061</v>
      </c>
      <c r="BE64" s="13">
        <v>117.560440872061</v>
      </c>
      <c r="BF64" s="13">
        <v>117.560440872061</v>
      </c>
      <c r="BG64" s="13">
        <v>117.560440872061</v>
      </c>
      <c r="BH64" s="13">
        <v>117.560440872061</v>
      </c>
      <c r="BI64" s="13">
        <v>117.560440872061</v>
      </c>
      <c r="BJ64" s="13">
        <v>117.560440872061</v>
      </c>
      <c r="BK64" s="13">
        <v>117.560440872061</v>
      </c>
      <c r="BL64" s="13">
        <v>117.560440872061</v>
      </c>
      <c r="BM64" s="13">
        <v>117.560440872061</v>
      </c>
      <c r="BN64" s="13">
        <v>117.560440872061</v>
      </c>
    </row>
    <row r="65" spans="4:66">
      <c r="D65" s="14" t="s">
        <v>29</v>
      </c>
      <c r="E65" s="13">
        <f t="shared" si="10"/>
        <v>0.189775620145221</v>
      </c>
      <c r="F65" s="13">
        <f t="shared" ref="F65:AC65" si="78">1/ABS(F32)</f>
        <v>0.238152289051908</v>
      </c>
      <c r="G65" s="13">
        <f t="shared" si="78"/>
        <v>25.5808180918829</v>
      </c>
      <c r="H65" s="13">
        <f t="shared" si="78"/>
        <v>3.81252708169817</v>
      </c>
      <c r="I65" s="13">
        <f t="shared" si="78"/>
        <v>0.681692166997915</v>
      </c>
      <c r="J65" s="13">
        <f t="shared" si="78"/>
        <v>0.908280918418891</v>
      </c>
      <c r="K65" s="13">
        <f t="shared" si="78"/>
        <v>2.87332386862536</v>
      </c>
      <c r="L65" s="13">
        <f t="shared" si="78"/>
        <v>8.08105027570994</v>
      </c>
      <c r="M65" s="13">
        <f t="shared" si="78"/>
        <v>0.177915569955639</v>
      </c>
      <c r="N65" s="13">
        <f t="shared" si="78"/>
        <v>0.322231074966904</v>
      </c>
      <c r="O65" s="13">
        <f t="shared" si="78"/>
        <v>0.374181254323076</v>
      </c>
      <c r="P65" s="13">
        <f t="shared" si="78"/>
        <v>3.12723518418532</v>
      </c>
      <c r="Q65" s="13">
        <f t="shared" si="78"/>
        <v>0.522874460054304</v>
      </c>
      <c r="R65" s="13">
        <f t="shared" si="78"/>
        <v>2.88757210357214</v>
      </c>
      <c r="S65" s="13">
        <f t="shared" si="78"/>
        <v>0.708565830616014</v>
      </c>
      <c r="T65" s="13">
        <f t="shared" si="78"/>
        <v>7.67428878535393</v>
      </c>
      <c r="U65" s="13">
        <f t="shared" si="78"/>
        <v>1.86498090693404</v>
      </c>
      <c r="V65" s="13">
        <f t="shared" si="78"/>
        <v>96.1732993152962</v>
      </c>
      <c r="W65" s="13">
        <f t="shared" si="78"/>
        <v>0.503454628375722</v>
      </c>
      <c r="X65" s="13">
        <f t="shared" si="78"/>
        <v>1.72137328113668</v>
      </c>
      <c r="Y65" s="13">
        <f t="shared" si="78"/>
        <v>11.4645208854199</v>
      </c>
      <c r="Z65" s="13">
        <f t="shared" si="78"/>
        <v>1.90920705868347</v>
      </c>
      <c r="AA65" s="13">
        <f t="shared" si="78"/>
        <v>3.23682981810139</v>
      </c>
      <c r="AB65" s="13">
        <f t="shared" si="78"/>
        <v>1.03925576217029</v>
      </c>
      <c r="AC65" s="13">
        <f t="shared" si="78"/>
        <v>1.2516068008127</v>
      </c>
      <c r="AD65" s="13">
        <f t="shared" si="73"/>
        <v>1.60449365992041</v>
      </c>
      <c r="AE65" s="13">
        <f>1/ABS(AE32)</f>
        <v>3.61206346889715</v>
      </c>
      <c r="AF65" s="13">
        <f>1/ABS(AF32)</f>
        <v>0.941833710074897</v>
      </c>
      <c r="AG65" s="13">
        <f>1/ABS(AG32)</f>
        <v>4.81826695183992</v>
      </c>
      <c r="AH65" s="13">
        <v>0</v>
      </c>
      <c r="AI65" s="13">
        <f>1/ABS(AI32)</f>
        <v>21.6656046711861</v>
      </c>
      <c r="AJ65" s="13">
        <f t="shared" si="14"/>
        <v>209.967275494407</v>
      </c>
      <c r="AK65" s="13">
        <v>209.967275494407</v>
      </c>
      <c r="AL65" s="13">
        <v>209.967275494407</v>
      </c>
      <c r="AM65" s="13">
        <v>209.967275494407</v>
      </c>
      <c r="AN65" s="13">
        <v>209.967275494407</v>
      </c>
      <c r="AO65" s="13">
        <v>209.967275494407</v>
      </c>
      <c r="AP65" s="13">
        <v>209.967275494407</v>
      </c>
      <c r="AQ65" s="13">
        <v>209.967275494407</v>
      </c>
      <c r="AR65" s="13">
        <v>209.967275494407</v>
      </c>
      <c r="AS65" s="13">
        <v>209.967275494407</v>
      </c>
      <c r="AT65" s="13">
        <v>209.967275494407</v>
      </c>
      <c r="AU65" s="13">
        <v>209.967275494407</v>
      </c>
      <c r="AV65" s="13">
        <v>209.967275494407</v>
      </c>
      <c r="AW65" s="13">
        <v>209.967275494407</v>
      </c>
      <c r="AX65" s="13">
        <v>209.967275494407</v>
      </c>
      <c r="AY65" s="13">
        <v>209.967275494407</v>
      </c>
      <c r="AZ65" s="13">
        <v>209.967275494407</v>
      </c>
      <c r="BA65" s="13">
        <v>209.967275494407</v>
      </c>
      <c r="BB65" s="13">
        <v>209.967275494407</v>
      </c>
      <c r="BC65" s="13">
        <v>209.967275494407</v>
      </c>
      <c r="BD65" s="13">
        <v>209.967275494407</v>
      </c>
      <c r="BE65" s="13">
        <v>209.967275494407</v>
      </c>
      <c r="BF65" s="13">
        <v>209.967275494407</v>
      </c>
      <c r="BG65" s="13">
        <v>209.967275494407</v>
      </c>
      <c r="BH65" s="13">
        <v>209.967275494407</v>
      </c>
      <c r="BI65" s="13">
        <v>209.967275494407</v>
      </c>
      <c r="BJ65" s="13">
        <v>209.967275494407</v>
      </c>
      <c r="BK65" s="13">
        <v>209.967275494407</v>
      </c>
      <c r="BL65" s="13">
        <v>209.967275494407</v>
      </c>
      <c r="BM65" s="13">
        <v>209.967275494407</v>
      </c>
      <c r="BN65" s="13">
        <v>209.967275494407</v>
      </c>
    </row>
    <row r="66" spans="4:66">
      <c r="D66" s="14" t="s">
        <v>30</v>
      </c>
      <c r="E66" s="13">
        <f t="shared" si="10"/>
        <v>0.188127751953434</v>
      </c>
      <c r="F66" s="13">
        <f t="shared" ref="F66:AC66" si="79">1/ABS(F33)</f>
        <v>0.235562938152717</v>
      </c>
      <c r="G66" s="13">
        <f t="shared" si="79"/>
        <v>11.7304942793993</v>
      </c>
      <c r="H66" s="13">
        <f t="shared" si="79"/>
        <v>4.62669274449911</v>
      </c>
      <c r="I66" s="13">
        <f t="shared" si="79"/>
        <v>0.660897517250735</v>
      </c>
      <c r="J66" s="13">
        <f t="shared" si="79"/>
        <v>0.871735405530151</v>
      </c>
      <c r="K66" s="13">
        <f t="shared" si="79"/>
        <v>2.53687926630225</v>
      </c>
      <c r="L66" s="13">
        <f t="shared" si="79"/>
        <v>12.8882284618637</v>
      </c>
      <c r="M66" s="13">
        <f t="shared" si="79"/>
        <v>0.176466446843467</v>
      </c>
      <c r="N66" s="13">
        <f t="shared" si="79"/>
        <v>0.317508788204666</v>
      </c>
      <c r="O66" s="13">
        <f t="shared" si="79"/>
        <v>0.367828578686389</v>
      </c>
      <c r="P66" s="13">
        <f t="shared" si="79"/>
        <v>3.65476808852537</v>
      </c>
      <c r="Q66" s="13">
        <f t="shared" si="79"/>
        <v>0.51055285390185</v>
      </c>
      <c r="R66" s="13">
        <f t="shared" si="79"/>
        <v>3.33160545069225</v>
      </c>
      <c r="S66" s="13">
        <f t="shared" si="79"/>
        <v>0.686126315538746</v>
      </c>
      <c r="T66" s="13">
        <f t="shared" si="79"/>
        <v>11.8836647183673</v>
      </c>
      <c r="U66" s="13">
        <f t="shared" si="79"/>
        <v>1.71716674516228</v>
      </c>
      <c r="V66" s="13">
        <f t="shared" si="79"/>
        <v>27.9656039935411</v>
      </c>
      <c r="W66" s="13">
        <f t="shared" si="79"/>
        <v>0.492021280690196</v>
      </c>
      <c r="X66" s="13">
        <f t="shared" si="79"/>
        <v>1.86994385851625</v>
      </c>
      <c r="Y66" s="13">
        <f t="shared" si="79"/>
        <v>24.3489596266863</v>
      </c>
      <c r="Z66" s="13">
        <f t="shared" si="79"/>
        <v>1.75458984965997</v>
      </c>
      <c r="AA66" s="13">
        <f t="shared" si="79"/>
        <v>3.80534657273505</v>
      </c>
      <c r="AB66" s="13">
        <f t="shared" si="79"/>
        <v>1.09161852127848</v>
      </c>
      <c r="AC66" s="13">
        <f t="shared" si="79"/>
        <v>1.32834432149767</v>
      </c>
      <c r="AD66" s="13">
        <f t="shared" si="73"/>
        <v>1.73282154282176</v>
      </c>
      <c r="AE66" s="13">
        <f>1/ABS(AE33)</f>
        <v>3.09591607622479</v>
      </c>
      <c r="AF66" s="13">
        <f>1/ABS(AF33)</f>
        <v>0.984637249020489</v>
      </c>
      <c r="AG66" s="13">
        <f>1/ABS(AG33)</f>
        <v>6.19627081250532</v>
      </c>
      <c r="AH66" s="13">
        <f>1/ABS(AH33)</f>
        <v>21.6656046711861</v>
      </c>
      <c r="AI66" s="13">
        <v>0</v>
      </c>
      <c r="AJ66" s="13">
        <f t="shared" si="14"/>
        <v>152.715984727237</v>
      </c>
      <c r="AK66" s="13">
        <v>152.715984727237</v>
      </c>
      <c r="AL66" s="13">
        <v>152.715984727237</v>
      </c>
      <c r="AM66" s="13">
        <v>152.715984727237</v>
      </c>
      <c r="AN66" s="13">
        <v>152.715984727237</v>
      </c>
      <c r="AO66" s="13">
        <v>152.715984727237</v>
      </c>
      <c r="AP66" s="13">
        <v>152.715984727237</v>
      </c>
      <c r="AQ66" s="13">
        <v>152.715984727237</v>
      </c>
      <c r="AR66" s="13">
        <v>152.715984727237</v>
      </c>
      <c r="AS66" s="13">
        <v>152.715984727237</v>
      </c>
      <c r="AT66" s="13">
        <v>152.715984727237</v>
      </c>
      <c r="AU66" s="13">
        <v>152.715984727237</v>
      </c>
      <c r="AV66" s="13">
        <v>152.715984727237</v>
      </c>
      <c r="AW66" s="13">
        <v>152.715984727237</v>
      </c>
      <c r="AX66" s="13">
        <v>152.715984727237</v>
      </c>
      <c r="AY66" s="13">
        <v>152.715984727237</v>
      </c>
      <c r="AZ66" s="13">
        <v>152.715984727237</v>
      </c>
      <c r="BA66" s="13">
        <v>152.715984727237</v>
      </c>
      <c r="BB66" s="13">
        <v>152.715984727237</v>
      </c>
      <c r="BC66" s="13">
        <v>152.715984727237</v>
      </c>
      <c r="BD66" s="13">
        <v>152.715984727237</v>
      </c>
      <c r="BE66" s="13">
        <v>152.715984727237</v>
      </c>
      <c r="BF66" s="13">
        <v>152.715984727237</v>
      </c>
      <c r="BG66" s="13">
        <v>152.715984727237</v>
      </c>
      <c r="BH66" s="13">
        <v>152.715984727237</v>
      </c>
      <c r="BI66" s="13">
        <v>152.715984727237</v>
      </c>
      <c r="BJ66" s="13">
        <v>152.715984727237</v>
      </c>
      <c r="BK66" s="13">
        <v>152.715984727237</v>
      </c>
      <c r="BL66" s="13">
        <v>152.715984727237</v>
      </c>
      <c r="BM66" s="13">
        <v>152.715984727237</v>
      </c>
      <c r="BN66" s="13">
        <v>152.715984727237</v>
      </c>
    </row>
    <row r="68" spans="2:3">
      <c r="B68" s="16" t="s">
        <v>35</v>
      </c>
      <c r="C68" s="16"/>
    </row>
    <row r="69" spans="5:35">
      <c r="E69" s="14" t="s">
        <v>0</v>
      </c>
      <c r="F69" s="14" t="s">
        <v>1</v>
      </c>
      <c r="G69" s="14" t="s">
        <v>2</v>
      </c>
      <c r="H69" s="14" t="s">
        <v>3</v>
      </c>
      <c r="I69" s="14" t="s">
        <v>4</v>
      </c>
      <c r="J69" s="14" t="s">
        <v>5</v>
      </c>
      <c r="K69" s="14" t="s">
        <v>6</v>
      </c>
      <c r="L69" s="14" t="s">
        <v>7</v>
      </c>
      <c r="M69" s="14" t="s">
        <v>8</v>
      </c>
      <c r="N69" s="14" t="s">
        <v>9</v>
      </c>
      <c r="O69" s="14" t="s">
        <v>10</v>
      </c>
      <c r="P69" s="14" t="s">
        <v>11</v>
      </c>
      <c r="Q69" s="14" t="s">
        <v>12</v>
      </c>
      <c r="R69" s="14" t="s">
        <v>13</v>
      </c>
      <c r="S69" s="14" t="s">
        <v>14</v>
      </c>
      <c r="T69" s="14" t="s">
        <v>15</v>
      </c>
      <c r="U69" s="14" t="s">
        <v>16</v>
      </c>
      <c r="V69" s="14" t="s">
        <v>17</v>
      </c>
      <c r="W69" s="14" t="s">
        <v>18</v>
      </c>
      <c r="X69" s="14" t="s">
        <v>19</v>
      </c>
      <c r="Y69" s="14" t="s">
        <v>20</v>
      </c>
      <c r="Z69" s="14" t="s">
        <v>21</v>
      </c>
      <c r="AA69" s="14" t="s">
        <v>22</v>
      </c>
      <c r="AB69" s="14" t="s">
        <v>23</v>
      </c>
      <c r="AC69" s="14" t="s">
        <v>24</v>
      </c>
      <c r="AD69" s="14" t="s">
        <v>25</v>
      </c>
      <c r="AE69" s="14" t="s">
        <v>26</v>
      </c>
      <c r="AF69" s="14" t="s">
        <v>27</v>
      </c>
      <c r="AG69" s="14" t="s">
        <v>28</v>
      </c>
      <c r="AH69" s="14" t="s">
        <v>29</v>
      </c>
      <c r="AI69" s="14" t="s">
        <v>30</v>
      </c>
    </row>
    <row r="70" spans="4:35">
      <c r="D70" s="14" t="s">
        <v>0</v>
      </c>
      <c r="E70" s="13">
        <f t="shared" ref="E70:E94" si="80">E36/AJ36</f>
        <v>0</v>
      </c>
      <c r="F70" s="13">
        <f t="shared" ref="F70:F94" si="81">F36/AK36</f>
        <v>0.0947776443785021</v>
      </c>
      <c r="G70" s="13">
        <f t="shared" ref="G70:G94" si="82">G36/AL36</f>
        <v>0.0193963944921246</v>
      </c>
      <c r="H70" s="13">
        <f t="shared" ref="H70:H94" si="83">H36/AM36</f>
        <v>0.0183396108532097</v>
      </c>
      <c r="I70" s="13">
        <f t="shared" ref="I70:I94" si="84">I36/AN36</f>
        <v>0.0266798868434926</v>
      </c>
      <c r="J70" s="13">
        <f t="shared" ref="J70:J94" si="85">J36/AO36</f>
        <v>0.0243375763170218</v>
      </c>
      <c r="K70" s="13">
        <f t="shared" ref="K70:K94" si="86">K36/AP36</f>
        <v>0.0206140005569543</v>
      </c>
      <c r="L70" s="13">
        <f t="shared" ref="L70:L94" si="87">L36/AQ36</f>
        <v>0.0188107469340144</v>
      </c>
      <c r="M70" s="13">
        <f t="shared" ref="M70:M94" si="88">M36/AR36</f>
        <v>0.288811538664167</v>
      </c>
      <c r="N70" s="13">
        <f t="shared" ref="N70:N94" si="89">N36/AS36</f>
        <v>0.0468365268705918</v>
      </c>
      <c r="O70" s="13">
        <f t="shared" ref="O70:O94" si="90">O36/AT36</f>
        <v>0.0390656407024332</v>
      </c>
      <c r="P70" s="13">
        <f t="shared" ref="P70:P94" si="91">P36/AU36</f>
        <v>0.0181510088466146</v>
      </c>
      <c r="Q70" s="13">
        <f t="shared" ref="Q70:Q94" si="92">Q36/AV36</f>
        <v>0.0302211801610553</v>
      </c>
      <c r="R70" s="13">
        <f t="shared" ref="R70:R94" si="93">R36/AW36</f>
        <v>0.0180652250606222</v>
      </c>
      <c r="S70" s="13">
        <f t="shared" ref="S70:S94" si="94">S36/AX36</f>
        <v>0.026295143421697</v>
      </c>
      <c r="T70" s="13">
        <f t="shared" ref="T70:T94" si="95">T36/AY36</f>
        <v>0.0187878977118893</v>
      </c>
      <c r="U70" s="13">
        <f t="shared" ref="U70:U94" si="96">U36/AZ36</f>
        <v>0.0214335182957384</v>
      </c>
      <c r="V70" s="13">
        <f t="shared" ref="V70:V94" si="97">V36/BA36</f>
        <v>0.0192145835550233</v>
      </c>
      <c r="W70" s="13">
        <f t="shared" ref="W70:W94" si="98">W36/BB36</f>
        <v>0.0309002499587423</v>
      </c>
      <c r="X70" s="13">
        <f t="shared" ref="X70:X94" si="99">X36/BC36</f>
        <v>0.0173407406718307</v>
      </c>
      <c r="Y70" s="13">
        <f t="shared" ref="Y70:Y94" si="100">Y36/BD36</f>
        <v>0.0189389962320249</v>
      </c>
      <c r="Z70" s="13">
        <f t="shared" ref="Z70:Z94" si="101">Z36/BE36</f>
        <v>0.0213774194683076</v>
      </c>
      <c r="AA70" s="13">
        <f t="shared" ref="AA70:AA94" si="102">AA36/BF36</f>
        <v>0.0181862382943047</v>
      </c>
      <c r="AB70" s="13">
        <f t="shared" ref="AB70:AB94" si="103">AB36/BG36</f>
        <v>0.0162797068288376</v>
      </c>
      <c r="AC70" s="13">
        <f t="shared" ref="AC70:AC94" si="104">AC36/BH36</f>
        <v>0.0167176721525724</v>
      </c>
      <c r="AD70" s="13">
        <f t="shared" ref="AD70:AE85" si="105">AD36/BI36</f>
        <v>0.0172162077496463</v>
      </c>
      <c r="AE70" s="13">
        <f t="shared" si="105"/>
        <v>0.0203201050362479</v>
      </c>
      <c r="AF70" s="13">
        <f t="shared" ref="AF70:AF93" si="106">AF36/BJ36</f>
        <v>0.0160237744039416</v>
      </c>
      <c r="AG70" s="13">
        <f t="shared" ref="AG70:AG93" si="107">AG36/BK36</f>
        <v>0.0185229415770412</v>
      </c>
      <c r="AH70" s="13">
        <f t="shared" ref="AH70:AH93" si="108">AH36/BL36</f>
        <v>0.0192524990631316</v>
      </c>
      <c r="AI70" s="13">
        <f t="shared" ref="AI70:AI93" si="109">AI36/BM36</f>
        <v>0.019085324898219</v>
      </c>
    </row>
    <row r="71" spans="4:35">
      <c r="D71" s="14" t="s">
        <v>1</v>
      </c>
      <c r="E71" s="13">
        <f t="shared" si="80"/>
        <v>0.0937612831388239</v>
      </c>
      <c r="F71" s="13">
        <f t="shared" si="81"/>
        <v>0</v>
      </c>
      <c r="G71" s="13">
        <f t="shared" si="82"/>
        <v>0.0241257718410036</v>
      </c>
      <c r="H71" s="13">
        <f t="shared" si="83"/>
        <v>0.0224959403919605</v>
      </c>
      <c r="I71" s="13">
        <f t="shared" si="84"/>
        <v>0.0367345491980178</v>
      </c>
      <c r="J71" s="13">
        <f t="shared" si="85"/>
        <v>0.0323952325256324</v>
      </c>
      <c r="K71" s="13">
        <f t="shared" si="86"/>
        <v>0.0260612214186125</v>
      </c>
      <c r="L71" s="13">
        <f t="shared" si="87"/>
        <v>0.0232169514441698</v>
      </c>
      <c r="M71" s="13">
        <f t="shared" si="88"/>
        <v>0.0705946404318659</v>
      </c>
      <c r="N71" s="13">
        <f t="shared" si="89"/>
        <v>0.091600969802761</v>
      </c>
      <c r="O71" s="13">
        <f t="shared" si="90"/>
        <v>0.0657460575318312</v>
      </c>
      <c r="P71" s="13">
        <f t="shared" si="91"/>
        <v>0.0222097951699122</v>
      </c>
      <c r="Q71" s="13">
        <f t="shared" si="92"/>
        <v>0.043892996065053</v>
      </c>
      <c r="R71" s="13">
        <f t="shared" si="93"/>
        <v>0.0220801103255101</v>
      </c>
      <c r="S71" s="13">
        <f t="shared" si="94"/>
        <v>0.0360014069739187</v>
      </c>
      <c r="T71" s="13">
        <f t="shared" si="95"/>
        <v>0.0231817774663235</v>
      </c>
      <c r="U71" s="13">
        <f t="shared" si="96"/>
        <v>0.0274000698477226</v>
      </c>
      <c r="V71" s="13">
        <f t="shared" si="97"/>
        <v>0.0238421258941029</v>
      </c>
      <c r="W71" s="13">
        <f t="shared" si="98"/>
        <v>0.0453563754714741</v>
      </c>
      <c r="X71" s="13">
        <f t="shared" si="99"/>
        <v>0.0209963211097291</v>
      </c>
      <c r="Y71" s="13">
        <f t="shared" si="100"/>
        <v>0.0234147711157282</v>
      </c>
      <c r="Z71" s="13">
        <f t="shared" si="101"/>
        <v>0.0273074678176771</v>
      </c>
      <c r="AA71" s="13">
        <f t="shared" si="102"/>
        <v>0.0222631379304871</v>
      </c>
      <c r="AB71" s="13">
        <f t="shared" si="103"/>
        <v>0.0194451758739516</v>
      </c>
      <c r="AC71" s="13">
        <f t="shared" si="104"/>
        <v>0.0200803349965669</v>
      </c>
      <c r="AD71" s="13">
        <f t="shared" si="105"/>
        <v>0.0208120658867587</v>
      </c>
      <c r="AE71" s="13">
        <f t="shared" ref="AE71:AE93" si="110">AE37/BI37</f>
        <v>0.0255882633047622</v>
      </c>
      <c r="AF71" s="13">
        <f t="shared" si="106"/>
        <v>0.0190772802571598</v>
      </c>
      <c r="AG71" s="13">
        <f t="shared" si="107"/>
        <v>0.022775444739332</v>
      </c>
      <c r="AH71" s="13">
        <f t="shared" si="108"/>
        <v>0.0239011657409</v>
      </c>
      <c r="AI71" s="13">
        <f t="shared" si="109"/>
        <v>0.0236412962882514</v>
      </c>
    </row>
    <row r="72" spans="4:35">
      <c r="D72" s="14" t="s">
        <v>2</v>
      </c>
      <c r="E72" s="13">
        <f t="shared" si="80"/>
        <v>0.00165419658875467</v>
      </c>
      <c r="F72" s="13">
        <f t="shared" si="81"/>
        <v>0.00207983890234559</v>
      </c>
      <c r="G72" s="13">
        <f t="shared" si="82"/>
        <v>0</v>
      </c>
      <c r="H72" s="13">
        <f t="shared" si="83"/>
        <v>0.0287072212280077</v>
      </c>
      <c r="I72" s="13">
        <f t="shared" si="84"/>
        <v>0.00605942529706604</v>
      </c>
      <c r="J72" s="13">
        <f t="shared" si="85"/>
        <v>0.00814767340058598</v>
      </c>
      <c r="K72" s="13">
        <f t="shared" si="86"/>
        <v>0.0280054529842295</v>
      </c>
      <c r="L72" s="13">
        <f t="shared" si="87"/>
        <v>0.0531320808552249</v>
      </c>
      <c r="M72" s="13">
        <f t="shared" si="88"/>
        <v>0.00155009333198762</v>
      </c>
      <c r="N72" s="13">
        <f t="shared" si="89"/>
        <v>0.00282348575837218</v>
      </c>
      <c r="O72" s="13">
        <f t="shared" si="90"/>
        <v>0.00328544616791732</v>
      </c>
      <c r="P72" s="13">
        <f t="shared" si="91"/>
        <v>0.0241092685023125</v>
      </c>
      <c r="Q72" s="13">
        <f t="shared" si="92"/>
        <v>0.00461826909645375</v>
      </c>
      <c r="R72" s="13">
        <f t="shared" si="93"/>
        <v>0.0224490083404624</v>
      </c>
      <c r="S72" s="13">
        <f t="shared" si="94"/>
        <v>0.00630510502600395</v>
      </c>
      <c r="T72" s="13">
        <f t="shared" si="95"/>
        <v>0.0510748410087909</v>
      </c>
      <c r="U72" s="13">
        <f t="shared" si="96"/>
        <v>0.0174045646057076</v>
      </c>
      <c r="V72" s="13">
        <f t="shared" si="97"/>
        <v>0.174822808120467</v>
      </c>
      <c r="W72" s="13">
        <f t="shared" si="98"/>
        <v>0.00444330061532379</v>
      </c>
      <c r="X72" s="13">
        <f t="shared" si="99"/>
        <v>0.0139541949051134</v>
      </c>
      <c r="Y72" s="13">
        <f t="shared" si="100"/>
        <v>0.0684935333042697</v>
      </c>
      <c r="Z72" s="13">
        <f t="shared" si="101"/>
        <v>0.0178505848164459</v>
      </c>
      <c r="AA72" s="13">
        <f t="shared" si="102"/>
        <v>0.0248592813084085</v>
      </c>
      <c r="AB72" s="13">
        <f t="shared" si="103"/>
        <v>0.00864053072093477</v>
      </c>
      <c r="AC72" s="13">
        <f t="shared" si="104"/>
        <v>0.0103236964273524</v>
      </c>
      <c r="AD72" s="13">
        <f t="shared" si="105"/>
        <v>0.0130626388904575</v>
      </c>
      <c r="AE72" s="13">
        <f t="shared" si="110"/>
        <v>0.0363895904923333</v>
      </c>
      <c r="AF72" s="13">
        <f t="shared" si="106"/>
        <v>0.00785931183024396</v>
      </c>
      <c r="AG72" s="13">
        <f t="shared" si="107"/>
        <v>0.0350798380099486</v>
      </c>
      <c r="AH72" s="13">
        <f t="shared" si="108"/>
        <v>0.221323349171683</v>
      </c>
      <c r="AI72" s="13">
        <f t="shared" si="109"/>
        <v>0.101491370292795</v>
      </c>
    </row>
    <row r="73" spans="4:35">
      <c r="D73" s="14" t="s">
        <v>3</v>
      </c>
      <c r="E73" s="13">
        <f t="shared" si="80"/>
        <v>0.00143781702240893</v>
      </c>
      <c r="F73" s="13">
        <f t="shared" si="81"/>
        <v>0.00178278932811818</v>
      </c>
      <c r="G73" s="13">
        <f t="shared" si="82"/>
        <v>0.0263899488477816</v>
      </c>
      <c r="H73" s="13">
        <f t="shared" si="83"/>
        <v>0</v>
      </c>
      <c r="I73" s="13">
        <f t="shared" si="84"/>
        <v>0.00459946355542808</v>
      </c>
      <c r="J73" s="13">
        <f t="shared" si="85"/>
        <v>0.00583414188092877</v>
      </c>
      <c r="K73" s="13">
        <f t="shared" si="86"/>
        <v>0.0130316985044112</v>
      </c>
      <c r="L73" s="13">
        <f t="shared" si="87"/>
        <v>0.057406794444097</v>
      </c>
      <c r="M73" s="13">
        <f t="shared" si="88"/>
        <v>0.00135196676688967</v>
      </c>
      <c r="N73" s="13">
        <f t="shared" si="89"/>
        <v>0.00236314538611736</v>
      </c>
      <c r="O73" s="13">
        <f t="shared" si="90"/>
        <v>0.00271008213352419</v>
      </c>
      <c r="P73" s="13">
        <f t="shared" si="91"/>
        <v>0.138375142262313</v>
      </c>
      <c r="Q73" s="13">
        <f t="shared" si="92"/>
        <v>0.00365713704536993</v>
      </c>
      <c r="R73" s="13">
        <f t="shared" si="93"/>
        <v>0.0946641145697117</v>
      </c>
      <c r="S73" s="13">
        <f t="shared" si="94"/>
        <v>0.00475236629263016</v>
      </c>
      <c r="T73" s="13">
        <f t="shared" si="95"/>
        <v>0.0602595383344527</v>
      </c>
      <c r="U73" s="13">
        <f t="shared" si="96"/>
        <v>0.00996069792913347</v>
      </c>
      <c r="V73" s="13">
        <f t="shared" si="97"/>
        <v>0.0315747625687616</v>
      </c>
      <c r="W73" s="13">
        <f t="shared" si="98"/>
        <v>0.00353715324627082</v>
      </c>
      <c r="X73" s="13">
        <f t="shared" si="99"/>
        <v>0.0249610135370295</v>
      </c>
      <c r="Y73" s="13">
        <f t="shared" si="100"/>
        <v>0.0454312236037064</v>
      </c>
      <c r="Z73" s="13">
        <f t="shared" si="101"/>
        <v>0.0101180888927457</v>
      </c>
      <c r="AA73" s="13">
        <f t="shared" si="102"/>
        <v>0.170489970173403</v>
      </c>
      <c r="AB73" s="13">
        <f t="shared" si="103"/>
        <v>0.0113632670849627</v>
      </c>
      <c r="AC73" s="13">
        <f t="shared" si="104"/>
        <v>0.0148198902872068</v>
      </c>
      <c r="AD73" s="13">
        <f t="shared" si="105"/>
        <v>0.0220346165016378</v>
      </c>
      <c r="AE73" s="13">
        <f t="shared" si="110"/>
        <v>0.0147521730528059</v>
      </c>
      <c r="AF73" s="13">
        <f t="shared" si="106"/>
        <v>0.0099485676583548</v>
      </c>
      <c r="AG73" s="13">
        <f t="shared" si="107"/>
        <v>0.145270798848984</v>
      </c>
      <c r="AH73" s="13">
        <f t="shared" si="108"/>
        <v>0.0303230675739072</v>
      </c>
      <c r="AI73" s="13">
        <f t="shared" si="109"/>
        <v>0.0367985626669076</v>
      </c>
    </row>
    <row r="74" spans="4:35">
      <c r="D74" s="14" t="s">
        <v>4</v>
      </c>
      <c r="E74" s="13">
        <f t="shared" si="80"/>
        <v>0.00645556914957588</v>
      </c>
      <c r="F74" s="13">
        <f t="shared" si="81"/>
        <v>0.00898478392338805</v>
      </c>
      <c r="G74" s="13">
        <f t="shared" si="82"/>
        <v>0.0171915833580638</v>
      </c>
      <c r="H74" s="13">
        <f t="shared" si="83"/>
        <v>0.0141952887622838</v>
      </c>
      <c r="I74" s="13">
        <f t="shared" si="84"/>
        <v>0</v>
      </c>
      <c r="J74" s="13">
        <f t="shared" si="85"/>
        <v>0.0670760367048101</v>
      </c>
      <c r="K74" s="13">
        <f t="shared" si="86"/>
        <v>0.0219382790508521</v>
      </c>
      <c r="L74" s="13">
        <f t="shared" si="87"/>
        <v>0.0154316836381876</v>
      </c>
      <c r="M74" s="13">
        <f t="shared" si="88"/>
        <v>0.00590964669179787</v>
      </c>
      <c r="N74" s="13">
        <f t="shared" si="89"/>
        <v>0.0150003392198589</v>
      </c>
      <c r="O74" s="13">
        <f t="shared" si="90"/>
        <v>0.0203613722506684</v>
      </c>
      <c r="P74" s="13">
        <f t="shared" si="91"/>
        <v>0.0137386292530831</v>
      </c>
      <c r="Q74" s="13">
        <f t="shared" si="92"/>
        <v>0.0550914315241627</v>
      </c>
      <c r="R74" s="13">
        <f t="shared" si="93"/>
        <v>0.0135375378071592</v>
      </c>
      <c r="S74" s="13">
        <f t="shared" si="94"/>
        <v>0.441203428156219</v>
      </c>
      <c r="T74" s="13">
        <f t="shared" si="95"/>
        <v>0.0153683147343134</v>
      </c>
      <c r="U74" s="13">
        <f t="shared" si="96"/>
        <v>0.0263735874095368</v>
      </c>
      <c r="V74" s="13">
        <f t="shared" si="97"/>
        <v>0.0166156776257633</v>
      </c>
      <c r="W74" s="13">
        <f t="shared" si="98"/>
        <v>0.047265767162795</v>
      </c>
      <c r="X74" s="13">
        <f t="shared" si="99"/>
        <v>0.0119865722684096</v>
      </c>
      <c r="Y74" s="13">
        <f t="shared" si="100"/>
        <v>0.0157943066161237</v>
      </c>
      <c r="Z74" s="13">
        <f t="shared" si="101"/>
        <v>0.0260262628418972</v>
      </c>
      <c r="AA74" s="13">
        <f t="shared" si="102"/>
        <v>0.0138223895419801</v>
      </c>
      <c r="AB74" s="13">
        <f t="shared" si="103"/>
        <v>0.0101050917407482</v>
      </c>
      <c r="AC74" s="13">
        <f t="shared" si="104"/>
        <v>0.0108331422228064</v>
      </c>
      <c r="AD74" s="13">
        <f t="shared" si="105"/>
        <v>0.011743891410432</v>
      </c>
      <c r="AE74" s="13">
        <f t="shared" si="110"/>
        <v>0.0206261546644122</v>
      </c>
      <c r="AF74" s="13">
        <f t="shared" si="106"/>
        <v>0.00970734724212505</v>
      </c>
      <c r="AG74" s="13">
        <f t="shared" si="107"/>
        <v>0.0146594253483527</v>
      </c>
      <c r="AH74" s="13">
        <f t="shared" si="108"/>
        <v>0.0167334522822167</v>
      </c>
      <c r="AI74" s="13">
        <f t="shared" si="109"/>
        <v>0.0162230073979777</v>
      </c>
    </row>
    <row r="75" spans="4:35">
      <c r="D75" s="14" t="s">
        <v>5</v>
      </c>
      <c r="E75" s="13">
        <f t="shared" si="80"/>
        <v>0.00838148800096408</v>
      </c>
      <c r="F75" s="13">
        <f t="shared" si="81"/>
        <v>0.0112773555020521</v>
      </c>
      <c r="G75" s="13">
        <f t="shared" si="82"/>
        <v>0.0329011668582119</v>
      </c>
      <c r="H75" s="13">
        <f t="shared" si="83"/>
        <v>0.0256275614182736</v>
      </c>
      <c r="I75" s="13">
        <f t="shared" si="84"/>
        <v>0.095468619091571</v>
      </c>
      <c r="J75" s="13">
        <f t="shared" si="85"/>
        <v>0</v>
      </c>
      <c r="K75" s="13">
        <f t="shared" si="86"/>
        <v>0.0464005594227108</v>
      </c>
      <c r="L75" s="13">
        <f t="shared" si="87"/>
        <v>0.0285266721280299</v>
      </c>
      <c r="M75" s="13">
        <f t="shared" si="88"/>
        <v>0.0077300887342412</v>
      </c>
      <c r="N75" s="13">
        <f t="shared" si="89"/>
        <v>0.0174479154944588</v>
      </c>
      <c r="O75" s="13">
        <f t="shared" si="90"/>
        <v>0.0222315838815687</v>
      </c>
      <c r="P75" s="13">
        <f t="shared" si="91"/>
        <v>0.0245907708242095</v>
      </c>
      <c r="Q75" s="13">
        <f t="shared" si="92"/>
        <v>0.0430515829429486</v>
      </c>
      <c r="R75" s="13">
        <f t="shared" si="93"/>
        <v>0.0241398258628825</v>
      </c>
      <c r="S75" s="13">
        <f t="shared" si="94"/>
        <v>0.112584865441514</v>
      </c>
      <c r="T75" s="13">
        <f t="shared" si="95"/>
        <v>0.0283747132833794</v>
      </c>
      <c r="U75" s="13">
        <f t="shared" si="96"/>
        <v>0.0618599129554523</v>
      </c>
      <c r="V75" s="13">
        <f t="shared" si="97"/>
        <v>0.0314360782831018</v>
      </c>
      <c r="W75" s="13">
        <f t="shared" si="98"/>
        <v>0.0394641099641965</v>
      </c>
      <c r="X75" s="13">
        <f t="shared" si="99"/>
        <v>0.0207724201680614</v>
      </c>
      <c r="Y75" s="13">
        <f t="shared" si="100"/>
        <v>0.0294034666837977</v>
      </c>
      <c r="Z75" s="13">
        <f t="shared" si="101"/>
        <v>0.0605287469287382</v>
      </c>
      <c r="AA75" s="13">
        <f t="shared" si="102"/>
        <v>0.0247796068893413</v>
      </c>
      <c r="AB75" s="13">
        <f t="shared" si="103"/>
        <v>0.0169335290978836</v>
      </c>
      <c r="AC75" s="13">
        <f t="shared" si="104"/>
        <v>0.0183885473526767</v>
      </c>
      <c r="AD75" s="13">
        <f t="shared" si="105"/>
        <v>0.0202625994302306</v>
      </c>
      <c r="AE75" s="13">
        <f t="shared" si="110"/>
        <v>0.0423930140719844</v>
      </c>
      <c r="AF75" s="13">
        <f t="shared" si="106"/>
        <v>0.0161542305555166</v>
      </c>
      <c r="AG75" s="13">
        <f t="shared" si="107"/>
        <v>0.0266998392010856</v>
      </c>
      <c r="AH75" s="13">
        <f t="shared" si="108"/>
        <v>0.0317329672352096</v>
      </c>
      <c r="AI75" s="13">
        <f t="shared" si="109"/>
        <v>0.0304561622957079</v>
      </c>
    </row>
    <row r="76" spans="4:35">
      <c r="D76" s="14" t="s">
        <v>6</v>
      </c>
      <c r="E76" s="13">
        <f t="shared" si="80"/>
        <v>0.00331995731347369</v>
      </c>
      <c r="F76" s="13">
        <f t="shared" si="81"/>
        <v>0.00424274910716825</v>
      </c>
      <c r="G76" s="13">
        <f t="shared" si="82"/>
        <v>0.0528867288108955</v>
      </c>
      <c r="H76" s="13">
        <f t="shared" si="83"/>
        <v>0.0267705772138043</v>
      </c>
      <c r="I76" s="13">
        <f t="shared" si="84"/>
        <v>0.0146023320030374</v>
      </c>
      <c r="J76" s="13">
        <f t="shared" si="85"/>
        <v>0.0216994952412235</v>
      </c>
      <c r="K76" s="13">
        <f t="shared" si="86"/>
        <v>0</v>
      </c>
      <c r="L76" s="13">
        <f t="shared" si="87"/>
        <v>0.0346323312822019</v>
      </c>
      <c r="M76" s="13">
        <f t="shared" si="88"/>
        <v>0.00309878099402287</v>
      </c>
      <c r="N76" s="13">
        <f t="shared" si="89"/>
        <v>0.00592983559485876</v>
      </c>
      <c r="O76" s="13">
        <f t="shared" si="90"/>
        <v>0.00702898271010109</v>
      </c>
      <c r="P76" s="13">
        <f t="shared" si="91"/>
        <v>0.0244664138796201</v>
      </c>
      <c r="Q76" s="13">
        <f t="shared" si="92"/>
        <v>0.0104435466215987</v>
      </c>
      <c r="R76" s="13">
        <f t="shared" si="93"/>
        <v>0.0235312118096985</v>
      </c>
      <c r="S76" s="13">
        <f t="shared" si="94"/>
        <v>0.0153664070399428</v>
      </c>
      <c r="T76" s="13">
        <f t="shared" si="95"/>
        <v>0.0341574509792533</v>
      </c>
      <c r="U76" s="13">
        <f t="shared" si="96"/>
        <v>0.0868295614015425</v>
      </c>
      <c r="V76" s="13">
        <f t="shared" si="97"/>
        <v>0.0455844091581194</v>
      </c>
      <c r="W76" s="13">
        <f t="shared" si="98"/>
        <v>0.00997326691503898</v>
      </c>
      <c r="X76" s="13">
        <f t="shared" si="99"/>
        <v>0.0175881295207091</v>
      </c>
      <c r="Y76" s="13">
        <f t="shared" si="100"/>
        <v>0.0375382069852341</v>
      </c>
      <c r="Z76" s="13">
        <f t="shared" si="101"/>
        <v>0.0929661540361796</v>
      </c>
      <c r="AA76" s="13">
        <f t="shared" si="102"/>
        <v>0.0248696240808431</v>
      </c>
      <c r="AB76" s="13">
        <f t="shared" si="103"/>
        <v>0.0124698359497412</v>
      </c>
      <c r="AC76" s="13">
        <f t="shared" si="104"/>
        <v>0.0142446817020786</v>
      </c>
      <c r="AD76" s="13">
        <f t="shared" si="105"/>
        <v>0.0168218246579918</v>
      </c>
      <c r="AE76" s="13">
        <f t="shared" si="110"/>
        <v>0.229543754744885</v>
      </c>
      <c r="AF76" s="13">
        <f t="shared" si="106"/>
        <v>0.0115894610087792</v>
      </c>
      <c r="AG76" s="13">
        <f t="shared" si="107"/>
        <v>0.0294087234967896</v>
      </c>
      <c r="AH76" s="13">
        <f t="shared" si="108"/>
        <v>0.0469463128445242</v>
      </c>
      <c r="AI76" s="13">
        <f t="shared" si="109"/>
        <v>0.0414492528966426</v>
      </c>
    </row>
    <row r="77" spans="4:35">
      <c r="D77" s="14" t="s">
        <v>7</v>
      </c>
      <c r="E77" s="13">
        <f t="shared" si="80"/>
        <v>0.000687131996845015</v>
      </c>
      <c r="F77" s="13">
        <f t="shared" si="81"/>
        <v>0.000857278028047102</v>
      </c>
      <c r="G77" s="13">
        <f t="shared" si="82"/>
        <v>0.0227575153253865</v>
      </c>
      <c r="H77" s="13">
        <f t="shared" si="83"/>
        <v>0.0267475447972545</v>
      </c>
      <c r="I77" s="13">
        <f t="shared" si="84"/>
        <v>0.00232968331142353</v>
      </c>
      <c r="J77" s="13">
        <f t="shared" si="85"/>
        <v>0.00302580851590959</v>
      </c>
      <c r="K77" s="13">
        <f t="shared" si="86"/>
        <v>0.00785499010536947</v>
      </c>
      <c r="L77" s="13">
        <f t="shared" si="87"/>
        <v>0</v>
      </c>
      <c r="M77" s="13">
        <f t="shared" si="88"/>
        <v>0.000645114670051601</v>
      </c>
      <c r="N77" s="13">
        <f t="shared" si="89"/>
        <v>0.00114833115462639</v>
      </c>
      <c r="O77" s="13">
        <f t="shared" si="90"/>
        <v>0.00132527240136636</v>
      </c>
      <c r="P77" s="13">
        <f t="shared" si="91"/>
        <v>0.0189046823151919</v>
      </c>
      <c r="Q77" s="13">
        <f t="shared" si="92"/>
        <v>0.00181990810146165</v>
      </c>
      <c r="R77" s="13">
        <f t="shared" si="93"/>
        <v>0.0166503420119352</v>
      </c>
      <c r="S77" s="13">
        <f t="shared" si="94"/>
        <v>0.00241412042192213</v>
      </c>
      <c r="T77" s="13">
        <f t="shared" si="95"/>
        <v>0.564998038033367</v>
      </c>
      <c r="U77" s="13">
        <f t="shared" si="96"/>
        <v>0.00561530312588293</v>
      </c>
      <c r="V77" s="13">
        <f t="shared" si="97"/>
        <v>0.0326938035825594</v>
      </c>
      <c r="W77" s="13">
        <f t="shared" si="98"/>
        <v>0.00175627984158916</v>
      </c>
      <c r="X77" s="13">
        <f t="shared" si="99"/>
        <v>0.00810566462955474</v>
      </c>
      <c r="Y77" s="13">
        <f t="shared" si="100"/>
        <v>0.101471045074173</v>
      </c>
      <c r="Z77" s="13">
        <f t="shared" si="101"/>
        <v>0.00572301636862179</v>
      </c>
      <c r="AA77" s="13">
        <f t="shared" si="102"/>
        <v>0.0200098852756838</v>
      </c>
      <c r="AB77" s="13">
        <f t="shared" si="103"/>
        <v>0.00441964844352762</v>
      </c>
      <c r="AC77" s="13">
        <f t="shared" si="104"/>
        <v>0.0054882164510544</v>
      </c>
      <c r="AD77" s="13">
        <f t="shared" si="105"/>
        <v>0.00741895045608482</v>
      </c>
      <c r="AE77" s="13">
        <f t="shared" si="110"/>
        <v>0.00925068367075794</v>
      </c>
      <c r="AF77" s="13">
        <f t="shared" si="106"/>
        <v>0.00395068411488321</v>
      </c>
      <c r="AG77" s="13">
        <f t="shared" si="107"/>
        <v>0.0442233110847157</v>
      </c>
      <c r="AH77" s="13">
        <f t="shared" si="108"/>
        <v>0.0299466765490083</v>
      </c>
      <c r="AI77" s="13">
        <f t="shared" si="109"/>
        <v>0.0477610701417455</v>
      </c>
    </row>
    <row r="78" spans="4:35">
      <c r="D78" s="14" t="s">
        <v>8</v>
      </c>
      <c r="E78" s="13">
        <f t="shared" si="80"/>
        <v>0.310794995938854</v>
      </c>
      <c r="F78" s="13">
        <f t="shared" si="81"/>
        <v>0.076791575210905</v>
      </c>
      <c r="G78" s="13">
        <f t="shared" si="82"/>
        <v>0.0195592056494903</v>
      </c>
      <c r="H78" s="13">
        <f t="shared" si="83"/>
        <v>0.0185571803641289</v>
      </c>
      <c r="I78" s="13">
        <f t="shared" si="84"/>
        <v>0.0262827280007046</v>
      </c>
      <c r="J78" s="13">
        <f t="shared" si="85"/>
        <v>0.0241546169883467</v>
      </c>
      <c r="K78" s="13">
        <f t="shared" si="86"/>
        <v>0.020705234078315</v>
      </c>
      <c r="L78" s="13">
        <f t="shared" si="87"/>
        <v>0.0190047545014352</v>
      </c>
      <c r="M78" s="13">
        <f t="shared" si="88"/>
        <v>0</v>
      </c>
      <c r="N78" s="13">
        <f t="shared" si="89"/>
        <v>0.0433685150407285</v>
      </c>
      <c r="O78" s="13">
        <f t="shared" si="90"/>
        <v>0.0370303467503182</v>
      </c>
      <c r="P78" s="13">
        <f t="shared" si="91"/>
        <v>0.0183776254351406</v>
      </c>
      <c r="Q78" s="13">
        <f t="shared" si="92"/>
        <v>0.0294408410523191</v>
      </c>
      <c r="R78" s="13">
        <f t="shared" si="93"/>
        <v>0.0182958836022716</v>
      </c>
      <c r="S78" s="13">
        <f t="shared" si="94"/>
        <v>0.0259353401802218</v>
      </c>
      <c r="T78" s="13">
        <f t="shared" si="95"/>
        <v>0.0189830796241367</v>
      </c>
      <c r="U78" s="13">
        <f t="shared" si="96"/>
        <v>0.0214715112529263</v>
      </c>
      <c r="V78" s="13">
        <f t="shared" si="97"/>
        <v>0.0193873051250528</v>
      </c>
      <c r="W78" s="13">
        <f t="shared" si="98"/>
        <v>0.0300384390009594</v>
      </c>
      <c r="X78" s="13">
        <f t="shared" si="99"/>
        <v>0.0176037083191647</v>
      </c>
      <c r="Y78" s="13">
        <f t="shared" si="100"/>
        <v>0.0191263526446953</v>
      </c>
      <c r="Z78" s="13">
        <f t="shared" si="101"/>
        <v>0.0214191860240181</v>
      </c>
      <c r="AA78" s="13">
        <f t="shared" si="102"/>
        <v>0.0184111817121922</v>
      </c>
      <c r="AB78" s="13">
        <f t="shared" si="103"/>
        <v>0.0165840596624735</v>
      </c>
      <c r="AC78" s="13">
        <f t="shared" si="104"/>
        <v>0.0170058006397376</v>
      </c>
      <c r="AD78" s="13">
        <f t="shared" si="105"/>
        <v>0.0174843989812562</v>
      </c>
      <c r="AE78" s="13">
        <f t="shared" si="110"/>
        <v>0.0204294419251952</v>
      </c>
      <c r="AF78" s="13">
        <f t="shared" si="106"/>
        <v>0.0163370472097682</v>
      </c>
      <c r="AG78" s="13">
        <f t="shared" si="107"/>
        <v>0.0187315056471827</v>
      </c>
      <c r="AH78" s="13">
        <f t="shared" si="108"/>
        <v>0.019423170624789</v>
      </c>
      <c r="AI78" s="13">
        <f t="shared" si="109"/>
        <v>0.0192649688132721</v>
      </c>
    </row>
    <row r="79" spans="4:35">
      <c r="D79" s="14" t="s">
        <v>9</v>
      </c>
      <c r="E79" s="13">
        <f t="shared" si="80"/>
        <v>0.0329793176016049</v>
      </c>
      <c r="F79" s="13">
        <f t="shared" si="81"/>
        <v>0.0651987729525672</v>
      </c>
      <c r="G79" s="13">
        <f t="shared" si="82"/>
        <v>0.0233118355793271</v>
      </c>
      <c r="H79" s="13">
        <f t="shared" si="83"/>
        <v>0.0212243265428765</v>
      </c>
      <c r="I79" s="13">
        <f t="shared" si="84"/>
        <v>0.0436523379195876</v>
      </c>
      <c r="J79" s="13">
        <f t="shared" si="85"/>
        <v>0.0356744043283834</v>
      </c>
      <c r="K79" s="13">
        <f t="shared" si="86"/>
        <v>0.0259256359694792</v>
      </c>
      <c r="L79" s="13">
        <f t="shared" si="87"/>
        <v>0.0221355337430099</v>
      </c>
      <c r="M79" s="13">
        <f t="shared" si="88"/>
        <v>0.0283773643844445</v>
      </c>
      <c r="N79" s="13">
        <f t="shared" si="89"/>
        <v>0</v>
      </c>
      <c r="O79" s="13">
        <f t="shared" si="90"/>
        <v>0.165792953873757</v>
      </c>
      <c r="P79" s="13">
        <f t="shared" si="91"/>
        <v>0.0208679475490625</v>
      </c>
      <c r="Q79" s="13">
        <f t="shared" si="92"/>
        <v>0.0599851400184576</v>
      </c>
      <c r="R79" s="13">
        <f t="shared" si="93"/>
        <v>0.0207073979048208</v>
      </c>
      <c r="S79" s="13">
        <f t="shared" si="94"/>
        <v>0.0422170146641487</v>
      </c>
      <c r="T79" s="13">
        <f t="shared" si="95"/>
        <v>0.0220906355958084</v>
      </c>
      <c r="U79" s="13">
        <f t="shared" si="96"/>
        <v>0.0278259484545738</v>
      </c>
      <c r="V79" s="13">
        <f t="shared" si="97"/>
        <v>0.0229413204713416</v>
      </c>
      <c r="W79" s="13">
        <f t="shared" si="98"/>
        <v>0.0639465016198735</v>
      </c>
      <c r="X79" s="13">
        <f t="shared" si="99"/>
        <v>0.0193887286207477</v>
      </c>
      <c r="Y79" s="13">
        <f t="shared" si="100"/>
        <v>0.0223889053079156</v>
      </c>
      <c r="Z79" s="13">
        <f t="shared" si="101"/>
        <v>0.0276919648048931</v>
      </c>
      <c r="AA79" s="13">
        <f t="shared" si="102"/>
        <v>0.020934160125101</v>
      </c>
      <c r="AB79" s="13">
        <f t="shared" si="103"/>
        <v>0.0175703368752252</v>
      </c>
      <c r="AC79" s="13">
        <f t="shared" si="104"/>
        <v>0.0183053912454825</v>
      </c>
      <c r="AD79" s="13">
        <f t="shared" si="105"/>
        <v>0.0191685572647765</v>
      </c>
      <c r="AE79" s="13">
        <f t="shared" si="110"/>
        <v>0.0252727612298137</v>
      </c>
      <c r="AF79" s="13">
        <f t="shared" si="106"/>
        <v>0.0171504686514463</v>
      </c>
      <c r="AG79" s="13">
        <f t="shared" si="107"/>
        <v>0.0215752956346493</v>
      </c>
      <c r="AH79" s="13">
        <f t="shared" si="108"/>
        <v>0.0230181859465751</v>
      </c>
      <c r="AI79" s="13">
        <f t="shared" si="109"/>
        <v>0.0226808551202498</v>
      </c>
    </row>
    <row r="80" spans="4:35">
      <c r="D80" s="14" t="s">
        <v>10</v>
      </c>
      <c r="E80" s="13">
        <f t="shared" si="80"/>
        <v>0.0237482458781333</v>
      </c>
      <c r="F80" s="13">
        <f t="shared" si="81"/>
        <v>0.0404006794574825</v>
      </c>
      <c r="G80" s="13">
        <f t="shared" si="82"/>
        <v>0.0234188102900877</v>
      </c>
      <c r="H80" s="13">
        <f t="shared" si="83"/>
        <v>0.0210138454407188</v>
      </c>
      <c r="I80" s="13">
        <f t="shared" si="84"/>
        <v>0.0511555872961798</v>
      </c>
      <c r="J80" s="13">
        <f t="shared" si="85"/>
        <v>0.0392430893381325</v>
      </c>
      <c r="K80" s="13">
        <f t="shared" si="86"/>
        <v>0.0265313191618077</v>
      </c>
      <c r="L80" s="13">
        <f t="shared" si="87"/>
        <v>0.0220550277107274</v>
      </c>
      <c r="M80" s="13">
        <f t="shared" si="88"/>
        <v>0.0209187093956601</v>
      </c>
      <c r="N80" s="13">
        <f t="shared" si="89"/>
        <v>0.143134943960218</v>
      </c>
      <c r="O80" s="13">
        <f t="shared" si="90"/>
        <v>0</v>
      </c>
      <c r="P80" s="13">
        <f t="shared" si="91"/>
        <v>0.0206101940496578</v>
      </c>
      <c r="Q80" s="13">
        <f t="shared" si="92"/>
        <v>0.0811468391807977</v>
      </c>
      <c r="R80" s="13">
        <f t="shared" si="93"/>
        <v>0.020428995973266</v>
      </c>
      <c r="S80" s="13">
        <f t="shared" si="94"/>
        <v>0.0488989205080692</v>
      </c>
      <c r="T80" s="13">
        <f t="shared" si="95"/>
        <v>0.0220034159917714</v>
      </c>
      <c r="U80" s="13">
        <f t="shared" si="96"/>
        <v>0.0288682468723899</v>
      </c>
      <c r="V80" s="13">
        <f t="shared" si="97"/>
        <v>0.0229868188541368</v>
      </c>
      <c r="W80" s="13">
        <f t="shared" si="98"/>
        <v>0.0898703756807943</v>
      </c>
      <c r="X80" s="13">
        <f t="shared" si="99"/>
        <v>0.0189557683857457</v>
      </c>
      <c r="Y80" s="13">
        <f t="shared" si="100"/>
        <v>0.0223468914485198</v>
      </c>
      <c r="Z80" s="13">
        <f t="shared" si="101"/>
        <v>0.0287013717803296</v>
      </c>
      <c r="AA80" s="13">
        <f t="shared" si="102"/>
        <v>0.0206850392635439</v>
      </c>
      <c r="AB80" s="13">
        <f t="shared" si="103"/>
        <v>0.0169672431571116</v>
      </c>
      <c r="AC80" s="13">
        <f t="shared" si="104"/>
        <v>0.01776516679373</v>
      </c>
      <c r="AD80" s="13">
        <f t="shared" si="105"/>
        <v>0.0187123727929733</v>
      </c>
      <c r="AE80" s="13">
        <f t="shared" si="110"/>
        <v>0.0257430280608519</v>
      </c>
      <c r="AF80" s="13">
        <f t="shared" si="106"/>
        <v>0.0165150048833265</v>
      </c>
      <c r="AG80" s="13">
        <f t="shared" si="107"/>
        <v>0.0214133190713066</v>
      </c>
      <c r="AH80" s="13">
        <f t="shared" si="108"/>
        <v>0.0230762536221335</v>
      </c>
      <c r="AI80" s="13">
        <f t="shared" si="109"/>
        <v>0.0226844757003972</v>
      </c>
    </row>
    <row r="81" spans="4:35">
      <c r="D81" s="14" t="s">
        <v>11</v>
      </c>
      <c r="E81" s="13">
        <f t="shared" si="80"/>
        <v>0.00087111738897423</v>
      </c>
      <c r="F81" s="13">
        <f t="shared" si="81"/>
        <v>0.00107746416805383</v>
      </c>
      <c r="G81" s="13">
        <f t="shared" si="82"/>
        <v>0.0135673127327356</v>
      </c>
      <c r="H81" s="13">
        <f t="shared" si="83"/>
        <v>0.0847072319625296</v>
      </c>
      <c r="I81" s="13">
        <f t="shared" si="84"/>
        <v>0.00272501416642831</v>
      </c>
      <c r="J81" s="13">
        <f t="shared" si="85"/>
        <v>0.00342692228552542</v>
      </c>
      <c r="K81" s="13">
        <f t="shared" si="86"/>
        <v>0.00729081395852966</v>
      </c>
      <c r="L81" s="13">
        <f t="shared" si="87"/>
        <v>0.0248376879655322</v>
      </c>
      <c r="M81" s="13">
        <f t="shared" si="88"/>
        <v>0.000819607328343281</v>
      </c>
      <c r="N81" s="13">
        <f t="shared" si="89"/>
        <v>0.00142232442733047</v>
      </c>
      <c r="O81" s="13">
        <f t="shared" si="90"/>
        <v>0.00162712684411136</v>
      </c>
      <c r="P81" s="13">
        <f t="shared" si="91"/>
        <v>0</v>
      </c>
      <c r="Q81" s="13">
        <f t="shared" si="92"/>
        <v>0.00218109543500197</v>
      </c>
      <c r="R81" s="13">
        <f t="shared" si="93"/>
        <v>0.183448789348447</v>
      </c>
      <c r="S81" s="13">
        <f t="shared" si="94"/>
        <v>0.00281259555193192</v>
      </c>
      <c r="T81" s="13">
        <f t="shared" si="95"/>
        <v>0.0256975200721044</v>
      </c>
      <c r="U81" s="13">
        <f t="shared" si="96"/>
        <v>0.00568805993819727</v>
      </c>
      <c r="V81" s="13">
        <f t="shared" si="97"/>
        <v>0.0157376418641269</v>
      </c>
      <c r="W81" s="13">
        <f t="shared" si="98"/>
        <v>0.00211132135834385</v>
      </c>
      <c r="X81" s="13">
        <f t="shared" si="99"/>
        <v>0.0186429890831551</v>
      </c>
      <c r="Y81" s="13">
        <f t="shared" si="100"/>
        <v>0.0209369962678326</v>
      </c>
      <c r="Z81" s="13">
        <f t="shared" si="101"/>
        <v>0.0057718139486125</v>
      </c>
      <c r="AA81" s="13">
        <f t="shared" si="102"/>
        <v>0.449690513389794</v>
      </c>
      <c r="AB81" s="13">
        <f t="shared" si="103"/>
        <v>0.00757843232748179</v>
      </c>
      <c r="AC81" s="13">
        <f t="shared" si="104"/>
        <v>0.0101602470485884</v>
      </c>
      <c r="AD81" s="13">
        <f t="shared" si="105"/>
        <v>0.0160433465381547</v>
      </c>
      <c r="AE81" s="13">
        <f t="shared" si="110"/>
        <v>0.00816063249175266</v>
      </c>
      <c r="AF81" s="13">
        <f t="shared" si="106"/>
        <v>0.00656184774007988</v>
      </c>
      <c r="AG81" s="13">
        <f t="shared" si="107"/>
        <v>0.0433832657970398</v>
      </c>
      <c r="AH81" s="13">
        <f t="shared" si="108"/>
        <v>0.0152259061983652</v>
      </c>
      <c r="AI81" s="13">
        <f t="shared" si="109"/>
        <v>0.0177943623728967</v>
      </c>
    </row>
    <row r="82" spans="4:35">
      <c r="D82" s="14" t="s">
        <v>12</v>
      </c>
      <c r="E82" s="13">
        <f t="shared" si="80"/>
        <v>0.009145366404263</v>
      </c>
      <c r="F82" s="13">
        <f t="shared" si="81"/>
        <v>0.0134266381419955</v>
      </c>
      <c r="G82" s="13">
        <f t="shared" si="82"/>
        <v>0.0163871267272519</v>
      </c>
      <c r="H82" s="13">
        <f t="shared" si="83"/>
        <v>0.0141161875690488</v>
      </c>
      <c r="I82" s="13">
        <f t="shared" si="84"/>
        <v>0.0689006300601903</v>
      </c>
      <c r="J82" s="13">
        <f t="shared" si="85"/>
        <v>0.037829884321085</v>
      </c>
      <c r="K82" s="13">
        <f t="shared" si="86"/>
        <v>0.0196230939692804</v>
      </c>
      <c r="L82" s="13">
        <f t="shared" si="87"/>
        <v>0.0150766556910164</v>
      </c>
      <c r="M82" s="13">
        <f t="shared" si="88"/>
        <v>0.00827904847060456</v>
      </c>
      <c r="N82" s="13">
        <f t="shared" si="89"/>
        <v>0.0257796124765078</v>
      </c>
      <c r="O82" s="13">
        <f t="shared" si="90"/>
        <v>0.0403947302799975</v>
      </c>
      <c r="P82" s="13">
        <f t="shared" si="91"/>
        <v>0.0137527150348488</v>
      </c>
      <c r="Q82" s="13">
        <f t="shared" si="92"/>
        <v>0</v>
      </c>
      <c r="R82" s="13">
        <f t="shared" si="93"/>
        <v>0.0135911247606514</v>
      </c>
      <c r="S82" s="13">
        <f t="shared" si="94"/>
        <v>0.0612522849909361</v>
      </c>
      <c r="T82" s="13">
        <f t="shared" si="95"/>
        <v>0.015028248388421</v>
      </c>
      <c r="U82" s="13">
        <f t="shared" si="96"/>
        <v>0.0223059763963657</v>
      </c>
      <c r="V82" s="13">
        <f t="shared" si="97"/>
        <v>0.0159653717861987</v>
      </c>
      <c r="W82" s="13">
        <f t="shared" si="98"/>
        <v>0.416148838924346</v>
      </c>
      <c r="X82" s="13">
        <f t="shared" si="99"/>
        <v>0.0123122683273243</v>
      </c>
      <c r="Y82" s="13">
        <f t="shared" si="100"/>
        <v>0.0153519975352599</v>
      </c>
      <c r="Z82" s="13">
        <f t="shared" si="101"/>
        <v>0.0221064703814995</v>
      </c>
      <c r="AA82" s="13">
        <f t="shared" si="102"/>
        <v>0.0138197437559838</v>
      </c>
      <c r="AB82" s="13">
        <f t="shared" si="103"/>
        <v>0.010679207308717</v>
      </c>
      <c r="AC82" s="13">
        <f t="shared" si="104"/>
        <v>0.0113221865877795</v>
      </c>
      <c r="AD82" s="13">
        <f t="shared" si="105"/>
        <v>0.0121067944615016</v>
      </c>
      <c r="AE82" s="13">
        <f t="shared" si="110"/>
        <v>0.0187691542167964</v>
      </c>
      <c r="AF82" s="13">
        <f t="shared" si="106"/>
        <v>0.0103218355952017</v>
      </c>
      <c r="AG82" s="13">
        <f t="shared" si="107"/>
        <v>0.0144807345473604</v>
      </c>
      <c r="AH82" s="13">
        <f t="shared" si="108"/>
        <v>0.0160521722309345</v>
      </c>
      <c r="AI82" s="13">
        <f t="shared" si="109"/>
        <v>0.0156739006586332</v>
      </c>
    </row>
    <row r="83" spans="4:35">
      <c r="D83" s="14" t="s">
        <v>13</v>
      </c>
      <c r="E83" s="13">
        <f t="shared" si="80"/>
        <v>0.00136326776715494</v>
      </c>
      <c r="F83" s="13">
        <f t="shared" si="81"/>
        <v>0.00168430755771994</v>
      </c>
      <c r="G83" s="13">
        <f t="shared" si="82"/>
        <v>0.0198640975253547</v>
      </c>
      <c r="H83" s="13">
        <f t="shared" si="83"/>
        <v>0.0911191505309679</v>
      </c>
      <c r="I83" s="13">
        <f t="shared" si="84"/>
        <v>0.00422208447433157</v>
      </c>
      <c r="J83" s="13">
        <f t="shared" si="85"/>
        <v>0.00528966442844178</v>
      </c>
      <c r="K83" s="13">
        <f t="shared" si="86"/>
        <v>0.0110258445876662</v>
      </c>
      <c r="L83" s="13">
        <f t="shared" si="87"/>
        <v>0.0343974950789373</v>
      </c>
      <c r="M83" s="13">
        <f t="shared" si="88"/>
        <v>0.00128301490365162</v>
      </c>
      <c r="N83" s="13">
        <f t="shared" si="89"/>
        <v>0.00221925055146581</v>
      </c>
      <c r="O83" s="13">
        <f t="shared" si="90"/>
        <v>0.00253599403370145</v>
      </c>
      <c r="P83" s="13">
        <f t="shared" si="91"/>
        <v>0.288454106048806</v>
      </c>
      <c r="Q83" s="13">
        <f t="shared" si="92"/>
        <v>0.00338924917528538</v>
      </c>
      <c r="R83" s="13">
        <f t="shared" si="93"/>
        <v>0</v>
      </c>
      <c r="S83" s="13">
        <f t="shared" si="94"/>
        <v>0.00435573232768184</v>
      </c>
      <c r="T83" s="13">
        <f t="shared" si="95"/>
        <v>0.0354419602268237</v>
      </c>
      <c r="U83" s="13">
        <f t="shared" si="96"/>
        <v>0.0086749052382601</v>
      </c>
      <c r="V83" s="13">
        <f t="shared" si="97"/>
        <v>0.0227906458667774</v>
      </c>
      <c r="W83" s="13">
        <f t="shared" si="98"/>
        <v>0.00328205945061736</v>
      </c>
      <c r="X83" s="13">
        <f t="shared" si="99"/>
        <v>0.0326302031931075</v>
      </c>
      <c r="Y83" s="13">
        <f t="shared" si="100"/>
        <v>0.0295488383576895</v>
      </c>
      <c r="Z83" s="13">
        <f t="shared" si="101"/>
        <v>0.00879874286318228</v>
      </c>
      <c r="AA83" s="13">
        <f t="shared" si="102"/>
        <v>0.204876043040578</v>
      </c>
      <c r="AB83" s="13">
        <f t="shared" si="103"/>
        <v>0.0124297804320403</v>
      </c>
      <c r="AC83" s="13">
        <f t="shared" si="104"/>
        <v>0.0169126298873482</v>
      </c>
      <c r="AD83" s="13">
        <f t="shared" si="105"/>
        <v>0.0276440783884124</v>
      </c>
      <c r="AE83" s="13">
        <f t="shared" si="110"/>
        <v>0.0122852411305982</v>
      </c>
      <c r="AF83" s="13">
        <f t="shared" si="106"/>
        <v>0.0107005746534067</v>
      </c>
      <c r="AG83" s="13">
        <f t="shared" si="107"/>
        <v>0.0551689272706034</v>
      </c>
      <c r="AH83" s="13">
        <f t="shared" si="108"/>
        <v>0.0221063641202237</v>
      </c>
      <c r="AI83" s="13">
        <f t="shared" si="109"/>
        <v>0.025505746889165</v>
      </c>
    </row>
    <row r="84" spans="4:35">
      <c r="D84" s="14" t="s">
        <v>14</v>
      </c>
      <c r="E84" s="13">
        <f t="shared" si="80"/>
        <v>0.00628041622378044</v>
      </c>
      <c r="F84" s="13">
        <f t="shared" si="81"/>
        <v>0.00869190007797587</v>
      </c>
      <c r="G84" s="13">
        <f t="shared" si="82"/>
        <v>0.0176579017289641</v>
      </c>
      <c r="H84" s="13">
        <f t="shared" si="83"/>
        <v>0.0144780237587815</v>
      </c>
      <c r="I84" s="13">
        <f t="shared" si="84"/>
        <v>0.435513084014491</v>
      </c>
      <c r="J84" s="13">
        <f t="shared" si="85"/>
        <v>0.0780816702445994</v>
      </c>
      <c r="K84" s="13">
        <f t="shared" si="86"/>
        <v>0.0227884611630479</v>
      </c>
      <c r="L84" s="13">
        <f t="shared" si="87"/>
        <v>0.0157847490335715</v>
      </c>
      <c r="M84" s="13">
        <f t="shared" si="88"/>
        <v>0.00575632563877894</v>
      </c>
      <c r="N84" s="13">
        <f t="shared" si="89"/>
        <v>0.0143200132530226</v>
      </c>
      <c r="O84" s="13">
        <f t="shared" si="90"/>
        <v>0.0192121323286319</v>
      </c>
      <c r="P84" s="13">
        <f t="shared" si="91"/>
        <v>0.0139972994536511</v>
      </c>
      <c r="Q84" s="13">
        <f t="shared" si="92"/>
        <v>0.048344323496143</v>
      </c>
      <c r="R84" s="13">
        <f t="shared" si="93"/>
        <v>0.0137859365766733</v>
      </c>
      <c r="S84" s="13">
        <f t="shared" si="94"/>
        <v>0</v>
      </c>
      <c r="T84" s="13">
        <f t="shared" si="95"/>
        <v>0.0157175909996291</v>
      </c>
      <c r="U84" s="13">
        <f t="shared" si="96"/>
        <v>0.0276885635049267</v>
      </c>
      <c r="V84" s="13">
        <f t="shared" si="97"/>
        <v>0.0170432260392489</v>
      </c>
      <c r="W84" s="13">
        <f t="shared" si="98"/>
        <v>0.0421415725344481</v>
      </c>
      <c r="X84" s="13">
        <f t="shared" si="99"/>
        <v>0.0121624045835287</v>
      </c>
      <c r="Y84" s="13">
        <f t="shared" si="100"/>
        <v>0.016169439807393</v>
      </c>
      <c r="Z84" s="13">
        <f t="shared" si="101"/>
        <v>0.0273010631185968</v>
      </c>
      <c r="AA84" s="13">
        <f t="shared" si="102"/>
        <v>0.01408539676303</v>
      </c>
      <c r="AB84" s="13">
        <f t="shared" si="103"/>
        <v>0.0102085749271397</v>
      </c>
      <c r="AC84" s="13">
        <f t="shared" si="104"/>
        <v>0.0109625950796984</v>
      </c>
      <c r="AD84" s="13">
        <f t="shared" si="105"/>
        <v>0.0119094301764593</v>
      </c>
      <c r="AE84" s="13">
        <f t="shared" si="110"/>
        <v>0.021358643929278</v>
      </c>
      <c r="AF84" s="13">
        <f t="shared" si="106"/>
        <v>0.00979771757384543</v>
      </c>
      <c r="AG84" s="13">
        <f t="shared" si="107"/>
        <v>0.0149676739124547</v>
      </c>
      <c r="AH84" s="13">
        <f t="shared" si="108"/>
        <v>0.0171687936105068</v>
      </c>
      <c r="AI84" s="13">
        <f t="shared" si="109"/>
        <v>0.0166250764477041</v>
      </c>
    </row>
    <row r="85" spans="4:35">
      <c r="D85" s="14" t="s">
        <v>15</v>
      </c>
      <c r="E85" s="13">
        <f t="shared" si="80"/>
        <v>0.000697783696869988</v>
      </c>
      <c r="F85" s="13">
        <f t="shared" si="81"/>
        <v>0.000870305507994504</v>
      </c>
      <c r="G85" s="13">
        <f t="shared" si="82"/>
        <v>0.0222424970752183</v>
      </c>
      <c r="H85" s="13">
        <f t="shared" si="83"/>
        <v>0.0285466352906346</v>
      </c>
      <c r="I85" s="13">
        <f t="shared" si="84"/>
        <v>0.00235894775870569</v>
      </c>
      <c r="J85" s="13">
        <f t="shared" si="85"/>
        <v>0.00306006260608336</v>
      </c>
      <c r="K85" s="13">
        <f t="shared" si="86"/>
        <v>0.007876946008153</v>
      </c>
      <c r="L85" s="13">
        <f t="shared" si="87"/>
        <v>0.574454240263302</v>
      </c>
      <c r="M85" s="13">
        <f t="shared" si="88"/>
        <v>0.000655163694452981</v>
      </c>
      <c r="N85" s="13">
        <f t="shared" si="89"/>
        <v>0.00116518225127491</v>
      </c>
      <c r="O85" s="13">
        <f t="shared" si="90"/>
        <v>0.00134429986624499</v>
      </c>
      <c r="P85" s="13">
        <f t="shared" si="91"/>
        <v>0.0198864805862922</v>
      </c>
      <c r="Q85" s="13">
        <f t="shared" si="92"/>
        <v>0.00184442629754969</v>
      </c>
      <c r="R85" s="13">
        <f t="shared" si="93"/>
        <v>0.0174430560025852</v>
      </c>
      <c r="S85" s="13">
        <f t="shared" si="94"/>
        <v>0.00244408177056833</v>
      </c>
      <c r="T85" s="13">
        <f t="shared" si="95"/>
        <v>0</v>
      </c>
      <c r="U85" s="13">
        <f t="shared" si="96"/>
        <v>0.00565310072224016</v>
      </c>
      <c r="V85" s="13">
        <f t="shared" si="97"/>
        <v>0.0314227044618177</v>
      </c>
      <c r="W85" s="13">
        <f t="shared" si="98"/>
        <v>0.00178014065401871</v>
      </c>
      <c r="X85" s="13">
        <f t="shared" si="99"/>
        <v>0.00836128063334709</v>
      </c>
      <c r="Y85" s="13">
        <f t="shared" si="100"/>
        <v>0.0874616296303149</v>
      </c>
      <c r="Z85" s="13">
        <f t="shared" si="101"/>
        <v>0.00576045161588771</v>
      </c>
      <c r="AA85" s="13">
        <f t="shared" si="102"/>
        <v>0.0210917675652844</v>
      </c>
      <c r="AB85" s="13">
        <f t="shared" si="103"/>
        <v>0.00452904684876487</v>
      </c>
      <c r="AC85" s="13">
        <f t="shared" si="104"/>
        <v>0.00563480584286257</v>
      </c>
      <c r="AD85" s="13">
        <f t="shared" si="105"/>
        <v>0.00764348527904677</v>
      </c>
      <c r="AE85" s="13">
        <f t="shared" si="110"/>
        <v>0.00925399440895824</v>
      </c>
      <c r="AF85" s="13">
        <f t="shared" si="106"/>
        <v>0.0040450903580329</v>
      </c>
      <c r="AG85" s="13">
        <f t="shared" si="107"/>
        <v>0.0487816847794208</v>
      </c>
      <c r="AH85" s="13">
        <f t="shared" si="108"/>
        <v>0.0289152838973402</v>
      </c>
      <c r="AI85" s="13">
        <f t="shared" si="109"/>
        <v>0.0447754246267327</v>
      </c>
    </row>
    <row r="86" spans="4:35">
      <c r="D86" s="14" t="s">
        <v>16</v>
      </c>
      <c r="E86" s="13">
        <f t="shared" si="80"/>
        <v>0.00178220349560577</v>
      </c>
      <c r="F86" s="13">
        <f t="shared" si="81"/>
        <v>0.00230302081622788</v>
      </c>
      <c r="G86" s="13">
        <f t="shared" si="82"/>
        <v>0.0169691807658865</v>
      </c>
      <c r="H86" s="13">
        <f t="shared" si="83"/>
        <v>0.0105642845423735</v>
      </c>
      <c r="I86" s="13">
        <f t="shared" si="84"/>
        <v>0.00906321909374693</v>
      </c>
      <c r="J86" s="13">
        <f t="shared" si="85"/>
        <v>0.0149358288535845</v>
      </c>
      <c r="K86" s="13">
        <f t="shared" si="86"/>
        <v>0.0448292234717583</v>
      </c>
      <c r="L86" s="13">
        <f t="shared" si="87"/>
        <v>0.0127821202526476</v>
      </c>
      <c r="M86" s="13">
        <f t="shared" si="88"/>
        <v>0.00165907859684314</v>
      </c>
      <c r="N86" s="13">
        <f t="shared" si="89"/>
        <v>0.00328591873930366</v>
      </c>
      <c r="O86" s="13">
        <f t="shared" si="90"/>
        <v>0.00394864099806386</v>
      </c>
      <c r="P86" s="13">
        <f t="shared" si="91"/>
        <v>0.00985489666262584</v>
      </c>
      <c r="Q86" s="13">
        <f t="shared" si="92"/>
        <v>0.0061290811765232</v>
      </c>
      <c r="R86" s="13">
        <f t="shared" si="93"/>
        <v>0.00955852267144868</v>
      </c>
      <c r="S86" s="13">
        <f t="shared" si="94"/>
        <v>0.00963943029530965</v>
      </c>
      <c r="T86" s="13">
        <f t="shared" si="95"/>
        <v>0.012656333709234</v>
      </c>
      <c r="U86" s="13">
        <f t="shared" si="96"/>
        <v>0</v>
      </c>
      <c r="V86" s="13">
        <f t="shared" si="97"/>
        <v>0.0154327648082772</v>
      </c>
      <c r="W86" s="13">
        <f t="shared" si="98"/>
        <v>0.00581726993559764</v>
      </c>
      <c r="X86" s="13">
        <f t="shared" si="99"/>
        <v>0.00755104026693311</v>
      </c>
      <c r="Y86" s="13">
        <f t="shared" si="100"/>
        <v>0.013530906693097</v>
      </c>
      <c r="Z86" s="13">
        <f t="shared" si="101"/>
        <v>0.679139180768555</v>
      </c>
      <c r="AA86" s="13">
        <f t="shared" si="102"/>
        <v>0.00998114651207148</v>
      </c>
      <c r="AB86" s="13">
        <f t="shared" si="103"/>
        <v>0.00562957155187496</v>
      </c>
      <c r="AC86" s="13">
        <f t="shared" si="104"/>
        <v>0.00631791047548958</v>
      </c>
      <c r="AD86" s="13">
        <f t="shared" ref="AD86:AD100" si="111">AD52/BI52</f>
        <v>0.00727543900245298</v>
      </c>
      <c r="AE86" s="13">
        <f t="shared" si="110"/>
        <v>0.0325257148843813</v>
      </c>
      <c r="AF86" s="13">
        <f t="shared" si="106"/>
        <v>0.00527892397989622</v>
      </c>
      <c r="AG86" s="13">
        <f t="shared" si="107"/>
        <v>0.0113419622356769</v>
      </c>
      <c r="AH86" s="13">
        <f t="shared" si="108"/>
        <v>0.0157320351038119</v>
      </c>
      <c r="AI86" s="13">
        <f t="shared" si="109"/>
        <v>0.0144851496407019</v>
      </c>
    </row>
    <row r="87" spans="4:35">
      <c r="D87" s="14" t="s">
        <v>17</v>
      </c>
      <c r="E87" s="13">
        <f t="shared" si="80"/>
        <v>0.000883605868079554</v>
      </c>
      <c r="F87" s="13">
        <f t="shared" si="81"/>
        <v>0.00110829394446103</v>
      </c>
      <c r="G87" s="13">
        <f t="shared" si="82"/>
        <v>0.0942669801172572</v>
      </c>
      <c r="H87" s="13">
        <f t="shared" si="83"/>
        <v>0.0185205638239951</v>
      </c>
      <c r="I87" s="13">
        <f t="shared" si="84"/>
        <v>0.00315787633317205</v>
      </c>
      <c r="J87" s="13">
        <f t="shared" si="85"/>
        <v>0.00419770752128981</v>
      </c>
      <c r="K87" s="13">
        <f t="shared" si="86"/>
        <v>0.0130158857807119</v>
      </c>
      <c r="L87" s="13">
        <f t="shared" si="87"/>
        <v>0.0411584425709859</v>
      </c>
      <c r="M87" s="13">
        <f t="shared" si="88"/>
        <v>0.000828486780582677</v>
      </c>
      <c r="N87" s="13">
        <f t="shared" si="89"/>
        <v>0.00149826641487585</v>
      </c>
      <c r="O87" s="13">
        <f t="shared" si="90"/>
        <v>0.00173888116429413</v>
      </c>
      <c r="P87" s="13">
        <f t="shared" si="91"/>
        <v>0.0150796533629772</v>
      </c>
      <c r="Q87" s="13">
        <f t="shared" si="92"/>
        <v>0.00242614616365275</v>
      </c>
      <c r="R87" s="13">
        <f t="shared" si="93"/>
        <v>0.0138882158608492</v>
      </c>
      <c r="S87" s="13">
        <f t="shared" si="94"/>
        <v>0.00328145562877928</v>
      </c>
      <c r="T87" s="13">
        <f t="shared" si="95"/>
        <v>0.0389070716412074</v>
      </c>
      <c r="U87" s="13">
        <f t="shared" si="96"/>
        <v>0.00853507865382354</v>
      </c>
      <c r="V87" s="13">
        <f t="shared" si="97"/>
        <v>0</v>
      </c>
      <c r="W87" s="13">
        <f t="shared" si="98"/>
        <v>0.00233650707160187</v>
      </c>
      <c r="X87" s="13">
        <f t="shared" si="99"/>
        <v>0.00817698236704329</v>
      </c>
      <c r="Y87" s="13">
        <f t="shared" si="100"/>
        <v>0.0607234325007427</v>
      </c>
      <c r="Z87" s="13">
        <f t="shared" si="101"/>
        <v>0.00873353968767392</v>
      </c>
      <c r="AA87" s="13">
        <f t="shared" si="102"/>
        <v>0.0156265288410156</v>
      </c>
      <c r="AB87" s="13">
        <f t="shared" si="103"/>
        <v>0.00490134538061879</v>
      </c>
      <c r="AC87" s="13">
        <f t="shared" si="104"/>
        <v>0.00591604219522702</v>
      </c>
      <c r="AD87" s="13">
        <f t="shared" si="111"/>
        <v>0.00761235306829303</v>
      </c>
      <c r="AE87" s="13">
        <f t="shared" si="110"/>
        <v>0.016241171569215</v>
      </c>
      <c r="AF87" s="13">
        <f t="shared" si="106"/>
        <v>0.00443733875067586</v>
      </c>
      <c r="AG87" s="13">
        <f t="shared" si="107"/>
        <v>0.0236639481011827</v>
      </c>
      <c r="AH87" s="13">
        <f t="shared" si="108"/>
        <v>0.448671849492517</v>
      </c>
      <c r="AI87" s="13">
        <f t="shared" si="109"/>
        <v>0.130466349343198</v>
      </c>
    </row>
    <row r="88" spans="4:35">
      <c r="D88" s="14" t="s">
        <v>18</v>
      </c>
      <c r="E88" s="13">
        <f t="shared" si="80"/>
        <v>0.00959678748022758</v>
      </c>
      <c r="F88" s="13">
        <f t="shared" si="81"/>
        <v>0.014239167380561</v>
      </c>
      <c r="G88" s="13">
        <f t="shared" si="82"/>
        <v>0.0161809296338722</v>
      </c>
      <c r="H88" s="13">
        <f t="shared" si="83"/>
        <v>0.0140121331685111</v>
      </c>
      <c r="I88" s="13">
        <f t="shared" si="84"/>
        <v>0.060668050838647</v>
      </c>
      <c r="J88" s="13">
        <f t="shared" si="85"/>
        <v>0.0355895417705168</v>
      </c>
      <c r="K88" s="13">
        <f t="shared" si="86"/>
        <v>0.0192322949536881</v>
      </c>
      <c r="L88" s="13">
        <f t="shared" si="87"/>
        <v>0.0149321887178355</v>
      </c>
      <c r="M88" s="13">
        <f t="shared" si="88"/>
        <v>0.00866925480081888</v>
      </c>
      <c r="N88" s="13">
        <f t="shared" si="89"/>
        <v>0.0282048434007082</v>
      </c>
      <c r="O88" s="13">
        <f t="shared" si="90"/>
        <v>0.0459138654068518</v>
      </c>
      <c r="P88" s="13">
        <f t="shared" si="91"/>
        <v>0.013662881807686</v>
      </c>
      <c r="Q88" s="13">
        <f t="shared" si="92"/>
        <v>0.427093421611757</v>
      </c>
      <c r="R88" s="13">
        <f t="shared" si="93"/>
        <v>0.0135074241822987</v>
      </c>
      <c r="S88" s="13">
        <f t="shared" si="94"/>
        <v>0.0547976254512542</v>
      </c>
      <c r="T88" s="13">
        <f t="shared" si="95"/>
        <v>0.0148859162833629</v>
      </c>
      <c r="U88" s="13">
        <f t="shared" si="96"/>
        <v>0.0217279761759408</v>
      </c>
      <c r="V88" s="13">
        <f t="shared" si="97"/>
        <v>0.0157798681331473</v>
      </c>
      <c r="W88" s="13">
        <f t="shared" si="98"/>
        <v>0</v>
      </c>
      <c r="X88" s="13">
        <f t="shared" si="99"/>
        <v>0.0122729664810166</v>
      </c>
      <c r="Y88" s="13">
        <f t="shared" si="100"/>
        <v>0.0151951899090309</v>
      </c>
      <c r="Z88" s="13">
        <f t="shared" si="101"/>
        <v>0.0215434425425401</v>
      </c>
      <c r="AA88" s="13">
        <f t="shared" si="102"/>
        <v>0.0137273323779777</v>
      </c>
      <c r="AB88" s="13">
        <f t="shared" si="103"/>
        <v>0.0106858469817861</v>
      </c>
      <c r="AC88" s="13">
        <f t="shared" si="104"/>
        <v>0.011312185203917</v>
      </c>
      <c r="AD88" s="13">
        <f t="shared" si="111"/>
        <v>0.0120739387137361</v>
      </c>
      <c r="AE88" s="13">
        <f t="shared" si="110"/>
        <v>0.018431480006873</v>
      </c>
      <c r="AF88" s="13">
        <f t="shared" si="106"/>
        <v>0.0103369078932217</v>
      </c>
      <c r="AG88" s="13">
        <f t="shared" si="107"/>
        <v>0.0143618247474824</v>
      </c>
      <c r="AH88" s="13">
        <f t="shared" si="108"/>
        <v>0.0158624736765086</v>
      </c>
      <c r="AI88" s="13">
        <f t="shared" si="109"/>
        <v>0.0155022402682249</v>
      </c>
    </row>
    <row r="89" spans="4:35">
      <c r="D89" s="14" t="s">
        <v>19</v>
      </c>
      <c r="E89" s="13">
        <f t="shared" si="80"/>
        <v>0.00239296147324518</v>
      </c>
      <c r="F89" s="13">
        <f t="shared" si="81"/>
        <v>0.0029288264466487</v>
      </c>
      <c r="G89" s="13">
        <f t="shared" si="82"/>
        <v>0.0225791056262982</v>
      </c>
      <c r="H89" s="13">
        <f t="shared" si="83"/>
        <v>0.0439356214893226</v>
      </c>
      <c r="I89" s="13">
        <f t="shared" si="84"/>
        <v>0.00683616469359296</v>
      </c>
      <c r="J89" s="13">
        <f t="shared" si="85"/>
        <v>0.00832360304458841</v>
      </c>
      <c r="K89" s="13">
        <f t="shared" si="86"/>
        <v>0.0150701474595513</v>
      </c>
      <c r="L89" s="13">
        <f t="shared" si="87"/>
        <v>0.030621225129472</v>
      </c>
      <c r="M89" s="13">
        <f t="shared" si="88"/>
        <v>0.00225742198147584</v>
      </c>
      <c r="N89" s="13">
        <f t="shared" si="89"/>
        <v>0.00379979715023315</v>
      </c>
      <c r="O89" s="13">
        <f t="shared" si="90"/>
        <v>0.00430301511154842</v>
      </c>
      <c r="P89" s="13">
        <f t="shared" si="91"/>
        <v>0.0536052954098375</v>
      </c>
      <c r="Q89" s="13">
        <f t="shared" si="92"/>
        <v>0.00561456927474455</v>
      </c>
      <c r="R89" s="13">
        <f t="shared" si="93"/>
        <v>0.0596691774790135</v>
      </c>
      <c r="S89" s="13">
        <f t="shared" si="94"/>
        <v>0.00702707560730581</v>
      </c>
      <c r="T89" s="13">
        <f t="shared" si="95"/>
        <v>0.0310669223472818</v>
      </c>
      <c r="U89" s="13">
        <f t="shared" si="96"/>
        <v>0.0125317298497218</v>
      </c>
      <c r="V89" s="13">
        <f t="shared" si="97"/>
        <v>0.0245376806049407</v>
      </c>
      <c r="W89" s="13">
        <f t="shared" si="98"/>
        <v>0.00545322888168899</v>
      </c>
      <c r="X89" s="13">
        <f t="shared" si="99"/>
        <v>0</v>
      </c>
      <c r="Y89" s="13">
        <f t="shared" si="100"/>
        <v>0.0283560961425122</v>
      </c>
      <c r="Z89" s="13">
        <f t="shared" si="101"/>
        <v>0.0126726310821928</v>
      </c>
      <c r="AA89" s="13">
        <f t="shared" si="102"/>
        <v>0.0514714251403651</v>
      </c>
      <c r="AB89" s="13">
        <f t="shared" si="103"/>
        <v>0.0367158045847451</v>
      </c>
      <c r="AC89" s="13">
        <f t="shared" si="104"/>
        <v>0.0642060128973766</v>
      </c>
      <c r="AD89" s="13">
        <f t="shared" si="111"/>
        <v>0.330817916560917</v>
      </c>
      <c r="AE89" s="13">
        <f t="shared" si="110"/>
        <v>0.0163206719744559</v>
      </c>
      <c r="AF89" s="13">
        <f t="shared" si="106"/>
        <v>0.0291156089108232</v>
      </c>
      <c r="AG89" s="13">
        <f t="shared" si="107"/>
        <v>0.0374933612126947</v>
      </c>
      <c r="AH89" s="13">
        <f t="shared" si="108"/>
        <v>0.0240984889782093</v>
      </c>
      <c r="AI89" s="13">
        <f t="shared" si="109"/>
        <v>0.0261784134551963</v>
      </c>
    </row>
    <row r="90" spans="4:35">
      <c r="D90" s="14" t="s">
        <v>20</v>
      </c>
      <c r="E90" s="13">
        <f t="shared" si="80"/>
        <v>0.00121074913664101</v>
      </c>
      <c r="F90" s="13">
        <f t="shared" si="81"/>
        <v>0.00151310649528594</v>
      </c>
      <c r="G90" s="13">
        <f t="shared" si="82"/>
        <v>0.0513429322625097</v>
      </c>
      <c r="H90" s="13">
        <f t="shared" si="83"/>
        <v>0.037045728493993</v>
      </c>
      <c r="I90" s="13">
        <f t="shared" si="84"/>
        <v>0.00417298881779624</v>
      </c>
      <c r="J90" s="13">
        <f t="shared" si="85"/>
        <v>0.00545823143305016</v>
      </c>
      <c r="K90" s="13">
        <f t="shared" si="86"/>
        <v>0.0149004889155148</v>
      </c>
      <c r="L90" s="13">
        <f t="shared" si="87"/>
        <v>0.177584563527756</v>
      </c>
      <c r="M90" s="13">
        <f t="shared" si="88"/>
        <v>0.00113623952337744</v>
      </c>
      <c r="N90" s="13">
        <f t="shared" si="89"/>
        <v>0.00203269906596814</v>
      </c>
      <c r="O90" s="13">
        <f t="shared" si="90"/>
        <v>0.00235005347375917</v>
      </c>
      <c r="P90" s="13">
        <f t="shared" si="91"/>
        <v>0.0278891752547021</v>
      </c>
      <c r="Q90" s="13">
        <f t="shared" si="92"/>
        <v>0.00324319014992469</v>
      </c>
      <c r="R90" s="13">
        <f t="shared" si="93"/>
        <v>0.0250322468413099</v>
      </c>
      <c r="S90" s="13">
        <f t="shared" si="94"/>
        <v>0.00432792076813928</v>
      </c>
      <c r="T90" s="13">
        <f t="shared" si="95"/>
        <v>0.150547013389373</v>
      </c>
      <c r="U90" s="13">
        <f t="shared" si="96"/>
        <v>0.0104030403856652</v>
      </c>
      <c r="V90" s="13">
        <f t="shared" si="97"/>
        <v>0.0844162213161596</v>
      </c>
      <c r="W90" s="13">
        <f t="shared" si="98"/>
        <v>0.00312780347397631</v>
      </c>
      <c r="X90" s="13">
        <f t="shared" si="99"/>
        <v>0.0131363765095137</v>
      </c>
      <c r="Y90" s="13">
        <f t="shared" si="100"/>
        <v>0</v>
      </c>
      <c r="Z90" s="13">
        <f t="shared" si="101"/>
        <v>0.0106145199814958</v>
      </c>
      <c r="AA90" s="13">
        <f t="shared" si="102"/>
        <v>0.0292510662594458</v>
      </c>
      <c r="AB90" s="13">
        <f t="shared" si="103"/>
        <v>0.00741199546170487</v>
      </c>
      <c r="AC90" s="13">
        <f t="shared" si="104"/>
        <v>0.0091120909878054</v>
      </c>
      <c r="AD90" s="13">
        <f t="shared" si="111"/>
        <v>0.0120992848990592</v>
      </c>
      <c r="AE90" s="13">
        <f t="shared" si="110"/>
        <v>0.017813621601618</v>
      </c>
      <c r="AF90" s="13">
        <f t="shared" si="106"/>
        <v>0.00665498962665853</v>
      </c>
      <c r="AG90" s="13">
        <f t="shared" si="107"/>
        <v>0.0539030996380314</v>
      </c>
      <c r="AH90" s="13">
        <f t="shared" si="108"/>
        <v>0.0743532252534528</v>
      </c>
      <c r="AI90" s="13">
        <f t="shared" si="109"/>
        <v>0.157915337056313</v>
      </c>
    </row>
    <row r="91" spans="4:35">
      <c r="D91" s="14" t="s">
        <v>21</v>
      </c>
      <c r="E91" s="13">
        <f t="shared" si="80"/>
        <v>0.00176445751484546</v>
      </c>
      <c r="F91" s="13">
        <f t="shared" si="81"/>
        <v>0.00227834624577249</v>
      </c>
      <c r="G91" s="13">
        <f t="shared" si="82"/>
        <v>0.0172759629151566</v>
      </c>
      <c r="H91" s="13">
        <f t="shared" si="83"/>
        <v>0.0106522392584119</v>
      </c>
      <c r="I91" s="13">
        <f t="shared" si="84"/>
        <v>0.0088780417691084</v>
      </c>
      <c r="J91" s="13">
        <f t="shared" si="85"/>
        <v>0.0145068729869318</v>
      </c>
      <c r="K91" s="13">
        <f t="shared" si="86"/>
        <v>0.0476442588110241</v>
      </c>
      <c r="L91" s="13">
        <f t="shared" si="87"/>
        <v>0.0129314368483389</v>
      </c>
      <c r="M91" s="13">
        <f t="shared" si="88"/>
        <v>0.00164285567364533</v>
      </c>
      <c r="N91" s="13">
        <f t="shared" si="89"/>
        <v>0.00324603139066306</v>
      </c>
      <c r="O91" s="13">
        <f t="shared" si="90"/>
        <v>0.00389692453510678</v>
      </c>
      <c r="P91" s="13">
        <f t="shared" si="91"/>
        <v>0.00992641288312846</v>
      </c>
      <c r="Q91" s="13">
        <f t="shared" si="92"/>
        <v>0.00602956030757373</v>
      </c>
      <c r="R91" s="13">
        <f t="shared" si="93"/>
        <v>0.00962362657265157</v>
      </c>
      <c r="S91" s="13">
        <f t="shared" si="94"/>
        <v>0.00943458068287363</v>
      </c>
      <c r="T91" s="13">
        <f t="shared" si="95"/>
        <v>0.0128017643503962</v>
      </c>
      <c r="U91" s="13">
        <f t="shared" si="96"/>
        <v>0.674141228230222</v>
      </c>
      <c r="V91" s="13">
        <f t="shared" si="97"/>
        <v>0.0156753992015994</v>
      </c>
      <c r="W91" s="13">
        <f t="shared" si="98"/>
        <v>0.00572541728061539</v>
      </c>
      <c r="X91" s="13">
        <f t="shared" si="99"/>
        <v>0.00757974605710575</v>
      </c>
      <c r="Y91" s="13">
        <f t="shared" si="100"/>
        <v>0.0137043699912283</v>
      </c>
      <c r="Z91" s="13">
        <f t="shared" si="101"/>
        <v>0</v>
      </c>
      <c r="AA91" s="13">
        <f t="shared" si="102"/>
        <v>0.0100554757237131</v>
      </c>
      <c r="AB91" s="13">
        <f t="shared" si="103"/>
        <v>0.00563485097830274</v>
      </c>
      <c r="AC91" s="13">
        <f t="shared" si="104"/>
        <v>0.00633030511348123</v>
      </c>
      <c r="AD91" s="13">
        <f t="shared" si="111"/>
        <v>0.00730010131538724</v>
      </c>
      <c r="AE91" s="13">
        <f t="shared" si="110"/>
        <v>0.0339104063526424</v>
      </c>
      <c r="AF91" s="13">
        <f t="shared" si="106"/>
        <v>0.00528112506961118</v>
      </c>
      <c r="AG91" s="13">
        <f t="shared" si="107"/>
        <v>0.0114497097919906</v>
      </c>
      <c r="AH91" s="13">
        <f t="shared" si="108"/>
        <v>0.0159865831062428</v>
      </c>
      <c r="AI91" s="13">
        <f t="shared" si="109"/>
        <v>0.0146919090422291</v>
      </c>
    </row>
    <row r="92" spans="4:35">
      <c r="D92" s="14" t="s">
        <v>22</v>
      </c>
      <c r="E92" s="13">
        <f t="shared" si="80"/>
        <v>0.000894081236703607</v>
      </c>
      <c r="F92" s="13">
        <f t="shared" si="81"/>
        <v>0.00110637626112559</v>
      </c>
      <c r="G92" s="13">
        <f t="shared" si="82"/>
        <v>0.0143303421544687</v>
      </c>
      <c r="H92" s="13">
        <f t="shared" si="83"/>
        <v>0.10691027175503</v>
      </c>
      <c r="I92" s="13">
        <f t="shared" si="84"/>
        <v>0.00280844987710529</v>
      </c>
      <c r="J92" s="13">
        <f t="shared" si="85"/>
        <v>0.0035374044234818</v>
      </c>
      <c r="K92" s="13">
        <f t="shared" si="86"/>
        <v>0.00759159634158578</v>
      </c>
      <c r="L92" s="13">
        <f t="shared" si="87"/>
        <v>0.0269305095441107</v>
      </c>
      <c r="M92" s="13">
        <f t="shared" si="88"/>
        <v>0.000841116767103042</v>
      </c>
      <c r="N92" s="13">
        <f t="shared" si="89"/>
        <v>0.00146161389459859</v>
      </c>
      <c r="O92" s="13">
        <f t="shared" si="90"/>
        <v>0.00167283793228932</v>
      </c>
      <c r="P92" s="13">
        <f t="shared" si="91"/>
        <v>0.460650890123432</v>
      </c>
      <c r="Q92" s="13">
        <f t="shared" si="92"/>
        <v>0.00224514504782849</v>
      </c>
      <c r="R92" s="13">
        <f t="shared" si="93"/>
        <v>0.13347117725902</v>
      </c>
      <c r="S92" s="13">
        <f t="shared" si="94"/>
        <v>0.00289928097325393</v>
      </c>
      <c r="T92" s="13">
        <f t="shared" si="95"/>
        <v>0.0279192950868176</v>
      </c>
      <c r="U92" s="13">
        <f t="shared" si="96"/>
        <v>0.00590134097962063</v>
      </c>
      <c r="V92" s="13">
        <f t="shared" si="97"/>
        <v>0.0167058664865294</v>
      </c>
      <c r="W92" s="13">
        <f t="shared" si="98"/>
        <v>0.00217298319576342</v>
      </c>
      <c r="X92" s="13">
        <f t="shared" si="99"/>
        <v>0.0183371667206594</v>
      </c>
      <c r="Y92" s="13">
        <f t="shared" si="100"/>
        <v>0.0224946165620481</v>
      </c>
      <c r="Z92" s="13">
        <f t="shared" si="101"/>
        <v>0.00598936525179533</v>
      </c>
      <c r="AA92" s="13">
        <f t="shared" si="102"/>
        <v>0</v>
      </c>
      <c r="AB92" s="13">
        <f t="shared" si="103"/>
        <v>0.0076344821359313</v>
      </c>
      <c r="AC92" s="13">
        <f t="shared" si="104"/>
        <v>0.0101779256434074</v>
      </c>
      <c r="AD92" s="13">
        <f t="shared" si="111"/>
        <v>0.0158682511606585</v>
      </c>
      <c r="AE92" s="13">
        <f t="shared" si="110"/>
        <v>0.00851403899018139</v>
      </c>
      <c r="AF92" s="13">
        <f t="shared" si="106"/>
        <v>0.00662510763744146</v>
      </c>
      <c r="AG92" s="13">
        <f t="shared" si="107"/>
        <v>0.0491857827402049</v>
      </c>
      <c r="AH92" s="13">
        <f t="shared" si="108"/>
        <v>0.0161436101517067</v>
      </c>
      <c r="AI92" s="13">
        <f t="shared" si="109"/>
        <v>0.0189790736660978</v>
      </c>
    </row>
    <row r="93" spans="4:35">
      <c r="D93" s="14" t="s">
        <v>23</v>
      </c>
      <c r="E93" s="13">
        <f t="shared" si="80"/>
        <v>0.0037432322909555</v>
      </c>
      <c r="F93" s="13">
        <f t="shared" si="81"/>
        <v>0.00451954216852954</v>
      </c>
      <c r="G93" s="13">
        <f t="shared" si="82"/>
        <v>0.0232956324261445</v>
      </c>
      <c r="H93" s="13">
        <f t="shared" si="83"/>
        <v>0.0333265155740537</v>
      </c>
      <c r="I93" s="13">
        <f t="shared" si="84"/>
        <v>0.00960262359025272</v>
      </c>
      <c r="J93" s="13">
        <f t="shared" si="85"/>
        <v>0.0113058671013545</v>
      </c>
      <c r="K93" s="13">
        <f t="shared" si="86"/>
        <v>0.0178028987814112</v>
      </c>
      <c r="L93" s="13">
        <f t="shared" si="87"/>
        <v>0.0278197864966176</v>
      </c>
      <c r="M93" s="13">
        <f t="shared" si="88"/>
        <v>0.00354349295005596</v>
      </c>
      <c r="N93" s="13">
        <f t="shared" si="89"/>
        <v>0.00573750801093306</v>
      </c>
      <c r="O93" s="13">
        <f t="shared" si="90"/>
        <v>0.0064176332888277</v>
      </c>
      <c r="P93" s="13">
        <f t="shared" si="91"/>
        <v>0.0363081115622269</v>
      </c>
      <c r="Q93" s="13">
        <f t="shared" si="92"/>
        <v>0.00811427133660423</v>
      </c>
      <c r="R93" s="13">
        <f t="shared" si="93"/>
        <v>0.0378726649700544</v>
      </c>
      <c r="S93" s="13">
        <f t="shared" si="94"/>
        <v>0.00982771235570288</v>
      </c>
      <c r="T93" s="13">
        <f t="shared" si="95"/>
        <v>0.0280391200962931</v>
      </c>
      <c r="U93" s="13">
        <f t="shared" si="96"/>
        <v>0.0155672434485928</v>
      </c>
      <c r="V93" s="13">
        <f t="shared" si="97"/>
        <v>0.0245068724620346</v>
      </c>
      <c r="W93" s="13">
        <f t="shared" si="98"/>
        <v>0.00791125284583837</v>
      </c>
      <c r="X93" s="13">
        <f t="shared" si="99"/>
        <v>0.0611765787307746</v>
      </c>
      <c r="Y93" s="13">
        <f t="shared" si="100"/>
        <v>0.0266586487988227</v>
      </c>
      <c r="Z93" s="13">
        <f t="shared" si="101"/>
        <v>0.0156973632117856</v>
      </c>
      <c r="AA93" s="13">
        <f t="shared" si="102"/>
        <v>0.0357063681703126</v>
      </c>
      <c r="AB93" s="13">
        <f t="shared" si="103"/>
        <v>0</v>
      </c>
      <c r="AC93" s="13">
        <f t="shared" si="104"/>
        <v>0.14288375549343</v>
      </c>
      <c r="AD93" s="13">
        <f t="shared" si="111"/>
        <v>0.0688138829811582</v>
      </c>
      <c r="AE93" s="13">
        <f t="shared" si="110"/>
        <v>0.0188255883263654</v>
      </c>
      <c r="AF93" s="13">
        <f t="shared" si="106"/>
        <v>0.234361510840979</v>
      </c>
      <c r="AG93" s="13">
        <f t="shared" si="107"/>
        <v>0.0309087905713787</v>
      </c>
      <c r="AH93" s="13">
        <f t="shared" si="108"/>
        <v>0.0242420493915954</v>
      </c>
      <c r="AI93" s="13">
        <f t="shared" si="109"/>
        <v>0.0254634817269139</v>
      </c>
    </row>
    <row r="94" spans="4:35">
      <c r="D94" s="14" t="s">
        <v>24</v>
      </c>
      <c r="E94" s="13">
        <f t="shared" si="80"/>
        <v>0.00357921619993558</v>
      </c>
      <c r="F94" s="13">
        <f t="shared" si="81"/>
        <v>0.00434575712081261</v>
      </c>
      <c r="G94" s="13">
        <f t="shared" si="82"/>
        <v>0.0259167918830135</v>
      </c>
      <c r="H94" s="13">
        <f t="shared" si="83"/>
        <v>0.0404709698588043</v>
      </c>
      <c r="I94" s="13">
        <f t="shared" si="84"/>
        <v>0.00958552753231785</v>
      </c>
      <c r="J94" s="13">
        <f t="shared" si="85"/>
        <v>0.0114318297896004</v>
      </c>
      <c r="K94" s="13">
        <f t="shared" si="86"/>
        <v>0.0189362797694247</v>
      </c>
      <c r="L94" s="13">
        <f t="shared" si="87"/>
        <v>0.0321669014198942</v>
      </c>
      <c r="M94" s="13">
        <f t="shared" si="88"/>
        <v>0.00338337187188019</v>
      </c>
      <c r="N94" s="13">
        <f t="shared" si="89"/>
        <v>0.00556588413780708</v>
      </c>
      <c r="O94" s="13">
        <f t="shared" si="90"/>
        <v>0.00625669280637512</v>
      </c>
      <c r="P94" s="13">
        <f t="shared" si="91"/>
        <v>0.045325278546914</v>
      </c>
      <c r="Q94" s="13">
        <f t="shared" si="92"/>
        <v>0.0080103731227226</v>
      </c>
      <c r="R94" s="13">
        <f t="shared" si="93"/>
        <v>0.0479827885096088</v>
      </c>
      <c r="S94" s="13">
        <f t="shared" si="94"/>
        <v>0.00982681134403131</v>
      </c>
      <c r="T94" s="13">
        <f t="shared" si="95"/>
        <v>0.0324824256711984</v>
      </c>
      <c r="U94" s="13">
        <f t="shared" si="96"/>
        <v>0.0162675357882264</v>
      </c>
      <c r="V94" s="13">
        <f t="shared" si="97"/>
        <v>0.0275432875462256</v>
      </c>
      <c r="W94" s="13">
        <f t="shared" si="98"/>
        <v>0.00779820683841235</v>
      </c>
      <c r="X94" s="13">
        <f t="shared" si="99"/>
        <v>0.0996138594923384</v>
      </c>
      <c r="Y94" s="13">
        <f t="shared" si="100"/>
        <v>0.0305163765842261</v>
      </c>
      <c r="Z94" s="13">
        <f t="shared" si="101"/>
        <v>0.0164202908203645</v>
      </c>
      <c r="AA94" s="13">
        <f t="shared" si="102"/>
        <v>0.0443238318446323</v>
      </c>
      <c r="AB94" s="13">
        <f t="shared" si="103"/>
        <v>0.133043844464882</v>
      </c>
      <c r="AC94" s="13">
        <f t="shared" si="104"/>
        <v>0</v>
      </c>
      <c r="AD94" s="13">
        <f t="shared" si="111"/>
        <v>0.123603068749079</v>
      </c>
      <c r="AE94" s="13">
        <f t="shared" ref="AE94:AI94" si="112">AE60/BI60</f>
        <v>0.0201891475784901</v>
      </c>
      <c r="AF94" s="13">
        <f t="shared" si="112"/>
        <v>0.0826527439293094</v>
      </c>
      <c r="AG94" s="13">
        <f t="shared" si="112"/>
        <v>0.0367244975538841</v>
      </c>
      <c r="AH94" s="13">
        <f t="shared" si="112"/>
        <v>0.0271848370588759</v>
      </c>
      <c r="AI94" s="13">
        <f t="shared" si="112"/>
        <v>0.0288515721667136</v>
      </c>
    </row>
    <row r="95" spans="4:35">
      <c r="D95" s="14" t="s">
        <v>25</v>
      </c>
      <c r="E95" s="13">
        <f t="shared" ref="E95:E100" si="113">E61/AJ61</f>
        <v>0.00244171285245275</v>
      </c>
      <c r="F95" s="13">
        <f t="shared" ref="F95:AI95" si="114">F61/AK61</f>
        <v>0.0029836965696183</v>
      </c>
      <c r="G95" s="13">
        <f t="shared" si="114"/>
        <v>0.0217231050899925</v>
      </c>
      <c r="H95" s="13">
        <f t="shared" si="114"/>
        <v>0.0398610822662156</v>
      </c>
      <c r="I95" s="13">
        <f t="shared" si="114"/>
        <v>0.00688364662006564</v>
      </c>
      <c r="J95" s="13">
        <f t="shared" si="114"/>
        <v>0.00834465627338287</v>
      </c>
      <c r="K95" s="13">
        <f t="shared" si="114"/>
        <v>0.0148135783889253</v>
      </c>
      <c r="L95" s="13">
        <f t="shared" si="114"/>
        <v>0.0288048377884298</v>
      </c>
      <c r="M95" s="13">
        <f t="shared" si="114"/>
        <v>0.00230434937405767</v>
      </c>
      <c r="N95" s="13">
        <f t="shared" si="114"/>
        <v>0.00386090876189459</v>
      </c>
      <c r="O95" s="13">
        <f t="shared" si="114"/>
        <v>0.0043656545777892</v>
      </c>
      <c r="P95" s="13">
        <f t="shared" si="114"/>
        <v>0.0474106756287478</v>
      </c>
      <c r="Q95" s="13">
        <f t="shared" si="114"/>
        <v>0.0056740946217466</v>
      </c>
      <c r="R95" s="13">
        <f t="shared" si="114"/>
        <v>0.0519542907343929</v>
      </c>
      <c r="S95" s="13">
        <f t="shared" si="114"/>
        <v>0.00707188507211262</v>
      </c>
      <c r="T95" s="13">
        <f t="shared" si="114"/>
        <v>0.0291881047889489</v>
      </c>
      <c r="U95" s="13">
        <f t="shared" si="114"/>
        <v>0.0124094482784723</v>
      </c>
      <c r="V95" s="13">
        <f t="shared" si="114"/>
        <v>0.0234773136737294</v>
      </c>
      <c r="W95" s="13">
        <f t="shared" si="114"/>
        <v>0.00551368786469478</v>
      </c>
      <c r="X95" s="13">
        <f t="shared" si="114"/>
        <v>0.339999324088457</v>
      </c>
      <c r="Y95" s="13">
        <f t="shared" si="114"/>
        <v>0.0268422914276988</v>
      </c>
      <c r="Z95" s="13">
        <f t="shared" si="114"/>
        <v>0.0125438269900943</v>
      </c>
      <c r="AA95" s="13">
        <f t="shared" si="114"/>
        <v>0.0457774984772353</v>
      </c>
      <c r="AB95" s="13">
        <f t="shared" si="114"/>
        <v>0.0424456276709384</v>
      </c>
      <c r="AC95" s="13">
        <f t="shared" si="114"/>
        <v>0.0818793185433756</v>
      </c>
      <c r="AD95" s="13">
        <f t="shared" si="111"/>
        <v>0</v>
      </c>
      <c r="AE95" s="13">
        <f t="shared" si="114"/>
        <v>0.0159850204593979</v>
      </c>
      <c r="AF95" s="13">
        <f t="shared" si="114"/>
        <v>0.0328114406124618</v>
      </c>
      <c r="AG95" s="13">
        <f t="shared" si="114"/>
        <v>0.0346112602013674</v>
      </c>
      <c r="AH95" s="13">
        <f t="shared" si="114"/>
        <v>0.0230856332259373</v>
      </c>
      <c r="AI95" s="13">
        <f t="shared" si="114"/>
        <v>0.0249320290773666</v>
      </c>
    </row>
    <row r="96" spans="4:35">
      <c r="D96" s="14" t="s">
        <v>26</v>
      </c>
      <c r="E96" s="13">
        <f t="shared" si="113"/>
        <v>0.00316620352014763</v>
      </c>
      <c r="F96" s="13">
        <f t="shared" ref="F96:O100" si="115">F62/AK62</f>
        <v>0.0040302877843321</v>
      </c>
      <c r="G96" s="13">
        <f t="shared" si="115"/>
        <v>0.0664850400483662</v>
      </c>
      <c r="H96" s="13">
        <f t="shared" si="115"/>
        <v>0.0293194198391902</v>
      </c>
      <c r="I96" s="13">
        <f t="shared" si="115"/>
        <v>0.0132825235521098</v>
      </c>
      <c r="J96" s="13">
        <f t="shared" si="115"/>
        <v>0.019180652311215</v>
      </c>
      <c r="K96" s="13">
        <f t="shared" si="115"/>
        <v>0.222079332719608</v>
      </c>
      <c r="L96" s="13">
        <f t="shared" si="115"/>
        <v>0.0394595908492163</v>
      </c>
      <c r="M96" s="13">
        <f t="shared" si="115"/>
        <v>0.00295807992812258</v>
      </c>
      <c r="N96" s="13">
        <f t="shared" si="115"/>
        <v>0.00559253345627077</v>
      </c>
      <c r="O96" s="13">
        <f t="shared" si="115"/>
        <v>0.00659835874052871</v>
      </c>
      <c r="P96" s="13">
        <f t="shared" ref="P96:Y100" si="116">P62/AU62</f>
        <v>0.026494808473246</v>
      </c>
      <c r="Q96" s="13">
        <f t="shared" si="116"/>
        <v>0.00966424411518748</v>
      </c>
      <c r="R96" s="13">
        <f t="shared" si="116"/>
        <v>0.0253663963481374</v>
      </c>
      <c r="S96" s="13">
        <f t="shared" si="116"/>
        <v>0.0139339315153716</v>
      </c>
      <c r="T96" s="13">
        <f t="shared" si="116"/>
        <v>0.0388239286719625</v>
      </c>
      <c r="U96" s="13">
        <f t="shared" si="116"/>
        <v>0.0609503079819349</v>
      </c>
      <c r="V96" s="13">
        <f t="shared" si="116"/>
        <v>0.0550303934598311</v>
      </c>
      <c r="W96" s="13">
        <f t="shared" si="116"/>
        <v>0.00924717770026025</v>
      </c>
      <c r="X96" s="13">
        <f t="shared" si="116"/>
        <v>0.0184281972399363</v>
      </c>
      <c r="Y96" s="13">
        <f t="shared" si="116"/>
        <v>0.0434178077458822</v>
      </c>
      <c r="Z96" s="13">
        <f t="shared" ref="Z96:AC100" si="117">Z62/BE62</f>
        <v>0.0640162081589824</v>
      </c>
      <c r="AA96" s="13">
        <f t="shared" si="117"/>
        <v>0.0269845021593217</v>
      </c>
      <c r="AB96" s="13">
        <f t="shared" si="117"/>
        <v>0.0127573725218226</v>
      </c>
      <c r="AC96" s="13">
        <f t="shared" si="117"/>
        <v>0.0146932792719078</v>
      </c>
      <c r="AD96" s="13">
        <f t="shared" si="111"/>
        <v>0.0175617981354676</v>
      </c>
      <c r="AE96" s="13">
        <f t="shared" ref="AE96:AI100" si="118">AE62/BI62</f>
        <v>0</v>
      </c>
      <c r="AF96" s="13">
        <f t="shared" si="118"/>
        <v>0.0118088050631655</v>
      </c>
      <c r="AG96" s="13">
        <f t="shared" si="118"/>
        <v>0.032633315864659</v>
      </c>
      <c r="AH96" s="13">
        <f t="shared" si="118"/>
        <v>0.0570972173632477</v>
      </c>
      <c r="AI96" s="13">
        <f t="shared" si="118"/>
        <v>0.0489382854605683</v>
      </c>
    </row>
    <row r="97" spans="4:35">
      <c r="D97" s="14" t="s">
        <v>27</v>
      </c>
      <c r="E97" s="13">
        <f t="shared" si="113"/>
        <v>0.00423403508343577</v>
      </c>
      <c r="F97" s="13">
        <f t="shared" si="115"/>
        <v>0.00509551938912469</v>
      </c>
      <c r="G97" s="13">
        <f t="shared" si="115"/>
        <v>0.024350508691912</v>
      </c>
      <c r="H97" s="13">
        <f t="shared" si="115"/>
        <v>0.0335302416513871</v>
      </c>
      <c r="I97" s="13">
        <f t="shared" si="115"/>
        <v>0.0106008244149313</v>
      </c>
      <c r="J97" s="13">
        <f t="shared" si="115"/>
        <v>0.0123945883062167</v>
      </c>
      <c r="K97" s="13">
        <f t="shared" si="115"/>
        <v>0.0190144011773418</v>
      </c>
      <c r="L97" s="13">
        <f t="shared" si="115"/>
        <v>0.0285777350170613</v>
      </c>
      <c r="M97" s="13">
        <f t="shared" si="115"/>
        <v>0.0040114715545831</v>
      </c>
      <c r="N97" s="13">
        <f t="shared" si="115"/>
        <v>0.00643589040514975</v>
      </c>
      <c r="O97" s="13">
        <f t="shared" si="115"/>
        <v>0.0071784677138686</v>
      </c>
      <c r="P97" s="13">
        <f t="shared" si="116"/>
        <v>0.0361276626189594</v>
      </c>
      <c r="Q97" s="13">
        <f t="shared" si="116"/>
        <v>0.00901274072558134</v>
      </c>
      <c r="R97" s="13">
        <f t="shared" si="116"/>
        <v>0.0374678645533422</v>
      </c>
      <c r="S97" s="13">
        <f t="shared" si="116"/>
        <v>0.0108393106682259</v>
      </c>
      <c r="T97" s="13">
        <f t="shared" si="116"/>
        <v>0.0287789686615704</v>
      </c>
      <c r="U97" s="13">
        <f t="shared" si="116"/>
        <v>0.0167753354393044</v>
      </c>
      <c r="V97" s="13">
        <f t="shared" si="116"/>
        <v>0.0254967367314958</v>
      </c>
      <c r="W97" s="13">
        <f t="shared" si="116"/>
        <v>0.00879460608329572</v>
      </c>
      <c r="X97" s="13">
        <f t="shared" si="116"/>
        <v>0.0557503302609094</v>
      </c>
      <c r="Y97" s="13">
        <f t="shared" si="116"/>
        <v>0.0275067830924464</v>
      </c>
      <c r="Z97" s="13">
        <f t="shared" si="117"/>
        <v>0.0169067509956148</v>
      </c>
      <c r="AA97" s="13">
        <f t="shared" si="117"/>
        <v>0.035608072494048</v>
      </c>
      <c r="AB97" s="13">
        <f t="shared" si="117"/>
        <v>0.269324412056655</v>
      </c>
      <c r="AC97" s="13">
        <f t="shared" si="117"/>
        <v>0.102008128066483</v>
      </c>
      <c r="AD97" s="13">
        <f t="shared" si="111"/>
        <v>0.0611304840461712</v>
      </c>
      <c r="AE97" s="13">
        <f t="shared" si="118"/>
        <v>0.0200254694030355</v>
      </c>
      <c r="AF97" s="13">
        <f t="shared" si="118"/>
        <v>0</v>
      </c>
      <c r="AG97" s="13">
        <f t="shared" si="118"/>
        <v>0.0313811678265429</v>
      </c>
      <c r="AH97" s="13">
        <f t="shared" si="118"/>
        <v>0.0252470449114003</v>
      </c>
      <c r="AI97" s="13">
        <f t="shared" si="118"/>
        <v>0.0263944479599069</v>
      </c>
    </row>
    <row r="98" spans="4:35">
      <c r="D98" s="14" t="s">
        <v>28</v>
      </c>
      <c r="E98" s="13">
        <f t="shared" si="113"/>
        <v>0.0015531094392336</v>
      </c>
      <c r="F98" s="13">
        <f t="shared" si="115"/>
        <v>0.00193037345507505</v>
      </c>
      <c r="G98" s="13">
        <f t="shared" si="115"/>
        <v>0.0344892355988536</v>
      </c>
      <c r="H98" s="13">
        <f t="shared" si="115"/>
        <v>0.155366335400385</v>
      </c>
      <c r="I98" s="13">
        <f t="shared" si="115"/>
        <v>0.005079938964987</v>
      </c>
      <c r="J98" s="13">
        <f t="shared" si="115"/>
        <v>0.00650065243928986</v>
      </c>
      <c r="K98" s="13">
        <f t="shared" si="115"/>
        <v>0.0153108062244628</v>
      </c>
      <c r="L98" s="13">
        <f t="shared" si="115"/>
        <v>0.101510093243217</v>
      </c>
      <c r="M98" s="13">
        <f t="shared" si="115"/>
        <v>0.00145950407681837</v>
      </c>
      <c r="N98" s="13">
        <f t="shared" si="115"/>
        <v>0.00256916428030765</v>
      </c>
      <c r="O98" s="13">
        <f t="shared" si="115"/>
        <v>0.00295351720600637</v>
      </c>
      <c r="P98" s="13">
        <f t="shared" si="116"/>
        <v>0.0757946286118961</v>
      </c>
      <c r="Q98" s="13">
        <f t="shared" si="116"/>
        <v>0.00401229636716884</v>
      </c>
      <c r="R98" s="13">
        <f t="shared" si="116"/>
        <v>0.0612983594803185</v>
      </c>
      <c r="S98" s="13">
        <f t="shared" si="116"/>
        <v>0.00525452584357678</v>
      </c>
      <c r="T98" s="13">
        <f t="shared" si="116"/>
        <v>0.110130159078662</v>
      </c>
      <c r="U98" s="13">
        <f t="shared" si="116"/>
        <v>0.0114371146334179</v>
      </c>
      <c r="V98" s="13">
        <f t="shared" si="116"/>
        <v>0.043147107955065</v>
      </c>
      <c r="W98" s="13">
        <f t="shared" si="116"/>
        <v>0.00387737530694089</v>
      </c>
      <c r="X98" s="13">
        <f t="shared" si="116"/>
        <v>0.0227812953805238</v>
      </c>
      <c r="Y98" s="13">
        <f t="shared" si="116"/>
        <v>0.0706982447263285</v>
      </c>
      <c r="Z98" s="13">
        <f t="shared" si="117"/>
        <v>0.0116313642029838</v>
      </c>
      <c r="AA98" s="13">
        <f t="shared" si="117"/>
        <v>0.0838875645330234</v>
      </c>
      <c r="AB98" s="13">
        <f t="shared" si="117"/>
        <v>0.0112712975599508</v>
      </c>
      <c r="AC98" s="13">
        <f t="shared" si="117"/>
        <v>0.0143825481505692</v>
      </c>
      <c r="AD98" s="13">
        <f t="shared" si="111"/>
        <v>0.0204622044698184</v>
      </c>
      <c r="AE98" s="13">
        <f t="shared" si="118"/>
        <v>0.0175606435665819</v>
      </c>
      <c r="AF98" s="13">
        <f t="shared" si="118"/>
        <v>0.00995798742348491</v>
      </c>
      <c r="AG98" s="13">
        <f t="shared" si="118"/>
        <v>0</v>
      </c>
      <c r="AH98" s="13">
        <f t="shared" si="118"/>
        <v>0.040985444730371</v>
      </c>
      <c r="AI98" s="13">
        <f t="shared" si="118"/>
        <v>0.0527071076506815</v>
      </c>
    </row>
    <row r="99" spans="4:35">
      <c r="D99" s="14" t="s">
        <v>29</v>
      </c>
      <c r="E99" s="13">
        <f t="shared" si="113"/>
        <v>0.000903834274642844</v>
      </c>
      <c r="F99" s="13">
        <f t="shared" si="115"/>
        <v>0.00113423526828709</v>
      </c>
      <c r="G99" s="13">
        <f t="shared" si="115"/>
        <v>0.121832404748065</v>
      </c>
      <c r="H99" s="13">
        <f t="shared" si="115"/>
        <v>0.0181577204005761</v>
      </c>
      <c r="I99" s="13">
        <f t="shared" si="115"/>
        <v>0.00324665910624761</v>
      </c>
      <c r="J99" s="13">
        <f t="shared" si="115"/>
        <v>0.00432582132753867</v>
      </c>
      <c r="K99" s="13">
        <f t="shared" si="115"/>
        <v>0.0136846271013404</v>
      </c>
      <c r="L99" s="13">
        <f t="shared" si="115"/>
        <v>0.0384871892854809</v>
      </c>
      <c r="M99" s="13">
        <f t="shared" si="115"/>
        <v>0.0008473490430197</v>
      </c>
      <c r="N99" s="13">
        <f t="shared" si="115"/>
        <v>0.0015346728398897</v>
      </c>
      <c r="O99" s="13">
        <f t="shared" si="115"/>
        <v>0.00178209320210493</v>
      </c>
      <c r="P99" s="13">
        <f t="shared" si="116"/>
        <v>0.0148939170488433</v>
      </c>
      <c r="Q99" s="13">
        <f t="shared" si="116"/>
        <v>0.00249026644186862</v>
      </c>
      <c r="R99" s="13">
        <f t="shared" si="116"/>
        <v>0.0137524864137653</v>
      </c>
      <c r="S99" s="13">
        <f t="shared" si="116"/>
        <v>0.00337464887777186</v>
      </c>
      <c r="T99" s="13">
        <f t="shared" si="116"/>
        <v>0.0365499279222603</v>
      </c>
      <c r="U99" s="13">
        <f t="shared" si="116"/>
        <v>0.00888224559061691</v>
      </c>
      <c r="V99" s="13">
        <f t="shared" si="116"/>
        <v>0.458039468716439</v>
      </c>
      <c r="W99" s="13">
        <f t="shared" si="116"/>
        <v>0.00239777664014664</v>
      </c>
      <c r="X99" s="13">
        <f t="shared" si="116"/>
        <v>0.00819829317251174</v>
      </c>
      <c r="Y99" s="13">
        <f t="shared" si="116"/>
        <v>0.0546014651970152</v>
      </c>
      <c r="Z99" s="13">
        <f t="shared" si="117"/>
        <v>0.00909287913646491</v>
      </c>
      <c r="AA99" s="13">
        <f t="shared" si="117"/>
        <v>0.0154158775955904</v>
      </c>
      <c r="AB99" s="13">
        <f t="shared" si="117"/>
        <v>0.00494960826501736</v>
      </c>
      <c r="AC99" s="13">
        <f t="shared" si="117"/>
        <v>0.00596096128725567</v>
      </c>
      <c r="AD99" s="13">
        <f t="shared" si="111"/>
        <v>0.00764163680336533</v>
      </c>
      <c r="AE99" s="13">
        <f t="shared" si="118"/>
        <v>0.017202982990525</v>
      </c>
      <c r="AF99" s="13">
        <f t="shared" si="118"/>
        <v>0.00448562142770666</v>
      </c>
      <c r="AG99" s="13">
        <f t="shared" si="118"/>
        <v>0.022947704305323</v>
      </c>
      <c r="AH99" s="13">
        <f t="shared" si="118"/>
        <v>0</v>
      </c>
      <c r="AI99" s="13">
        <f t="shared" si="118"/>
        <v>0.10318562557032</v>
      </c>
    </row>
    <row r="100" spans="4:35">
      <c r="D100" s="14" t="s">
        <v>30</v>
      </c>
      <c r="E100" s="13">
        <f t="shared" si="113"/>
        <v>0.00123187989973312</v>
      </c>
      <c r="F100" s="13">
        <f t="shared" si="115"/>
        <v>0.00154249038549207</v>
      </c>
      <c r="G100" s="13">
        <f t="shared" si="115"/>
        <v>0.0768124849559847</v>
      </c>
      <c r="H100" s="13">
        <f t="shared" si="115"/>
        <v>0.0302960607087906</v>
      </c>
      <c r="I100" s="13">
        <f t="shared" si="115"/>
        <v>0.0043276250251809</v>
      </c>
      <c r="J100" s="13">
        <f t="shared" si="115"/>
        <v>0.00570821323705662</v>
      </c>
      <c r="K100" s="13">
        <f t="shared" si="115"/>
        <v>0.0166117467718478</v>
      </c>
      <c r="L100" s="13">
        <f t="shared" si="115"/>
        <v>0.0843934476465124</v>
      </c>
      <c r="M100" s="13">
        <f t="shared" si="115"/>
        <v>0.00115552047258609</v>
      </c>
      <c r="N100" s="13">
        <f t="shared" si="115"/>
        <v>0.00207908025326728</v>
      </c>
      <c r="O100" s="13">
        <f t="shared" si="115"/>
        <v>0.00240857942502456</v>
      </c>
      <c r="P100" s="13">
        <f t="shared" si="116"/>
        <v>0.0239317979388541</v>
      </c>
      <c r="Q100" s="13">
        <f t="shared" si="116"/>
        <v>0.00334315268184754</v>
      </c>
      <c r="R100" s="13">
        <f t="shared" si="116"/>
        <v>0.0218156956957896</v>
      </c>
      <c r="S100" s="13">
        <f t="shared" si="116"/>
        <v>0.00449282579531031</v>
      </c>
      <c r="T100" s="13">
        <f t="shared" si="116"/>
        <v>0.0778154607691685</v>
      </c>
      <c r="U100" s="13">
        <f t="shared" si="116"/>
        <v>0.011244184740905</v>
      </c>
      <c r="V100" s="13">
        <f t="shared" si="116"/>
        <v>0.183121655820705</v>
      </c>
      <c r="W100" s="13">
        <f t="shared" si="116"/>
        <v>0.00322180603143138</v>
      </c>
      <c r="X100" s="13">
        <f t="shared" si="116"/>
        <v>0.01224458501745</v>
      </c>
      <c r="Y100" s="13">
        <f t="shared" si="116"/>
        <v>0.159439495938657</v>
      </c>
      <c r="Z100" s="13">
        <f t="shared" si="117"/>
        <v>0.0114892350842894</v>
      </c>
      <c r="AA100" s="13">
        <f t="shared" si="117"/>
        <v>0.024917801365271</v>
      </c>
      <c r="AB100" s="13">
        <f t="shared" si="117"/>
        <v>0.00714803053019102</v>
      </c>
      <c r="AC100" s="13">
        <f t="shared" si="117"/>
        <v>0.00869813545628637</v>
      </c>
      <c r="AD100" s="13">
        <f t="shared" si="111"/>
        <v>0.0113466939686551</v>
      </c>
      <c r="AE100" s="13">
        <f t="shared" si="118"/>
        <v>0.0202723773922837</v>
      </c>
      <c r="AF100" s="13">
        <f t="shared" si="118"/>
        <v>0.00644750613879175</v>
      </c>
      <c r="AG100" s="13">
        <f t="shared" si="118"/>
        <v>0.0405738195878601</v>
      </c>
      <c r="AH100" s="13">
        <f t="shared" si="118"/>
        <v>0.141868611264778</v>
      </c>
      <c r="AI100" s="13">
        <f t="shared" si="118"/>
        <v>0</v>
      </c>
    </row>
    <row r="102" spans="2:3">
      <c r="B102" s="16" t="s">
        <v>36</v>
      </c>
      <c r="C102" s="16"/>
    </row>
    <row r="103" spans="2:35">
      <c r="B103" s="13" t="s">
        <v>37</v>
      </c>
      <c r="D103" s="13" t="s">
        <v>38</v>
      </c>
      <c r="E103" s="13" t="s">
        <v>0</v>
      </c>
      <c r="F103" s="13" t="s">
        <v>1</v>
      </c>
      <c r="G103" s="13" t="s">
        <v>2</v>
      </c>
      <c r="H103" s="13" t="s">
        <v>3</v>
      </c>
      <c r="I103" s="13" t="s">
        <v>4</v>
      </c>
      <c r="J103" s="13" t="s">
        <v>5</v>
      </c>
      <c r="K103" s="13" t="s">
        <v>6</v>
      </c>
      <c r="L103" s="13" t="s">
        <v>7</v>
      </c>
      <c r="M103" s="13" t="s">
        <v>8</v>
      </c>
      <c r="N103" s="13" t="s">
        <v>9</v>
      </c>
      <c r="O103" s="13" t="s">
        <v>10</v>
      </c>
      <c r="P103" s="13" t="s">
        <v>11</v>
      </c>
      <c r="Q103" s="13" t="s">
        <v>12</v>
      </c>
      <c r="R103" s="13" t="s">
        <v>13</v>
      </c>
      <c r="S103" s="13" t="s">
        <v>14</v>
      </c>
      <c r="T103" s="13" t="s">
        <v>15</v>
      </c>
      <c r="U103" s="13" t="s">
        <v>16</v>
      </c>
      <c r="V103" s="13" t="s">
        <v>17</v>
      </c>
      <c r="W103" s="13" t="s">
        <v>18</v>
      </c>
      <c r="X103" s="13" t="s">
        <v>19</v>
      </c>
      <c r="Y103" s="13" t="s">
        <v>20</v>
      </c>
      <c r="Z103" s="13" t="s">
        <v>21</v>
      </c>
      <c r="AA103" s="13" t="s">
        <v>22</v>
      </c>
      <c r="AB103" s="13" t="s">
        <v>23</v>
      </c>
      <c r="AC103" s="13" t="s">
        <v>24</v>
      </c>
      <c r="AD103" s="13" t="s">
        <v>25</v>
      </c>
      <c r="AE103" s="13" t="s">
        <v>26</v>
      </c>
      <c r="AF103" s="13" t="s">
        <v>27</v>
      </c>
      <c r="AG103" s="13" t="s">
        <v>28</v>
      </c>
      <c r="AH103" s="13" t="s">
        <v>29</v>
      </c>
      <c r="AI103" s="13" t="s">
        <v>30</v>
      </c>
    </row>
    <row r="104" spans="4:35">
      <c r="D104" s="13" t="s">
        <v>0</v>
      </c>
      <c r="E104" s="13">
        <v>0</v>
      </c>
      <c r="F104" s="13">
        <v>0.240156462088104</v>
      </c>
      <c r="G104" s="13">
        <v>0.0963511992175787</v>
      </c>
      <c r="H104" s="13">
        <v>0.0566454358874996</v>
      </c>
      <c r="I104" s="13">
        <v>0.0543461898782626</v>
      </c>
      <c r="J104" s="13">
        <v>0.0365806314213206</v>
      </c>
      <c r="K104" s="13">
        <v>0.0266050939932564</v>
      </c>
      <c r="L104" s="13">
        <v>0.0218312576697995</v>
      </c>
      <c r="M104" s="13">
        <v>0.022142587914109</v>
      </c>
      <c r="N104" s="13">
        <v>0.0268063172395087</v>
      </c>
      <c r="O104" s="13">
        <v>0.0209207294836517</v>
      </c>
      <c r="P104" s="13">
        <v>0.0256975372458575</v>
      </c>
      <c r="Q104" s="13">
        <v>0.0151043539909824</v>
      </c>
      <c r="R104" s="13">
        <v>0.018564259773474</v>
      </c>
      <c r="S104" s="13">
        <v>0.0646395675378625</v>
      </c>
      <c r="T104" s="13">
        <v>0.0371999679651773</v>
      </c>
      <c r="U104" s="13">
        <v>0.0221567997426469</v>
      </c>
      <c r="V104" s="13">
        <v>0.0175315859179408</v>
      </c>
      <c r="W104" s="13">
        <v>0.0124268939028078</v>
      </c>
      <c r="X104" s="13">
        <v>0.011269818364198</v>
      </c>
      <c r="Y104" s="13">
        <v>0.0102564241166949</v>
      </c>
      <c r="Z104" s="13">
        <v>0.0162559950931482</v>
      </c>
      <c r="AA104" s="13">
        <v>0.0153209407813158</v>
      </c>
      <c r="AB104" s="13">
        <v>0.0133394572455802</v>
      </c>
      <c r="AC104" s="13">
        <v>0.0111551570235627</v>
      </c>
      <c r="AD104" s="13">
        <v>0.00902561682238135</v>
      </c>
      <c r="AE104" s="13">
        <v>0.0254141650840092</v>
      </c>
      <c r="AF104" s="13">
        <v>0.0194747165741737</v>
      </c>
      <c r="AG104" s="13">
        <v>0.0172075887769746</v>
      </c>
      <c r="AH104" s="13">
        <v>0.0260939093165957</v>
      </c>
      <c r="AI104" s="13">
        <v>0.00947933993152551</v>
      </c>
    </row>
    <row r="105" spans="4:35">
      <c r="D105" s="13" t="s">
        <v>1</v>
      </c>
      <c r="E105" s="13">
        <v>0.24029280598076</v>
      </c>
      <c r="F105" s="13">
        <v>0</v>
      </c>
      <c r="G105" s="13">
        <v>0.0856150678283382</v>
      </c>
      <c r="H105" s="13">
        <v>0.0513286596068714</v>
      </c>
      <c r="I105" s="13">
        <v>0.044834512708915</v>
      </c>
      <c r="J105" s="13">
        <v>0.03924594135136</v>
      </c>
      <c r="K105" s="13">
        <v>0.0274393149543346</v>
      </c>
      <c r="L105" s="13">
        <v>0.0221305882177354</v>
      </c>
      <c r="M105" s="13">
        <v>0.024157634758574</v>
      </c>
      <c r="N105" s="13">
        <v>0.0293144986888146</v>
      </c>
      <c r="O105" s="13">
        <v>0.02256146417468</v>
      </c>
      <c r="P105" s="13">
        <v>0.0276501944566679</v>
      </c>
      <c r="Q105" s="13">
        <v>0.0158490587726979</v>
      </c>
      <c r="R105" s="13">
        <v>0.0193822268842015</v>
      </c>
      <c r="S105" s="13">
        <v>0.0791006038389539</v>
      </c>
      <c r="T105" s="13">
        <v>0.0380742911029627</v>
      </c>
      <c r="U105" s="13">
        <v>0.0230385546146214</v>
      </c>
      <c r="V105" s="13">
        <v>0.017985180174204</v>
      </c>
      <c r="W105" s="13">
        <v>0.0127259875868926</v>
      </c>
      <c r="X105" s="13">
        <v>0.0113884458917393</v>
      </c>
      <c r="Y105" s="13">
        <v>0.010413403444682</v>
      </c>
      <c r="Z105" s="13">
        <v>0.0161531672224467</v>
      </c>
      <c r="AA105" s="13">
        <v>0.0150758256906332</v>
      </c>
      <c r="AB105" s="13">
        <v>0.0133634440388486</v>
      </c>
      <c r="AC105" s="13">
        <v>0.0111035578461828</v>
      </c>
      <c r="AD105" s="13">
        <v>0.00884126140988508</v>
      </c>
      <c r="AE105" s="13">
        <v>0.0246918010319926</v>
      </c>
      <c r="AF105" s="13">
        <v>0.0185414017177457</v>
      </c>
      <c r="AG105" s="13">
        <v>0.016411668204136</v>
      </c>
      <c r="AH105" s="13">
        <v>0.0241486435683849</v>
      </c>
      <c r="AI105" s="13">
        <v>0.00914079423173812</v>
      </c>
    </row>
    <row r="106" spans="4:35">
      <c r="D106" s="13" t="s">
        <v>2</v>
      </c>
      <c r="E106" s="13">
        <v>0.0967422069590014</v>
      </c>
      <c r="F106" s="13">
        <v>0.0859137309705475</v>
      </c>
      <c r="G106" s="13">
        <v>0</v>
      </c>
      <c r="H106" s="13">
        <v>0.127725747688147</v>
      </c>
      <c r="I106" s="13">
        <v>0.0625820900489652</v>
      </c>
      <c r="J106" s="13">
        <v>0.0270382309805938</v>
      </c>
      <c r="K106" s="13">
        <v>0.0209988733676981</v>
      </c>
      <c r="L106" s="13">
        <v>0.0178746416133259</v>
      </c>
      <c r="M106" s="13">
        <v>0.0232164941793655</v>
      </c>
      <c r="N106" s="13">
        <v>0.0302083013751399</v>
      </c>
      <c r="O106" s="13">
        <v>0.0226039665294554</v>
      </c>
      <c r="P106" s="13">
        <v>0.0301020201607865</v>
      </c>
      <c r="Q106" s="13">
        <v>0.016438826867393</v>
      </c>
      <c r="R106" s="13">
        <v>0.0215062873155961</v>
      </c>
      <c r="S106" s="13">
        <v>0.0773022466919738</v>
      </c>
      <c r="T106" s="13">
        <v>0.0572782913250832</v>
      </c>
      <c r="U106" s="13">
        <v>0.0271294096041094</v>
      </c>
      <c r="V106" s="13">
        <v>0.020804909117071</v>
      </c>
      <c r="W106" s="13">
        <v>0.0138985718864068</v>
      </c>
      <c r="X106" s="13">
        <v>0.0126883508303927</v>
      </c>
      <c r="Y106" s="13">
        <v>0.0113420088091302</v>
      </c>
      <c r="Z106" s="13">
        <v>0.0196247935967943</v>
      </c>
      <c r="AA106" s="13">
        <v>0.0182699468528743</v>
      </c>
      <c r="AB106" s="13">
        <v>0.0154977993224455</v>
      </c>
      <c r="AC106" s="13">
        <v>0.0126651880847665</v>
      </c>
      <c r="AD106" s="13">
        <v>0.00988371846807163</v>
      </c>
      <c r="AE106" s="13">
        <v>0.0345721412464005</v>
      </c>
      <c r="AF106" s="13">
        <v>0.0235600617291481</v>
      </c>
      <c r="AG106" s="13">
        <v>0.0201382440954222</v>
      </c>
      <c r="AH106" s="13">
        <v>0.0324931641611222</v>
      </c>
      <c r="AI106" s="13">
        <v>0.00989973612277222</v>
      </c>
    </row>
    <row r="107" spans="4:35">
      <c r="D107" s="13" t="s">
        <v>3</v>
      </c>
      <c r="E107" s="13">
        <v>0.060302281063527</v>
      </c>
      <c r="F107" s="13">
        <v>0.0546112665685105</v>
      </c>
      <c r="G107" s="13">
        <v>0.135421744773214</v>
      </c>
      <c r="H107" s="13">
        <v>0</v>
      </c>
      <c r="I107" s="13">
        <v>0.0729248367934471</v>
      </c>
      <c r="J107" s="13">
        <v>0.0237468067555774</v>
      </c>
      <c r="K107" s="13">
        <v>0.019272985391714</v>
      </c>
      <c r="L107" s="13">
        <v>0.0168223320292933</v>
      </c>
      <c r="M107" s="13">
        <v>0.022575362318761</v>
      </c>
      <c r="N107" s="13">
        <v>0.0295767868514937</v>
      </c>
      <c r="O107" s="13">
        <v>0.022525041622986</v>
      </c>
      <c r="P107" s="13">
        <v>0.0305679343566012</v>
      </c>
      <c r="Q107" s="13">
        <v>0.0171426862207466</v>
      </c>
      <c r="R107" s="13">
        <v>0.023154804602063</v>
      </c>
      <c r="S107" s="13">
        <v>0.0565624706259947</v>
      </c>
      <c r="T107" s="13">
        <v>0.0689665457289304</v>
      </c>
      <c r="U107" s="13">
        <v>0.0300203580951029</v>
      </c>
      <c r="V107" s="13">
        <v>0.0234164528316764</v>
      </c>
      <c r="W107" s="13">
        <v>0.0152411635857782</v>
      </c>
      <c r="X107" s="13">
        <v>0.0142570683331289</v>
      </c>
      <c r="Y107" s="13">
        <v>0.0125238770751722</v>
      </c>
      <c r="Z107" s="13">
        <v>0.0237392026298201</v>
      </c>
      <c r="AA107" s="13">
        <v>0.0222794739739028</v>
      </c>
      <c r="AB107" s="13">
        <v>0.0180041727909763</v>
      </c>
      <c r="AC107" s="13">
        <v>0.0146343032894137</v>
      </c>
      <c r="AD107" s="13">
        <v>0.0113581015006648</v>
      </c>
      <c r="AE107" s="13">
        <v>0.0485707479434432</v>
      </c>
      <c r="AF107" s="13">
        <v>0.0305686836735205</v>
      </c>
      <c r="AG107" s="13">
        <v>0.0252394123811014</v>
      </c>
      <c r="AH107" s="13">
        <v>0.0448297637795784</v>
      </c>
      <c r="AI107" s="13">
        <v>0.0111433324138607</v>
      </c>
    </row>
    <row r="108" spans="4:35">
      <c r="D108" s="13" t="s">
        <v>4</v>
      </c>
      <c r="E108" s="13">
        <v>0.0732517907464061</v>
      </c>
      <c r="F108" s="13">
        <v>0.0603969637380086</v>
      </c>
      <c r="G108" s="13">
        <v>0.0840118099419486</v>
      </c>
      <c r="H108" s="13">
        <v>0.0923327546794686</v>
      </c>
      <c r="I108" s="13">
        <v>0</v>
      </c>
      <c r="J108" s="13">
        <v>0.0310850152110541</v>
      </c>
      <c r="K108" s="13">
        <v>0.0261777241833625</v>
      </c>
      <c r="L108" s="13">
        <v>0.0233030295740665</v>
      </c>
      <c r="M108" s="13">
        <v>0.0227332245094248</v>
      </c>
      <c r="N108" s="13">
        <v>0.0274525757828137</v>
      </c>
      <c r="O108" s="13">
        <v>0.0223380341517394</v>
      </c>
      <c r="P108" s="13">
        <v>0.0276778921022183</v>
      </c>
      <c r="Q108" s="13">
        <v>0.0176719460047943</v>
      </c>
      <c r="R108" s="13">
        <v>0.0222617054672395</v>
      </c>
      <c r="S108" s="13">
        <v>0.0466983766959816</v>
      </c>
      <c r="T108" s="13">
        <v>0.0448903746893529</v>
      </c>
      <c r="U108" s="13">
        <v>0.0269262536181233</v>
      </c>
      <c r="V108" s="13">
        <v>0.0225328482673228</v>
      </c>
      <c r="W108" s="13">
        <v>0.0159992351161038</v>
      </c>
      <c r="X108" s="13">
        <v>0.0153457115445571</v>
      </c>
      <c r="Y108" s="13">
        <v>0.0136366946138447</v>
      </c>
      <c r="Z108" s="13">
        <v>0.0240999371225559</v>
      </c>
      <c r="AA108" s="13">
        <v>0.0238320194122851</v>
      </c>
      <c r="AB108" s="13">
        <v>0.0189731784191589</v>
      </c>
      <c r="AC108" s="13">
        <v>0.0162724282581094</v>
      </c>
      <c r="AD108" s="13">
        <v>0.0140276258545789</v>
      </c>
      <c r="AE108" s="13">
        <v>0.0416904086954204</v>
      </c>
      <c r="AF108" s="13">
        <v>0.0366461105053588</v>
      </c>
      <c r="AG108" s="13">
        <v>0.0317977090643488</v>
      </c>
      <c r="AH108" s="13">
        <v>0.0604699286251084</v>
      </c>
      <c r="AI108" s="13">
        <v>0.0154666934052439</v>
      </c>
    </row>
    <row r="109" spans="4:35">
      <c r="D109" s="13" t="s">
        <v>5</v>
      </c>
      <c r="E109" s="13">
        <v>0.0612270976699631</v>
      </c>
      <c r="F109" s="13">
        <v>0.065650907581259</v>
      </c>
      <c r="G109" s="13">
        <v>0.0450725244660529</v>
      </c>
      <c r="H109" s="13">
        <v>0.0373360935596819</v>
      </c>
      <c r="I109" s="13">
        <v>0.0386006320156071</v>
      </c>
      <c r="J109" s="13">
        <v>0</v>
      </c>
      <c r="K109" s="13">
        <v>0.138343693736974</v>
      </c>
      <c r="L109" s="13">
        <v>0.0761201834030579</v>
      </c>
      <c r="M109" s="13">
        <v>0.0331679377027292</v>
      </c>
      <c r="N109" s="13">
        <v>0.0340270155886451</v>
      </c>
      <c r="O109" s="13">
        <v>0.0298999926549063</v>
      </c>
      <c r="P109" s="13">
        <v>0.0312894401087485</v>
      </c>
      <c r="Q109" s="13">
        <v>0.0219680140998747</v>
      </c>
      <c r="R109" s="13">
        <v>0.0239113950937305</v>
      </c>
      <c r="S109" s="13">
        <v>0.0493652831560496</v>
      </c>
      <c r="T109" s="13">
        <v>0.0331808635121558</v>
      </c>
      <c r="U109" s="13">
        <v>0.0260399661063433</v>
      </c>
      <c r="V109" s="13">
        <v>0.0217588045691929</v>
      </c>
      <c r="W109" s="13">
        <v>0.0171287591041964</v>
      </c>
      <c r="X109" s="13">
        <v>0.0152032805490995</v>
      </c>
      <c r="Y109" s="13">
        <v>0.0143659674616342</v>
      </c>
      <c r="Z109" s="13">
        <v>0.0192681925358578</v>
      </c>
      <c r="AA109" s="13">
        <v>0.018234755104678</v>
      </c>
      <c r="AB109" s="13">
        <v>0.0169099466865936</v>
      </c>
      <c r="AC109" s="13">
        <v>0.014557839734055</v>
      </c>
      <c r="AD109" s="13">
        <v>0.0121211128701423</v>
      </c>
      <c r="AE109" s="13">
        <v>0.0253613356926992</v>
      </c>
      <c r="AF109" s="13">
        <v>0.0213068836089278</v>
      </c>
      <c r="AG109" s="13">
        <v>0.0196750818806435</v>
      </c>
      <c r="AH109" s="13">
        <v>0.0257385521018672</v>
      </c>
      <c r="AI109" s="13">
        <v>0.0131684476446339</v>
      </c>
    </row>
    <row r="110" spans="4:35">
      <c r="D110" s="13" t="s">
        <v>6</v>
      </c>
      <c r="E110" s="13">
        <v>0.0468020736181678</v>
      </c>
      <c r="F110" s="13">
        <v>0.0482421962064506</v>
      </c>
      <c r="G110" s="13">
        <v>0.036790647064178</v>
      </c>
      <c r="H110" s="13">
        <v>0.0318478759168005</v>
      </c>
      <c r="I110" s="13">
        <v>0.0341651271272015</v>
      </c>
      <c r="J110" s="13">
        <v>0.145400931652414</v>
      </c>
      <c r="K110" s="13">
        <v>0</v>
      </c>
      <c r="L110" s="13">
        <v>0.17569678566062</v>
      </c>
      <c r="M110" s="13">
        <v>0.0285342847382434</v>
      </c>
      <c r="N110" s="13">
        <v>0.0287802870334648</v>
      </c>
      <c r="O110" s="13">
        <v>0.0260825102803024</v>
      </c>
      <c r="P110" s="13">
        <v>0.0268427657517564</v>
      </c>
      <c r="Q110" s="13">
        <v>0.0200772370845547</v>
      </c>
      <c r="R110" s="13">
        <v>0.0214426917482592</v>
      </c>
      <c r="S110" s="13">
        <v>0.0383920310581129</v>
      </c>
      <c r="T110" s="13">
        <v>0.0283192125100876</v>
      </c>
      <c r="U110" s="13">
        <v>0.0230350112343099</v>
      </c>
      <c r="V110" s="13">
        <v>0.0197626906229885</v>
      </c>
      <c r="W110" s="13">
        <v>0.0160287273201481</v>
      </c>
      <c r="X110" s="13">
        <v>0.0144000694845056</v>
      </c>
      <c r="Y110" s="13">
        <v>0.0136798885617343</v>
      </c>
      <c r="Z110" s="13">
        <v>0.0178906166937963</v>
      </c>
      <c r="AA110" s="13">
        <v>0.017118772450995</v>
      </c>
      <c r="AB110" s="13">
        <v>0.0158805784259287</v>
      </c>
      <c r="AC110" s="13">
        <v>0.0139079377407604</v>
      </c>
      <c r="AD110" s="13">
        <v>0.0119365782707987</v>
      </c>
      <c r="AE110" s="13">
        <v>0.0228888616132645</v>
      </c>
      <c r="AF110" s="13">
        <v>0.0200349688877323</v>
      </c>
      <c r="AG110" s="13">
        <v>0.0187469925241727</v>
      </c>
      <c r="AH110" s="13">
        <v>0.0238682818417418</v>
      </c>
      <c r="AI110" s="13">
        <v>0.0134033668765087</v>
      </c>
    </row>
    <row r="111" spans="4:35">
      <c r="D111" s="13" t="s">
        <v>7</v>
      </c>
      <c r="E111" s="13">
        <v>0.0449777843855023</v>
      </c>
      <c r="F111" s="13">
        <v>0.045568608625789</v>
      </c>
      <c r="G111" s="13">
        <v>0.0366773356196174</v>
      </c>
      <c r="H111" s="13">
        <v>0.0325564232341723</v>
      </c>
      <c r="I111" s="13">
        <v>0.0356190674298275</v>
      </c>
      <c r="J111" s="13">
        <v>0.0936972086730123</v>
      </c>
      <c r="K111" s="13">
        <v>0.205770361735771</v>
      </c>
      <c r="L111" s="13">
        <v>0</v>
      </c>
      <c r="M111" s="13">
        <v>0.0287835175595135</v>
      </c>
      <c r="N111" s="13">
        <v>0.0289693688647957</v>
      </c>
      <c r="O111" s="13">
        <v>0.0266089062354727</v>
      </c>
      <c r="P111" s="13">
        <v>0.0272952180423033</v>
      </c>
      <c r="Q111" s="13">
        <v>0.0211121774465937</v>
      </c>
      <c r="R111" s="13">
        <v>0.0223974336007623</v>
      </c>
      <c r="S111" s="13">
        <v>0.0372572230755129</v>
      </c>
      <c r="T111" s="13">
        <v>0.0289105603314771</v>
      </c>
      <c r="U111" s="13">
        <v>0.0239230477742643</v>
      </c>
      <c r="V111" s="13">
        <v>0.0208629229948054</v>
      </c>
      <c r="W111" s="13">
        <v>0.0172113660443463</v>
      </c>
      <c r="X111" s="13">
        <v>0.0156293355249419</v>
      </c>
      <c r="Y111" s="13">
        <v>0.0148778580344218</v>
      </c>
      <c r="Z111" s="13">
        <v>0.0192302276896547</v>
      </c>
      <c r="AA111" s="13">
        <v>0.0185535810668303</v>
      </c>
      <c r="AB111" s="13">
        <v>0.0171742300467239</v>
      </c>
      <c r="AC111" s="13">
        <v>0.015226829852932</v>
      </c>
      <c r="AD111" s="13">
        <v>0.0133863409281688</v>
      </c>
      <c r="AE111" s="13">
        <v>0.0242013257157101</v>
      </c>
      <c r="AF111" s="13">
        <v>0.0217844822272536</v>
      </c>
      <c r="AG111" s="13">
        <v>0.0205725059371946</v>
      </c>
      <c r="AH111" s="13">
        <v>0.0257158382388679</v>
      </c>
      <c r="AI111" s="13">
        <v>0.0154489130637619</v>
      </c>
    </row>
    <row r="112" spans="4:35">
      <c r="D112" s="13" t="s">
        <v>8</v>
      </c>
      <c r="E112" s="13">
        <v>0.0271739729867847</v>
      </c>
      <c r="F112" s="13">
        <v>0.0296300702211411</v>
      </c>
      <c r="G112" s="13">
        <v>0.0283767422141025</v>
      </c>
      <c r="H112" s="13">
        <v>0.0260249961130913</v>
      </c>
      <c r="I112" s="13">
        <v>0.0206983944169872</v>
      </c>
      <c r="J112" s="13">
        <v>0.0243192823588093</v>
      </c>
      <c r="K112" s="13">
        <v>0.0199063416956439</v>
      </c>
      <c r="L112" s="13">
        <v>0.017145467283549</v>
      </c>
      <c r="M112" s="13">
        <v>0</v>
      </c>
      <c r="N112" s="13">
        <v>0.0989832038069089</v>
      </c>
      <c r="O112" s="13">
        <v>0.179480779563875</v>
      </c>
      <c r="P112" s="13">
        <v>0.0718627254550394</v>
      </c>
      <c r="Q112" s="13">
        <v>0.0469616976355655</v>
      </c>
      <c r="R112" s="13">
        <v>0.0447426185443915</v>
      </c>
      <c r="S112" s="13">
        <v>0.04003644502513</v>
      </c>
      <c r="T112" s="13">
        <v>0.0343104143145382</v>
      </c>
      <c r="U112" s="13">
        <v>0.0412318273663139</v>
      </c>
      <c r="V112" s="13">
        <v>0.0312485263392561</v>
      </c>
      <c r="W112" s="13">
        <v>0.0234733493880168</v>
      </c>
      <c r="X112" s="13">
        <v>0.0175060044175522</v>
      </c>
      <c r="Y112" s="13">
        <v>0.0170282639438743</v>
      </c>
      <c r="Z112" s="13">
        <v>0.0198546991336072</v>
      </c>
      <c r="AA112" s="13">
        <v>0.0171570845928345</v>
      </c>
      <c r="AB112" s="13">
        <v>0.0183322509619579</v>
      </c>
      <c r="AC112" s="13">
        <v>0.0143703346584998</v>
      </c>
      <c r="AD112" s="13">
        <v>0.00976425444692152</v>
      </c>
      <c r="AE112" s="13">
        <v>0.0228719390567276</v>
      </c>
      <c r="AF112" s="13">
        <v>0.0163330177879208</v>
      </c>
      <c r="AG112" s="13">
        <v>0.0147489276098959</v>
      </c>
      <c r="AH112" s="13">
        <v>0.0177751601586034</v>
      </c>
      <c r="AI112" s="13">
        <v>0.00865120850246041</v>
      </c>
    </row>
    <row r="113" spans="4:35">
      <c r="D113" s="13" t="s">
        <v>9</v>
      </c>
      <c r="E113" s="13">
        <v>0.0272089885987052</v>
      </c>
      <c r="F113" s="13">
        <v>0.0297379636031372</v>
      </c>
      <c r="G113" s="13">
        <v>0.0305381472515961</v>
      </c>
      <c r="H113" s="13">
        <v>0.028200539690147</v>
      </c>
      <c r="I113" s="13">
        <v>0.0206732711331803</v>
      </c>
      <c r="J113" s="13">
        <v>0.0206351024858997</v>
      </c>
      <c r="K113" s="13">
        <v>0.0166061925333846</v>
      </c>
      <c r="L113" s="13">
        <v>0.0142723332194143</v>
      </c>
      <c r="M113" s="13">
        <v>0.0818675871184841</v>
      </c>
      <c r="N113" s="13">
        <v>0</v>
      </c>
      <c r="O113" s="13">
        <v>0.0899606274231697</v>
      </c>
      <c r="P113" s="13">
        <v>0.173945366355593</v>
      </c>
      <c r="Q113" s="13">
        <v>0.0349868388215296</v>
      </c>
      <c r="R113" s="13">
        <v>0.0476457605940671</v>
      </c>
      <c r="S113" s="13">
        <v>0.0464043774469419</v>
      </c>
      <c r="T113" s="13">
        <v>0.043119268932783</v>
      </c>
      <c r="U113" s="13">
        <v>0.0521285923435807</v>
      </c>
      <c r="V113" s="13">
        <v>0.0328287134316718</v>
      </c>
      <c r="W113" s="13">
        <v>0.020803498841659</v>
      </c>
      <c r="X113" s="13">
        <v>0.0159411096581764</v>
      </c>
      <c r="Y113" s="13">
        <v>0.0149143130864686</v>
      </c>
      <c r="Z113" s="13">
        <v>0.0200010594343477</v>
      </c>
      <c r="AA113" s="13">
        <v>0.016924692008128</v>
      </c>
      <c r="AB113" s="13">
        <v>0.0176250757648318</v>
      </c>
      <c r="AC113" s="13">
        <v>0.0133948460854407</v>
      </c>
      <c r="AD113" s="13">
        <v>0.00891306131309094</v>
      </c>
      <c r="AE113" s="13">
        <v>0.0245969013865427</v>
      </c>
      <c r="AF113" s="13">
        <v>0.0161757699932744</v>
      </c>
      <c r="AG113" s="13">
        <v>0.0143326989558549</v>
      </c>
      <c r="AH113" s="13">
        <v>0.017798769600806</v>
      </c>
      <c r="AI113" s="13">
        <v>0.00781853288809297</v>
      </c>
    </row>
    <row r="114" spans="4:35">
      <c r="D114" s="13" t="s">
        <v>10</v>
      </c>
      <c r="E114" s="13">
        <v>0.0239108459774761</v>
      </c>
      <c r="F114" s="13">
        <v>0.0257714531268594</v>
      </c>
      <c r="G114" s="13">
        <v>0.0257302441633465</v>
      </c>
      <c r="H114" s="13">
        <v>0.0241832632090548</v>
      </c>
      <c r="I114" s="13">
        <v>0.0189414806372815</v>
      </c>
      <c r="J114" s="13">
        <v>0.0204172254399745</v>
      </c>
      <c r="K114" s="13">
        <v>0.0169460002119762</v>
      </c>
      <c r="L114" s="13">
        <v>0.0147613418726375</v>
      </c>
      <c r="M114" s="13">
        <v>0.167151894637174</v>
      </c>
      <c r="N114" s="13">
        <v>0.101296711840855</v>
      </c>
      <c r="O114" s="13">
        <v>0</v>
      </c>
      <c r="P114" s="13">
        <v>0.0828380929802638</v>
      </c>
      <c r="Q114" s="13">
        <v>0.0565453961669535</v>
      </c>
      <c r="R114" s="13">
        <v>0.0545700123999654</v>
      </c>
      <c r="S114" s="13">
        <v>0.0350649313883173</v>
      </c>
      <c r="T114" s="13">
        <v>0.0333304420758913</v>
      </c>
      <c r="U114" s="13">
        <v>0.0462194603510822</v>
      </c>
      <c r="V114" s="13">
        <v>0.034492751961583</v>
      </c>
      <c r="W114" s="13">
        <v>0.0251456003374654</v>
      </c>
      <c r="X114" s="13">
        <v>0.0180325926294076</v>
      </c>
      <c r="Y114" s="13">
        <v>0.0175195730868489</v>
      </c>
      <c r="Z114" s="13">
        <v>0.0201348011758651</v>
      </c>
      <c r="AA114" s="13">
        <v>0.0170919954141241</v>
      </c>
      <c r="AB114" s="13">
        <v>0.0187588545563378</v>
      </c>
      <c r="AC114" s="13">
        <v>0.0143901561011616</v>
      </c>
      <c r="AD114" s="13">
        <v>0.00943303548357845</v>
      </c>
      <c r="AE114" s="13">
        <v>0.022467103085945</v>
      </c>
      <c r="AF114" s="13">
        <v>0.0157249903668384</v>
      </c>
      <c r="AG114" s="13">
        <v>0.0141600969454355</v>
      </c>
      <c r="AH114" s="13">
        <v>0.0168382653430871</v>
      </c>
      <c r="AI114" s="13">
        <v>0.00813138703321353</v>
      </c>
    </row>
    <row r="115" spans="4:35">
      <c r="D115" s="13" t="s">
        <v>11</v>
      </c>
      <c r="E115" s="13">
        <v>0.0255354253423312</v>
      </c>
      <c r="F115" s="13">
        <v>0.027460174342609</v>
      </c>
      <c r="G115" s="13">
        <v>0.0297912254505527</v>
      </c>
      <c r="H115" s="13">
        <v>0.028533093964424</v>
      </c>
      <c r="I115" s="13">
        <v>0.0204049464681774</v>
      </c>
      <c r="J115" s="13">
        <v>0.0185762012929422</v>
      </c>
      <c r="K115" s="13">
        <v>0.0151627702928179</v>
      </c>
      <c r="L115" s="13">
        <v>0.0131649391890394</v>
      </c>
      <c r="M115" s="13">
        <v>0.058187609361289</v>
      </c>
      <c r="N115" s="13">
        <v>0.170290025549011</v>
      </c>
      <c r="O115" s="13">
        <v>0.072021732863071</v>
      </c>
      <c r="P115" s="13">
        <v>0</v>
      </c>
      <c r="Q115" s="13">
        <v>0.0358413685363528</v>
      </c>
      <c r="R115" s="13">
        <v>0.0602028627680027</v>
      </c>
      <c r="S115" s="13">
        <v>0.0421861786678724</v>
      </c>
      <c r="T115" s="13">
        <v>0.0477074379269005</v>
      </c>
      <c r="U115" s="13">
        <v>0.0728629893504781</v>
      </c>
      <c r="V115" s="13">
        <v>0.0393901576609142</v>
      </c>
      <c r="W115" s="13">
        <v>0.022469429769154</v>
      </c>
      <c r="X115" s="13">
        <v>0.0170754713737752</v>
      </c>
      <c r="Y115" s="13">
        <v>0.0157306949946702</v>
      </c>
      <c r="Z115" s="13">
        <v>0.0220248791303647</v>
      </c>
      <c r="AA115" s="13">
        <v>0.018213139285061</v>
      </c>
      <c r="AB115" s="13">
        <v>0.0191999594146478</v>
      </c>
      <c r="AC115" s="13">
        <v>0.0142064426073428</v>
      </c>
      <c r="AD115" s="13">
        <v>0.00914675505450273</v>
      </c>
      <c r="AE115" s="13">
        <v>0.0267729871720279</v>
      </c>
      <c r="AF115" s="13">
        <v>0.016872705118021</v>
      </c>
      <c r="AG115" s="13">
        <v>0.0148462888300531</v>
      </c>
      <c r="AH115" s="13">
        <v>0.0182901539354069</v>
      </c>
      <c r="AI115" s="13">
        <v>0.00783195428818646</v>
      </c>
    </row>
    <row r="116" spans="4:35">
      <c r="D116" s="13" t="s">
        <v>12</v>
      </c>
      <c r="E116" s="13">
        <v>0.0237916409520591</v>
      </c>
      <c r="F116" s="13">
        <v>0.0249504984323823</v>
      </c>
      <c r="G116" s="13">
        <v>0.0257889818831484</v>
      </c>
      <c r="H116" s="13">
        <v>0.0253648501040485</v>
      </c>
      <c r="I116" s="13">
        <v>0.0206517792140222</v>
      </c>
      <c r="J116" s="13">
        <v>0.0206738121042596</v>
      </c>
      <c r="K116" s="13">
        <v>0.0179773590094854</v>
      </c>
      <c r="L116" s="13">
        <v>0.0161412054953587</v>
      </c>
      <c r="M116" s="13">
        <v>0.0602755619631472</v>
      </c>
      <c r="N116" s="13">
        <v>0.0542939827175918</v>
      </c>
      <c r="O116" s="13">
        <v>0.0779294075999247</v>
      </c>
      <c r="P116" s="13">
        <v>0.056813982576219</v>
      </c>
      <c r="Q116" s="13">
        <v>0</v>
      </c>
      <c r="R116" s="13">
        <v>0.0817752394609586</v>
      </c>
      <c r="S116" s="13">
        <v>0.0310461518719937</v>
      </c>
      <c r="T116" s="13">
        <v>0.0333968067027622</v>
      </c>
      <c r="U116" s="13">
        <v>0.0529844096142702</v>
      </c>
      <c r="V116" s="13">
        <v>0.0524821822159498</v>
      </c>
      <c r="W116" s="13">
        <v>0.052289143737501</v>
      </c>
      <c r="X116" s="13">
        <v>0.0307085431902902</v>
      </c>
      <c r="Y116" s="13">
        <v>0.0319307717745384</v>
      </c>
      <c r="Z116" s="13">
        <v>0.0278597084872985</v>
      </c>
      <c r="AA116" s="13">
        <v>0.0232906514226107</v>
      </c>
      <c r="AB116" s="13">
        <v>0.0285167990457748</v>
      </c>
      <c r="AC116" s="13">
        <v>0.0215562789896834</v>
      </c>
      <c r="AD116" s="13">
        <v>0.0130481853105225</v>
      </c>
      <c r="AE116" s="13">
        <v>0.0266710298597621</v>
      </c>
      <c r="AF116" s="13">
        <v>0.0195526200733093</v>
      </c>
      <c r="AG116" s="13">
        <v>0.0178621535716128</v>
      </c>
      <c r="AH116" s="13">
        <v>0.0198807590571452</v>
      </c>
      <c r="AI116" s="13">
        <v>0.0104955035623695</v>
      </c>
    </row>
    <row r="117" spans="4:35">
      <c r="D117" s="13" t="s">
        <v>13</v>
      </c>
      <c r="E117" s="13">
        <v>0.0214641503358254</v>
      </c>
      <c r="F117" s="13">
        <v>0.0223971751232353</v>
      </c>
      <c r="G117" s="13">
        <v>0.0247652457431501</v>
      </c>
      <c r="H117" s="13">
        <v>0.025148284650898</v>
      </c>
      <c r="I117" s="13">
        <v>0.0190961295704367</v>
      </c>
      <c r="J117" s="13">
        <v>0.0165176593178625</v>
      </c>
      <c r="K117" s="13">
        <v>0.0140933769860113</v>
      </c>
      <c r="L117" s="13">
        <v>0.0125694136754322</v>
      </c>
      <c r="M117" s="13">
        <v>0.0421534088000022</v>
      </c>
      <c r="N117" s="13">
        <v>0.0542731567940272</v>
      </c>
      <c r="O117" s="13">
        <v>0.0552041845290264</v>
      </c>
      <c r="P117" s="13">
        <v>0.0700489477383206</v>
      </c>
      <c r="Q117" s="13">
        <v>0.0600254807818402</v>
      </c>
      <c r="R117" s="13">
        <v>0</v>
      </c>
      <c r="S117" s="13">
        <v>0.0296112348990852</v>
      </c>
      <c r="T117" s="13">
        <v>0.0378511061638698</v>
      </c>
      <c r="U117" s="13">
        <v>0.104602609753981</v>
      </c>
      <c r="V117" s="13">
        <v>0.0913910643627965</v>
      </c>
      <c r="W117" s="13">
        <v>0.0417097984225251</v>
      </c>
      <c r="X117" s="13">
        <v>0.0269369952462567</v>
      </c>
      <c r="Y117" s="13">
        <v>0.0247217084641384</v>
      </c>
      <c r="Z117" s="13">
        <v>0.0300754666754104</v>
      </c>
      <c r="AA117" s="13">
        <v>0.023447469422631</v>
      </c>
      <c r="AB117" s="13">
        <v>0.0286640478283248</v>
      </c>
      <c r="AC117" s="13">
        <v>0.0196555415010859</v>
      </c>
      <c r="AD117" s="13">
        <v>0.0112038191972693</v>
      </c>
      <c r="AE117" s="13">
        <v>0.0288909783970358</v>
      </c>
      <c r="AF117" s="13">
        <v>0.0188465604489625</v>
      </c>
      <c r="AG117" s="13">
        <v>0.0167726684873909</v>
      </c>
      <c r="AH117" s="13">
        <v>0.0190302625397078</v>
      </c>
      <c r="AI117" s="13">
        <v>0.00883205414346152</v>
      </c>
    </row>
    <row r="118" spans="4:35">
      <c r="D118" s="13" t="s">
        <v>14</v>
      </c>
      <c r="E118" s="13">
        <v>0.0720465447939867</v>
      </c>
      <c r="F118" s="13">
        <v>0.0881146301390307</v>
      </c>
      <c r="G118" s="13">
        <v>0.0858119884553345</v>
      </c>
      <c r="H118" s="13">
        <v>0.0592207998893729</v>
      </c>
      <c r="I118" s="13">
        <v>0.0386160061875943</v>
      </c>
      <c r="J118" s="13">
        <v>0.0328733430942891</v>
      </c>
      <c r="K118" s="13">
        <v>0.0243251488243731</v>
      </c>
      <c r="L118" s="13">
        <v>0.0201560717227756</v>
      </c>
      <c r="M118" s="13">
        <v>0.0363618073811417</v>
      </c>
      <c r="N118" s="13">
        <v>0.0509563627341171</v>
      </c>
      <c r="O118" s="13">
        <v>0.0341955498137493</v>
      </c>
      <c r="P118" s="13">
        <v>0.0473187551895022</v>
      </c>
      <c r="Q118" s="13">
        <v>0.0219684922579903</v>
      </c>
      <c r="R118" s="13">
        <v>0.0285453367343614</v>
      </c>
      <c r="S118" s="13">
        <v>0</v>
      </c>
      <c r="T118" s="13">
        <v>0.0656951168972132</v>
      </c>
      <c r="U118" s="13">
        <v>0.0355716948114327</v>
      </c>
      <c r="V118" s="13">
        <v>0.0254473576229037</v>
      </c>
      <c r="W118" s="13">
        <v>0.0168234925793183</v>
      </c>
      <c r="X118" s="13">
        <v>0.0145513474419181</v>
      </c>
      <c r="Y118" s="13">
        <v>0.0132549916155207</v>
      </c>
      <c r="Z118" s="13">
        <v>0.0208234918307029</v>
      </c>
      <c r="AA118" s="13">
        <v>0.0186966232239372</v>
      </c>
      <c r="AB118" s="13">
        <v>0.0171194714702496</v>
      </c>
      <c r="AC118" s="13">
        <v>0.0136871563827886</v>
      </c>
      <c r="AD118" s="13">
        <v>0.0101503844186698</v>
      </c>
      <c r="AE118" s="13">
        <v>0.0319490848244336</v>
      </c>
      <c r="AF118" s="13">
        <v>0.0212322746226093</v>
      </c>
      <c r="AG118" s="13">
        <v>0.0185104523214318</v>
      </c>
      <c r="AH118" s="13">
        <v>0.0262102639440868</v>
      </c>
      <c r="AI118" s="13">
        <v>0.00976595877516462</v>
      </c>
    </row>
    <row r="119" spans="4:35">
      <c r="D119" s="13" t="s">
        <v>15</v>
      </c>
      <c r="E119" s="13">
        <v>0.0410568007589731</v>
      </c>
      <c r="F119" s="13">
        <v>0.0419979288517514</v>
      </c>
      <c r="G119" s="13">
        <v>0.0629613058592713</v>
      </c>
      <c r="H119" s="13">
        <v>0.0715010132169889</v>
      </c>
      <c r="I119" s="13">
        <v>0.0367575558100915</v>
      </c>
      <c r="J119" s="13">
        <v>0.0218795178667917</v>
      </c>
      <c r="K119" s="13">
        <v>0.0177673809402347</v>
      </c>
      <c r="L119" s="13">
        <v>0.0154874438786758</v>
      </c>
      <c r="M119" s="13">
        <v>0.0308562923017614</v>
      </c>
      <c r="N119" s="13">
        <v>0.0468855141086561</v>
      </c>
      <c r="O119" s="13">
        <v>0.0321858879535753</v>
      </c>
      <c r="P119" s="13">
        <v>0.0529879406317913</v>
      </c>
      <c r="Q119" s="13">
        <v>0.0234005055642652</v>
      </c>
      <c r="R119" s="13">
        <v>0.036131421703969</v>
      </c>
      <c r="S119" s="13">
        <v>0.0650520389562866</v>
      </c>
      <c r="T119" s="13">
        <v>0</v>
      </c>
      <c r="U119" s="13">
        <v>0.0549742293671897</v>
      </c>
      <c r="V119" s="13">
        <v>0.0358678331556211</v>
      </c>
      <c r="W119" s="13">
        <v>0.0200970873543904</v>
      </c>
      <c r="X119" s="13">
        <v>0.0178434430824104</v>
      </c>
      <c r="Y119" s="13">
        <v>0.0155454107367725</v>
      </c>
      <c r="Z119" s="13">
        <v>0.0301700290206776</v>
      </c>
      <c r="AA119" s="13">
        <v>0.0257690251089924</v>
      </c>
      <c r="AB119" s="13">
        <v>0.0226631930510849</v>
      </c>
      <c r="AC119" s="13">
        <v>0.0170911007736773</v>
      </c>
      <c r="AD119" s="13">
        <v>0.0117058422623076</v>
      </c>
      <c r="AE119" s="13">
        <v>0.0571949848959035</v>
      </c>
      <c r="AF119" s="13">
        <v>0.0278090062910947</v>
      </c>
      <c r="AG119" s="13">
        <v>0.0231179401204214</v>
      </c>
      <c r="AH119" s="13">
        <v>0.0328612809051328</v>
      </c>
      <c r="AI119" s="13">
        <v>0.0103810454712401</v>
      </c>
    </row>
    <row r="120" spans="4:35">
      <c r="D120" s="13" t="s">
        <v>16</v>
      </c>
      <c r="E120" s="13">
        <v>0.0240413014948386</v>
      </c>
      <c r="F120" s="13">
        <v>0.0249838681652254</v>
      </c>
      <c r="G120" s="13">
        <v>0.0293178702700275</v>
      </c>
      <c r="H120" s="13">
        <v>0.030598348957728</v>
      </c>
      <c r="I120" s="13">
        <v>0.0216759295169388</v>
      </c>
      <c r="J120" s="13">
        <v>0.0168810276565747</v>
      </c>
      <c r="K120" s="13">
        <v>0.0142082003654419</v>
      </c>
      <c r="L120" s="13">
        <v>0.0125993501980262</v>
      </c>
      <c r="M120" s="13">
        <v>0.0364551394234371</v>
      </c>
      <c r="N120" s="13">
        <v>0.0557252074916041</v>
      </c>
      <c r="O120" s="13">
        <v>0.0438790983317463</v>
      </c>
      <c r="P120" s="13">
        <v>0.0795621179132185</v>
      </c>
      <c r="Q120" s="13">
        <v>0.0364986499058428</v>
      </c>
      <c r="R120" s="13">
        <v>0.0981651643011961</v>
      </c>
      <c r="S120" s="13">
        <v>0.0346290665017213</v>
      </c>
      <c r="T120" s="13">
        <v>0.0540464973283875</v>
      </c>
      <c r="U120" s="13">
        <v>0</v>
      </c>
      <c r="V120" s="13">
        <v>0.0857800357039107</v>
      </c>
      <c r="W120" s="13">
        <v>0.0306897765675935</v>
      </c>
      <c r="X120" s="13">
        <v>0.023635184882918</v>
      </c>
      <c r="Y120" s="13">
        <v>0.020567601439569</v>
      </c>
      <c r="Z120" s="13">
        <v>0.0338078330439865</v>
      </c>
      <c r="AA120" s="13">
        <v>0.0257407770780661</v>
      </c>
      <c r="AB120" s="13">
        <v>0.0284539582073591</v>
      </c>
      <c r="AC120" s="13">
        <v>0.0192691273447615</v>
      </c>
      <c r="AD120" s="13">
        <v>0.0112495374614061</v>
      </c>
      <c r="AE120" s="13">
        <v>0.0369744299644352</v>
      </c>
      <c r="AF120" s="13">
        <v>0.0212756368397038</v>
      </c>
      <c r="AG120" s="13">
        <v>0.0184664819502477</v>
      </c>
      <c r="AH120" s="13">
        <v>0.0218112505699044</v>
      </c>
      <c r="AI120" s="13">
        <v>0.00901153112418363</v>
      </c>
    </row>
    <row r="121" spans="4:35">
      <c r="D121" s="13" t="s">
        <v>17</v>
      </c>
      <c r="E121" s="13">
        <v>0.0212877778469893</v>
      </c>
      <c r="F121" s="13">
        <v>0.0218261646010416</v>
      </c>
      <c r="G121" s="13">
        <v>0.0251603154449005</v>
      </c>
      <c r="H121" s="13">
        <v>0.0267092329211272</v>
      </c>
      <c r="I121" s="13">
        <v>0.020299066808483</v>
      </c>
      <c r="J121" s="13">
        <v>0.0157852578669132</v>
      </c>
      <c r="K121" s="13">
        <v>0.0136412729590796</v>
      </c>
      <c r="L121" s="13">
        <v>0.0122960317931592</v>
      </c>
      <c r="M121" s="13">
        <v>0.0309181788022559</v>
      </c>
      <c r="N121" s="13">
        <v>0.0392724270975392</v>
      </c>
      <c r="O121" s="13">
        <v>0.0366453481681281</v>
      </c>
      <c r="P121" s="13">
        <v>0.0481332572464136</v>
      </c>
      <c r="Q121" s="13">
        <v>0.0404574743968112</v>
      </c>
      <c r="R121" s="13">
        <v>0.0959791270703551</v>
      </c>
      <c r="S121" s="13">
        <v>0.0277228006849882</v>
      </c>
      <c r="T121" s="13">
        <v>0.0394613307347383</v>
      </c>
      <c r="U121" s="13">
        <v>0.0959940699577631</v>
      </c>
      <c r="V121" s="13">
        <v>0</v>
      </c>
      <c r="W121" s="13">
        <v>0.0496943713228938</v>
      </c>
      <c r="X121" s="13">
        <v>0.0364732759477461</v>
      </c>
      <c r="Y121" s="13">
        <v>0.0300032488409673</v>
      </c>
      <c r="Z121" s="13">
        <v>0.0457732004521727</v>
      </c>
      <c r="AA121" s="13">
        <v>0.0322763662709251</v>
      </c>
      <c r="AB121" s="13">
        <v>0.0436655506800339</v>
      </c>
      <c r="AC121" s="13">
        <v>0.0262197945696427</v>
      </c>
      <c r="AD121" s="13">
        <v>0.01334704517675</v>
      </c>
      <c r="AE121" s="13">
        <v>0.0361689438641663</v>
      </c>
      <c r="AF121" s="13">
        <v>0.0228152445798977</v>
      </c>
      <c r="AG121" s="13">
        <v>0.0201432583718309</v>
      </c>
      <c r="AH121" s="13">
        <v>0.0219221860654795</v>
      </c>
      <c r="AI121" s="13">
        <v>0.00990837945680784</v>
      </c>
    </row>
    <row r="122" spans="4:35">
      <c r="D122" s="13" t="s">
        <v>18</v>
      </c>
      <c r="E122" s="13">
        <v>0.0203427675001286</v>
      </c>
      <c r="F122" s="13">
        <v>0.0208205620234539</v>
      </c>
      <c r="G122" s="13">
        <v>0.0226599400475146</v>
      </c>
      <c r="H122" s="13">
        <v>0.0234367157081739</v>
      </c>
      <c r="I122" s="13">
        <v>0.0194311060192497</v>
      </c>
      <c r="J122" s="13">
        <v>0.0167525480023569</v>
      </c>
      <c r="K122" s="13">
        <v>0.0149157875175402</v>
      </c>
      <c r="L122" s="13">
        <v>0.0136755084912578</v>
      </c>
      <c r="M122" s="13">
        <v>0.03131105827065</v>
      </c>
      <c r="N122" s="13">
        <v>0.0335512405202098</v>
      </c>
      <c r="O122" s="13">
        <v>0.036015656499783</v>
      </c>
      <c r="P122" s="13">
        <v>0.0370158651182802</v>
      </c>
      <c r="Q122" s="13">
        <v>0.0543421395447883</v>
      </c>
      <c r="R122" s="13">
        <v>0.0590540206374144</v>
      </c>
      <c r="S122" s="13">
        <v>0.0247086427622513</v>
      </c>
      <c r="T122" s="13">
        <v>0.0298083561167319</v>
      </c>
      <c r="U122" s="13">
        <v>0.0463009849022867</v>
      </c>
      <c r="V122" s="13">
        <v>0.0669954827452567</v>
      </c>
      <c r="W122" s="13">
        <v>0</v>
      </c>
      <c r="X122" s="13">
        <v>0.0737111805810958</v>
      </c>
      <c r="Y122" s="13">
        <v>0.0826835631185399</v>
      </c>
      <c r="Z122" s="13">
        <v>0.0385915480602361</v>
      </c>
      <c r="AA122" s="13">
        <v>0.0310448807218853</v>
      </c>
      <c r="AB122" s="13">
        <v>0.0490059995754248</v>
      </c>
      <c r="AC122" s="13">
        <v>0.0339971630316246</v>
      </c>
      <c r="AD122" s="13">
        <v>0.0163771480158873</v>
      </c>
      <c r="AE122" s="13">
        <v>0.0287797458086182</v>
      </c>
      <c r="AF122" s="13">
        <v>0.0220159034873292</v>
      </c>
      <c r="AG122" s="13">
        <v>0.0203341131583575</v>
      </c>
      <c r="AH122" s="13">
        <v>0.0207901559206028</v>
      </c>
      <c r="AI122" s="13">
        <v>0.0115302160930707</v>
      </c>
    </row>
    <row r="123" spans="4:35">
      <c r="D123" s="13" t="s">
        <v>19</v>
      </c>
      <c r="E123" s="13">
        <v>0.0187871751192341</v>
      </c>
      <c r="F123" s="13">
        <v>0.0189741591021578</v>
      </c>
      <c r="G123" s="13">
        <v>0.0210664268193973</v>
      </c>
      <c r="H123" s="13">
        <v>0.0223257460579712</v>
      </c>
      <c r="I123" s="13">
        <v>0.0189793988751504</v>
      </c>
      <c r="J123" s="13">
        <v>0.0151422147474877</v>
      </c>
      <c r="K123" s="13">
        <v>0.0136461096569332</v>
      </c>
      <c r="L123" s="13">
        <v>0.0126463669392786</v>
      </c>
      <c r="M123" s="13">
        <v>0.0237797256069564</v>
      </c>
      <c r="N123" s="13">
        <v>0.0261810988566322</v>
      </c>
      <c r="O123" s="13">
        <v>0.0263017484960596</v>
      </c>
      <c r="P123" s="13">
        <v>0.0286461113838091</v>
      </c>
      <c r="Q123" s="13">
        <v>0.0324998636718188</v>
      </c>
      <c r="R123" s="13">
        <v>0.0388380710658475</v>
      </c>
      <c r="S123" s="13">
        <v>0.0217637165913837</v>
      </c>
      <c r="T123" s="13">
        <v>0.0269513601538402</v>
      </c>
      <c r="U123" s="13">
        <v>0.0363122055786067</v>
      </c>
      <c r="V123" s="13">
        <v>0.0500737612619363</v>
      </c>
      <c r="W123" s="13">
        <v>0.0750637901105839</v>
      </c>
      <c r="X123" s="13">
        <v>0</v>
      </c>
      <c r="Y123" s="13">
        <v>0.111745861530907</v>
      </c>
      <c r="Z123" s="13">
        <v>0.0475742905111832</v>
      </c>
      <c r="AA123" s="13">
        <v>0.0395046050694634</v>
      </c>
      <c r="AB123" s="13">
        <v>0.0824218163817419</v>
      </c>
      <c r="AC123" s="13">
        <v>0.058883082275079</v>
      </c>
      <c r="AD123" s="13">
        <v>0.0205256773050297</v>
      </c>
      <c r="AE123" s="13">
        <v>0.0295442424648255</v>
      </c>
      <c r="AF123" s="13">
        <v>0.0244076593218934</v>
      </c>
      <c r="AG123" s="13">
        <v>0.0229311756495037</v>
      </c>
      <c r="AH123" s="13">
        <v>0.0217500791610858</v>
      </c>
      <c r="AI123" s="13">
        <v>0.0127324602342025</v>
      </c>
    </row>
    <row r="124" spans="4:35">
      <c r="D124" s="13" t="s">
        <v>20</v>
      </c>
      <c r="E124" s="13">
        <v>0.0196049853459871</v>
      </c>
      <c r="F124" s="13">
        <v>0.0198937544694118</v>
      </c>
      <c r="G124" s="13">
        <v>0.021592437184138</v>
      </c>
      <c r="H124" s="13">
        <v>0.0224874665092611</v>
      </c>
      <c r="I124" s="13">
        <v>0.0193388445006899</v>
      </c>
      <c r="J124" s="13">
        <v>0.0164063870766569</v>
      </c>
      <c r="K124" s="13">
        <v>0.0148645858148644</v>
      </c>
      <c r="L124" s="13">
        <v>0.0138035775182152</v>
      </c>
      <c r="M124" s="13">
        <v>0.0265226040838839</v>
      </c>
      <c r="N124" s="13">
        <v>0.0280865606528253</v>
      </c>
      <c r="O124" s="13">
        <v>0.0293005620989942</v>
      </c>
      <c r="P124" s="13">
        <v>0.0302598568560488</v>
      </c>
      <c r="Q124" s="13">
        <v>0.0387487524613972</v>
      </c>
      <c r="R124" s="13">
        <v>0.0408707838396847</v>
      </c>
      <c r="S124" s="13">
        <v>0.0227318767457592</v>
      </c>
      <c r="T124" s="13">
        <v>0.0269234191800065</v>
      </c>
      <c r="U124" s="13">
        <v>0.0362329134323826</v>
      </c>
      <c r="V124" s="13">
        <v>0.0472312793895442</v>
      </c>
      <c r="W124" s="13">
        <v>0.0965477793813311</v>
      </c>
      <c r="X124" s="13">
        <v>0.128131948943976</v>
      </c>
      <c r="Y124" s="13">
        <v>0</v>
      </c>
      <c r="Z124" s="13">
        <v>0.0391163789714806</v>
      </c>
      <c r="AA124" s="13">
        <v>0.0336446761075612</v>
      </c>
      <c r="AB124" s="13">
        <v>0.0548751608426855</v>
      </c>
      <c r="AC124" s="13">
        <v>0.0452131448716252</v>
      </c>
      <c r="AD124" s="13">
        <v>0.020122941633768</v>
      </c>
      <c r="AE124" s="13">
        <v>0.0278536608633933</v>
      </c>
      <c r="AF124" s="13">
        <v>0.0232210759399302</v>
      </c>
      <c r="AG124" s="13">
        <v>0.0219445293791381</v>
      </c>
      <c r="AH124" s="13">
        <v>0.0213199994787894</v>
      </c>
      <c r="AI124" s="13">
        <v>0.013108056426571</v>
      </c>
    </row>
    <row r="125" spans="4:35">
      <c r="D125" s="13" t="s">
        <v>21</v>
      </c>
      <c r="E125" s="13">
        <v>0.021207181337891</v>
      </c>
      <c r="F125" s="13">
        <v>0.0210610775701707</v>
      </c>
      <c r="G125" s="13">
        <v>0.0254985580674911</v>
      </c>
      <c r="H125" s="13">
        <v>0.0290915392327903</v>
      </c>
      <c r="I125" s="13">
        <v>0.0233257789487385</v>
      </c>
      <c r="J125" s="13">
        <v>0.0150182002959431</v>
      </c>
      <c r="K125" s="13">
        <v>0.013267662139022</v>
      </c>
      <c r="L125" s="13">
        <v>0.0121768376063238</v>
      </c>
      <c r="M125" s="13">
        <v>0.0211060974575363</v>
      </c>
      <c r="N125" s="13">
        <v>0.0257067482878041</v>
      </c>
      <c r="O125" s="13">
        <v>0.0229825713889487</v>
      </c>
      <c r="P125" s="13">
        <v>0.0289155416580046</v>
      </c>
      <c r="Q125" s="13">
        <v>0.0230740440016596</v>
      </c>
      <c r="R125" s="13">
        <v>0.0339348317932075</v>
      </c>
      <c r="S125" s="13">
        <v>0.0243729575293751</v>
      </c>
      <c r="T125" s="13">
        <v>0.0356617440870213</v>
      </c>
      <c r="U125" s="13">
        <v>0.0406476818866715</v>
      </c>
      <c r="V125" s="13">
        <v>0.0491780772391765</v>
      </c>
      <c r="W125" s="13">
        <v>0.0307548877020929</v>
      </c>
      <c r="X125" s="13">
        <v>0.0372303521185144</v>
      </c>
      <c r="Y125" s="13">
        <v>0.0266966940663827</v>
      </c>
      <c r="Z125" s="13">
        <v>0</v>
      </c>
      <c r="AA125" s="13">
        <v>0.116967847350787</v>
      </c>
      <c r="AB125" s="13">
        <v>0.083408755727833</v>
      </c>
      <c r="AC125" s="13">
        <v>0.0463109658099074</v>
      </c>
      <c r="AD125" s="13">
        <v>0.0201338336601615</v>
      </c>
      <c r="AE125" s="13">
        <v>0.0552570090173651</v>
      </c>
      <c r="AF125" s="13">
        <v>0.0389983337990776</v>
      </c>
      <c r="AG125" s="13">
        <v>0.0337807314607058</v>
      </c>
      <c r="AH125" s="13">
        <v>0.0311303500517727</v>
      </c>
      <c r="AI125" s="13">
        <v>0.0131031087076237</v>
      </c>
    </row>
    <row r="126" spans="4:35">
      <c r="D126" s="13" t="s">
        <v>22</v>
      </c>
      <c r="E126" s="13">
        <v>0.0218207604379587</v>
      </c>
      <c r="F126" s="13">
        <v>0.0214594735266631</v>
      </c>
      <c r="G126" s="13">
        <v>0.0259156953022489</v>
      </c>
      <c r="H126" s="13">
        <v>0.0298071575207775</v>
      </c>
      <c r="I126" s="13">
        <v>0.0251823437007551</v>
      </c>
      <c r="J126" s="13">
        <v>0.0155164335865552</v>
      </c>
      <c r="K126" s="13">
        <v>0.0138597937905086</v>
      </c>
      <c r="L126" s="13">
        <v>0.0128260488881603</v>
      </c>
      <c r="M126" s="13">
        <v>0.0199114633303039</v>
      </c>
      <c r="N126" s="13">
        <v>0.0237481605293388</v>
      </c>
      <c r="O126" s="13">
        <v>0.0212989942822319</v>
      </c>
      <c r="P126" s="13">
        <v>0.0261046373458248</v>
      </c>
      <c r="Q126" s="13">
        <v>0.0210592956300579</v>
      </c>
      <c r="R126" s="13">
        <v>0.0288831370570108</v>
      </c>
      <c r="S126" s="13">
        <v>0.023890921870168</v>
      </c>
      <c r="T126" s="13">
        <v>0.0332536940598465</v>
      </c>
      <c r="U126" s="13">
        <v>0.0337874299712953</v>
      </c>
      <c r="V126" s="13">
        <v>0.0378581996866719</v>
      </c>
      <c r="W126" s="13">
        <v>0.0270101501194607</v>
      </c>
      <c r="X126" s="13">
        <v>0.0337510746046207</v>
      </c>
      <c r="Y126" s="13">
        <v>0.0250686096790624</v>
      </c>
      <c r="Z126" s="13">
        <v>0.127697252828623</v>
      </c>
      <c r="AA126" s="13">
        <v>0</v>
      </c>
      <c r="AB126" s="13">
        <v>0.0647499085548353</v>
      </c>
      <c r="AC126" s="13">
        <v>0.0532041544017366</v>
      </c>
      <c r="AD126" s="13">
        <v>0.026228792349572</v>
      </c>
      <c r="AE126" s="13">
        <v>0.054943281832351</v>
      </c>
      <c r="AF126" s="13">
        <v>0.0521782250983303</v>
      </c>
      <c r="AG126" s="13">
        <v>0.0464886740402464</v>
      </c>
      <c r="AH126" s="13">
        <v>0.0366168676884134</v>
      </c>
      <c r="AI126" s="13">
        <v>0.0158793682863713</v>
      </c>
    </row>
    <row r="127" spans="4:35">
      <c r="D127" s="13" t="s">
        <v>23</v>
      </c>
      <c r="E127" s="13">
        <v>0.0193884846732667</v>
      </c>
      <c r="F127" s="13">
        <v>0.0194123277785673</v>
      </c>
      <c r="G127" s="13">
        <v>0.0224345248072155</v>
      </c>
      <c r="H127" s="13">
        <v>0.0245815952262488</v>
      </c>
      <c r="I127" s="13">
        <v>0.0204595771996118</v>
      </c>
      <c r="J127" s="13">
        <v>0.0146843751465399</v>
      </c>
      <c r="K127" s="13">
        <v>0.0131211447732624</v>
      </c>
      <c r="L127" s="13">
        <v>0.0121161232236295</v>
      </c>
      <c r="M127" s="13">
        <v>0.0217118455308428</v>
      </c>
      <c r="N127" s="13">
        <v>0.0252383788448018</v>
      </c>
      <c r="O127" s="13">
        <v>0.0238557956731458</v>
      </c>
      <c r="P127" s="13">
        <v>0.0280837065809422</v>
      </c>
      <c r="Q127" s="13">
        <v>0.0263138407297466</v>
      </c>
      <c r="R127" s="13">
        <v>0.0360335593700629</v>
      </c>
      <c r="S127" s="13">
        <v>0.0223244796667292</v>
      </c>
      <c r="T127" s="13">
        <v>0.0298458716683506</v>
      </c>
      <c r="U127" s="13">
        <v>0.0381151343732035</v>
      </c>
      <c r="V127" s="13">
        <v>0.0522679569633472</v>
      </c>
      <c r="W127" s="13">
        <v>0.0435118466428422</v>
      </c>
      <c r="X127" s="13">
        <v>0.0718626655955746</v>
      </c>
      <c r="Y127" s="13">
        <v>0.0417264044813685</v>
      </c>
      <c r="Z127" s="13">
        <v>0.0929282931497192</v>
      </c>
      <c r="AA127" s="13">
        <v>0.066078537189023</v>
      </c>
      <c r="AB127" s="13">
        <v>0</v>
      </c>
      <c r="AC127" s="13">
        <v>0.0785549792749321</v>
      </c>
      <c r="AD127" s="13">
        <v>0.0217168222697927</v>
      </c>
      <c r="AE127" s="13">
        <v>0.0374836613695702</v>
      </c>
      <c r="AF127" s="13">
        <v>0.0301156782784752</v>
      </c>
      <c r="AG127" s="13">
        <v>0.0276976851412945</v>
      </c>
      <c r="AH127" s="13">
        <v>0.0252682768909181</v>
      </c>
      <c r="AI127" s="13">
        <v>0.0130664274869752</v>
      </c>
    </row>
    <row r="128" spans="4:35">
      <c r="D128" s="13" t="s">
        <v>24</v>
      </c>
      <c r="E128" s="13">
        <v>0.0206187075090027</v>
      </c>
      <c r="F128" s="13">
        <v>0.0205116887422402</v>
      </c>
      <c r="G128" s="13">
        <v>0.0233151668321484</v>
      </c>
      <c r="H128" s="13">
        <v>0.0254090825266114</v>
      </c>
      <c r="I128" s="13">
        <v>0.0223145930565004</v>
      </c>
      <c r="J128" s="13">
        <v>0.0160764520062592</v>
      </c>
      <c r="K128" s="13">
        <v>0.0146132962957361</v>
      </c>
      <c r="L128" s="13">
        <v>0.0136607939949744</v>
      </c>
      <c r="M128" s="13">
        <v>0.0216435188371429</v>
      </c>
      <c r="N128" s="13">
        <v>0.0243920460868705</v>
      </c>
      <c r="O128" s="13">
        <v>0.0232719693878187</v>
      </c>
      <c r="P128" s="13">
        <v>0.0264252739944729</v>
      </c>
      <c r="Q128" s="13">
        <v>0.0252951526112661</v>
      </c>
      <c r="R128" s="13">
        <v>0.0314220632415797</v>
      </c>
      <c r="S128" s="13">
        <v>0.0226978260674947</v>
      </c>
      <c r="T128" s="13">
        <v>0.0286228744519075</v>
      </c>
      <c r="U128" s="13">
        <v>0.0328244043957705</v>
      </c>
      <c r="V128" s="13">
        <v>0.0399122222856946</v>
      </c>
      <c r="W128" s="13">
        <v>0.038386718048851</v>
      </c>
      <c r="X128" s="13">
        <v>0.0652877524825093</v>
      </c>
      <c r="Y128" s="13">
        <v>0.0437199760398743</v>
      </c>
      <c r="Z128" s="13">
        <v>0.0656145565109489</v>
      </c>
      <c r="AA128" s="13">
        <v>0.0690473233580157</v>
      </c>
      <c r="AB128" s="13">
        <v>0.0998973022309954</v>
      </c>
      <c r="AC128" s="13">
        <v>0</v>
      </c>
      <c r="AD128" s="13">
        <v>0.034933323960372</v>
      </c>
      <c r="AE128" s="13">
        <v>0.0362276458579968</v>
      </c>
      <c r="AF128" s="13">
        <v>0.0347013545521843</v>
      </c>
      <c r="AG128" s="13">
        <v>0.0336976286244563</v>
      </c>
      <c r="AH128" s="13">
        <v>0.0281602581862899</v>
      </c>
      <c r="AI128" s="13">
        <v>0.0172990278240152</v>
      </c>
    </row>
    <row r="129" spans="4:35">
      <c r="D129" s="13" t="s">
        <v>25</v>
      </c>
      <c r="E129" s="13">
        <v>0.0265648431207595</v>
      </c>
      <c r="F129" s="13">
        <v>0.0260074698349657</v>
      </c>
      <c r="G129" s="13">
        <v>0.0289728930799287</v>
      </c>
      <c r="H129" s="13">
        <v>0.0314027217854257</v>
      </c>
      <c r="I129" s="13">
        <v>0.0306312974934102</v>
      </c>
      <c r="J129" s="13">
        <v>0.0213147568826978</v>
      </c>
      <c r="K129" s="13">
        <v>0.0199714646527651</v>
      </c>
      <c r="L129" s="13">
        <v>0.0191237449352174</v>
      </c>
      <c r="M129" s="13">
        <v>0.0234177243803138</v>
      </c>
      <c r="N129" s="13">
        <v>0.0258453258511334</v>
      </c>
      <c r="O129" s="13">
        <v>0.0242920246799741</v>
      </c>
      <c r="P129" s="13">
        <v>0.0270922965463087</v>
      </c>
      <c r="Q129" s="13">
        <v>0.024381377447353</v>
      </c>
      <c r="R129" s="13">
        <v>0.0285207138194658</v>
      </c>
      <c r="S129" s="13">
        <v>0.0268039092207099</v>
      </c>
      <c r="T129" s="13">
        <v>0.0312169516753733</v>
      </c>
      <c r="U129" s="13">
        <v>0.030515050117732</v>
      </c>
      <c r="V129" s="13">
        <v>0.0323523899925045</v>
      </c>
      <c r="W129" s="13">
        <v>0.0294456531987657</v>
      </c>
      <c r="X129" s="13">
        <v>0.0362395914985313</v>
      </c>
      <c r="Y129" s="13">
        <v>0.0309849842971797</v>
      </c>
      <c r="Z129" s="13">
        <v>0.045424216960324</v>
      </c>
      <c r="AA129" s="13">
        <v>0.0542031106781414</v>
      </c>
      <c r="AB129" s="13">
        <v>0.0439765274135614</v>
      </c>
      <c r="AC129" s="13">
        <v>0.0556268573538329</v>
      </c>
      <c r="AD129" s="13">
        <v>0</v>
      </c>
      <c r="AE129" s="13">
        <v>0.0391811517159652</v>
      </c>
      <c r="AF129" s="13">
        <v>0.0493892952166361</v>
      </c>
      <c r="AG129" s="13">
        <v>0.0547220959625224</v>
      </c>
      <c r="AH129" s="13">
        <v>0.039882634650086</v>
      </c>
      <c r="AI129" s="13">
        <v>0.0424969255384154</v>
      </c>
    </row>
    <row r="130" spans="4:35">
      <c r="D130" s="13" t="s">
        <v>26</v>
      </c>
      <c r="E130" s="13">
        <v>0.0316883983254687</v>
      </c>
      <c r="F130" s="13">
        <v>0.0307702283220087</v>
      </c>
      <c r="G130" s="13">
        <v>0.0429330610805598</v>
      </c>
      <c r="H130" s="13">
        <v>0.0568892771577039</v>
      </c>
      <c r="I130" s="13">
        <v>0.0385666085837339</v>
      </c>
      <c r="J130" s="13">
        <v>0.0188931376561763</v>
      </c>
      <c r="K130" s="13">
        <v>0.0162236413683369</v>
      </c>
      <c r="L130" s="13">
        <v>0.014646852091444</v>
      </c>
      <c r="M130" s="13">
        <v>0.0232382096424084</v>
      </c>
      <c r="N130" s="13">
        <v>0.030215486841526</v>
      </c>
      <c r="O130" s="13">
        <v>0.0245105694790312</v>
      </c>
      <c r="P130" s="13">
        <v>0.033594615877588</v>
      </c>
      <c r="Q130" s="13">
        <v>0.0211126129352181</v>
      </c>
      <c r="R130" s="13">
        <v>0.0311566407622668</v>
      </c>
      <c r="S130" s="13">
        <v>0.0357411192640972</v>
      </c>
      <c r="T130" s="13">
        <v>0.0646159676270314</v>
      </c>
      <c r="U130" s="13">
        <v>0.0424888509827051</v>
      </c>
      <c r="V130" s="13">
        <v>0.037140790623303</v>
      </c>
      <c r="W130" s="13">
        <v>0.0219211811334018</v>
      </c>
      <c r="X130" s="13">
        <v>0.0220979880180337</v>
      </c>
      <c r="Y130" s="13">
        <v>0.0181692154387841</v>
      </c>
      <c r="Z130" s="13">
        <v>0.0528131929876439</v>
      </c>
      <c r="AA130" s="13">
        <v>0.0481010538279442</v>
      </c>
      <c r="AB130" s="13">
        <v>0.0321559051819124</v>
      </c>
      <c r="AC130" s="13">
        <v>0.0244387396939446</v>
      </c>
      <c r="AD130" s="13">
        <v>0.0165985929955452</v>
      </c>
      <c r="AE130" s="13">
        <v>0</v>
      </c>
      <c r="AF130" s="13">
        <v>0.0569037135713406</v>
      </c>
      <c r="AG130" s="13">
        <v>0.0417243014670374</v>
      </c>
      <c r="AH130" s="13">
        <v>0.056958669784164</v>
      </c>
      <c r="AI130" s="13">
        <v>0.0136913772796408</v>
      </c>
    </row>
    <row r="131" spans="4:35">
      <c r="D131" s="13" t="s">
        <v>27</v>
      </c>
      <c r="E131" s="13">
        <v>0.026394078573229</v>
      </c>
      <c r="F131" s="13">
        <v>0.0251148987110691</v>
      </c>
      <c r="G131" s="13">
        <v>0.0318018889787577</v>
      </c>
      <c r="H131" s="13">
        <v>0.0389173517474945</v>
      </c>
      <c r="I131" s="13">
        <v>0.0368480153830636</v>
      </c>
      <c r="J131" s="13">
        <v>0.0172529282916935</v>
      </c>
      <c r="K131" s="13">
        <v>0.0154356077552718</v>
      </c>
      <c r="L131" s="13">
        <v>0.0143305645212244</v>
      </c>
      <c r="M131" s="13">
        <v>0.0180375286001616</v>
      </c>
      <c r="N131" s="13">
        <v>0.0215985738941029</v>
      </c>
      <c r="O131" s="13">
        <v>0.0186469424011827</v>
      </c>
      <c r="P131" s="13">
        <v>0.0230127481047691</v>
      </c>
      <c r="Q131" s="13">
        <v>0.0168235668865817</v>
      </c>
      <c r="R131" s="13">
        <v>0.0220918149434943</v>
      </c>
      <c r="S131" s="13">
        <v>0.0258176772055574</v>
      </c>
      <c r="T131" s="13">
        <v>0.0341490235810157</v>
      </c>
      <c r="U131" s="13">
        <v>0.0265746152570445</v>
      </c>
      <c r="V131" s="13">
        <v>0.025465450477865</v>
      </c>
      <c r="W131" s="13">
        <v>0.0182273875242058</v>
      </c>
      <c r="X131" s="13">
        <v>0.0198434383048042</v>
      </c>
      <c r="Y131" s="13">
        <v>0.0164644469566583</v>
      </c>
      <c r="Z131" s="13">
        <v>0.0405146434400099</v>
      </c>
      <c r="AA131" s="13">
        <v>0.0496523963991034</v>
      </c>
      <c r="AB131" s="13">
        <v>0.0280816291744192</v>
      </c>
      <c r="AC131" s="13">
        <v>0.0254446239646543</v>
      </c>
      <c r="AD131" s="13">
        <v>0.0227424801599775</v>
      </c>
      <c r="AE131" s="13">
        <v>0.0618516838154925</v>
      </c>
      <c r="AF131" s="13">
        <v>0</v>
      </c>
      <c r="AG131" s="13">
        <v>0.16792308002509</v>
      </c>
      <c r="AH131" s="13">
        <v>0.0914651275114797</v>
      </c>
      <c r="AI131" s="13">
        <v>0.0194757874105267</v>
      </c>
    </row>
    <row r="132" spans="4:35">
      <c r="D132" s="13" t="s">
        <v>28</v>
      </c>
      <c r="E132" s="13">
        <v>0.0261116322360084</v>
      </c>
      <c r="F132" s="13">
        <v>0.0248897330088822</v>
      </c>
      <c r="G132" s="13">
        <v>0.0304352403622774</v>
      </c>
      <c r="H132" s="13">
        <v>0.035976956706374</v>
      </c>
      <c r="I132" s="13">
        <v>0.0357981586712265</v>
      </c>
      <c r="J132" s="13">
        <v>0.0178376679148358</v>
      </c>
      <c r="K132" s="13">
        <v>0.0161713139999684</v>
      </c>
      <c r="L132" s="13">
        <v>0.015152416353949</v>
      </c>
      <c r="M132" s="13">
        <v>0.0182368440333239</v>
      </c>
      <c r="N132" s="13">
        <v>0.0214272647101679</v>
      </c>
      <c r="O132" s="13">
        <v>0.0188001844495149</v>
      </c>
      <c r="P132" s="13">
        <v>0.0226715031224507</v>
      </c>
      <c r="Q132" s="13">
        <v>0.017207809071129</v>
      </c>
      <c r="R132" s="13">
        <v>0.0220130439274805</v>
      </c>
      <c r="S132" s="13">
        <v>0.0252009154499395</v>
      </c>
      <c r="T132" s="13">
        <v>0.0317848815130785</v>
      </c>
      <c r="U132" s="13">
        <v>0.0258254100015217</v>
      </c>
      <c r="V132" s="13">
        <v>0.0251729782115853</v>
      </c>
      <c r="W132" s="13">
        <v>0.0188491509560171</v>
      </c>
      <c r="X132" s="13">
        <v>0.0208735230372523</v>
      </c>
      <c r="Y132" s="13">
        <v>0.0174208652762544</v>
      </c>
      <c r="Z132" s="13">
        <v>0.0392928617606166</v>
      </c>
      <c r="AA132" s="13">
        <v>0.0495309563459526</v>
      </c>
      <c r="AB132" s="13">
        <v>0.0289169022768603</v>
      </c>
      <c r="AC132" s="13">
        <v>0.0276648035934421</v>
      </c>
      <c r="AD132" s="13">
        <v>0.0282128111123593</v>
      </c>
      <c r="AE132" s="13">
        <v>0.0507783557936914</v>
      </c>
      <c r="AF132" s="13">
        <v>0.18801349975793</v>
      </c>
      <c r="AG132" s="13">
        <v>0</v>
      </c>
      <c r="AH132" s="13">
        <v>0.0753632475647165</v>
      </c>
      <c r="AI132" s="13">
        <v>0.0243690687811934</v>
      </c>
    </row>
    <row r="133" spans="4:35">
      <c r="D133" s="13" t="s">
        <v>29</v>
      </c>
      <c r="E133" s="13">
        <v>0.0369661545774715</v>
      </c>
      <c r="F133" s="13">
        <v>0.0341909663897807</v>
      </c>
      <c r="G133" s="13">
        <v>0.0458456637628555</v>
      </c>
      <c r="H133" s="13">
        <v>0.0596571853597084</v>
      </c>
      <c r="I133" s="13">
        <v>0.0635558363583598</v>
      </c>
      <c r="J133" s="13">
        <v>0.0217849598217257</v>
      </c>
      <c r="K133" s="13">
        <v>0.0192214429115046</v>
      </c>
      <c r="L133" s="13">
        <v>0.0176826157265509</v>
      </c>
      <c r="M133" s="13">
        <v>0.0205188911356141</v>
      </c>
      <c r="N133" s="13">
        <v>0.024841617020171</v>
      </c>
      <c r="O133" s="13">
        <v>0.020871052828964</v>
      </c>
      <c r="P133" s="13">
        <v>0.0260753949413616</v>
      </c>
      <c r="Q133" s="13">
        <v>0.0178803430406809</v>
      </c>
      <c r="R133" s="13">
        <v>0.0233170627651932</v>
      </c>
      <c r="S133" s="13">
        <v>0.0333136182943706</v>
      </c>
      <c r="T133" s="13">
        <v>0.0421800485315402</v>
      </c>
      <c r="U133" s="13">
        <v>0.0284770338252901</v>
      </c>
      <c r="V133" s="13">
        <v>0.0255764262406484</v>
      </c>
      <c r="W133" s="13">
        <v>0.017991833684387</v>
      </c>
      <c r="X133" s="13">
        <v>0.0184833803901875</v>
      </c>
      <c r="Y133" s="13">
        <v>0.0158008978475067</v>
      </c>
      <c r="Z133" s="13">
        <v>0.0338049065917074</v>
      </c>
      <c r="AA133" s="13">
        <v>0.0364218389599599</v>
      </c>
      <c r="AB133" s="13">
        <v>0.0246283346107767</v>
      </c>
      <c r="AC133" s="13">
        <v>0.0215832086311046</v>
      </c>
      <c r="AD133" s="13">
        <v>0.0191963474910666</v>
      </c>
      <c r="AE133" s="13">
        <v>0.064714339476358</v>
      </c>
      <c r="AF133" s="13">
        <v>0.095606035856479</v>
      </c>
      <c r="AG133" s="13">
        <v>0.0703575535312526</v>
      </c>
      <c r="AH133" s="13">
        <v>0</v>
      </c>
      <c r="AI133" s="13">
        <v>0.0194550093974231</v>
      </c>
    </row>
    <row r="134" spans="4:35">
      <c r="D134" s="13" t="s">
        <v>30</v>
      </c>
      <c r="E134" s="13">
        <v>0.0335256766878345</v>
      </c>
      <c r="F134" s="13">
        <v>0.0323099953776949</v>
      </c>
      <c r="G134" s="13">
        <v>0.0348709843877208</v>
      </c>
      <c r="H134" s="13">
        <v>0.037020793533933</v>
      </c>
      <c r="I134" s="13">
        <v>0.0405833400804049</v>
      </c>
      <c r="J134" s="13">
        <v>0.0278254092680483</v>
      </c>
      <c r="K134" s="13">
        <v>0.0269471638124035</v>
      </c>
      <c r="L134" s="13">
        <v>0.0265202785730982</v>
      </c>
      <c r="M134" s="13">
        <v>0.0249316758868696</v>
      </c>
      <c r="N134" s="13">
        <v>0.0272426578918118</v>
      </c>
      <c r="O134" s="13">
        <v>0.0251620470328151</v>
      </c>
      <c r="P134" s="13">
        <v>0.0278752009562974</v>
      </c>
      <c r="Q134" s="13">
        <v>0.0235657080831381</v>
      </c>
      <c r="R134" s="13">
        <v>0.0270162529106016</v>
      </c>
      <c r="S134" s="13">
        <v>0.0309884337426291</v>
      </c>
      <c r="T134" s="13">
        <v>0.0332658028349621</v>
      </c>
      <c r="U134" s="13">
        <v>0.0293729184603088</v>
      </c>
      <c r="V134" s="13">
        <v>0.0288597762883328</v>
      </c>
      <c r="W134" s="13">
        <v>0.0249109021979177</v>
      </c>
      <c r="X134" s="13">
        <v>0.0270126515558427</v>
      </c>
      <c r="Y134" s="13">
        <v>0.0242530971514933</v>
      </c>
      <c r="Z134" s="13">
        <v>0.0355225724481182</v>
      </c>
      <c r="AA134" s="13">
        <v>0.0394319476804659</v>
      </c>
      <c r="AB134" s="13">
        <v>0.0317943982209014</v>
      </c>
      <c r="AC134" s="13">
        <v>0.0331005646469412</v>
      </c>
      <c r="AD134" s="13">
        <v>0.051065384144884</v>
      </c>
      <c r="AE134" s="13">
        <v>0.0388348964238711</v>
      </c>
      <c r="AF134" s="13">
        <v>0.0508228623591037</v>
      </c>
      <c r="AG134" s="13">
        <v>0.0567968679389752</v>
      </c>
      <c r="AH134" s="13">
        <v>0.0485697394225809</v>
      </c>
      <c r="AI134" s="13">
        <v>0</v>
      </c>
    </row>
    <row r="136" spans="2:36">
      <c r="B136" s="16" t="s">
        <v>39</v>
      </c>
      <c r="C136" s="16"/>
      <c r="E136" s="14" t="s">
        <v>0</v>
      </c>
      <c r="F136" s="14" t="s">
        <v>1</v>
      </c>
      <c r="G136" s="14" t="s">
        <v>2</v>
      </c>
      <c r="H136" s="14" t="s">
        <v>3</v>
      </c>
      <c r="I136" s="14" t="s">
        <v>4</v>
      </c>
      <c r="J136" s="14" t="s">
        <v>5</v>
      </c>
      <c r="K136" s="14" t="s">
        <v>6</v>
      </c>
      <c r="L136" s="14" t="s">
        <v>7</v>
      </c>
      <c r="M136" s="14" t="s">
        <v>8</v>
      </c>
      <c r="N136" s="14" t="s">
        <v>9</v>
      </c>
      <c r="O136" s="14" t="s">
        <v>10</v>
      </c>
      <c r="P136" s="14" t="s">
        <v>11</v>
      </c>
      <c r="Q136" s="14" t="s">
        <v>12</v>
      </c>
      <c r="R136" s="14" t="s">
        <v>13</v>
      </c>
      <c r="S136" s="14" t="s">
        <v>14</v>
      </c>
      <c r="T136" s="14" t="s">
        <v>15</v>
      </c>
      <c r="U136" s="14" t="s">
        <v>16</v>
      </c>
      <c r="V136" s="14" t="s">
        <v>17</v>
      </c>
      <c r="W136" s="14" t="s">
        <v>18</v>
      </c>
      <c r="X136" s="14" t="s">
        <v>19</v>
      </c>
      <c r="Y136" s="14" t="s">
        <v>20</v>
      </c>
      <c r="Z136" s="14" t="s">
        <v>21</v>
      </c>
      <c r="AA136" s="14" t="s">
        <v>22</v>
      </c>
      <c r="AB136" s="14" t="s">
        <v>23</v>
      </c>
      <c r="AC136" s="14" t="s">
        <v>24</v>
      </c>
      <c r="AD136" s="14" t="s">
        <v>25</v>
      </c>
      <c r="AE136" s="14" t="s">
        <v>26</v>
      </c>
      <c r="AF136" s="14" t="s">
        <v>27</v>
      </c>
      <c r="AG136" s="14" t="s">
        <v>28</v>
      </c>
      <c r="AH136" s="14" t="s">
        <v>29</v>
      </c>
      <c r="AI136" s="14" t="s">
        <v>30</v>
      </c>
      <c r="AJ136" s="14" t="s">
        <v>40</v>
      </c>
    </row>
    <row r="137" spans="4:66">
      <c r="D137" s="14" t="s">
        <v>0</v>
      </c>
      <c r="E137" s="13">
        <f t="shared" ref="E137:F161" si="119">E104*E70</f>
        <v>0</v>
      </c>
      <c r="F137" s="13">
        <f>F104*F70</f>
        <v>0.0227614637589855</v>
      </c>
      <c r="G137" s="13">
        <f t="shared" ref="G137:AI137" si="120">G104*G70</f>
        <v>0.00186886586981344</v>
      </c>
      <c r="H137" s="13">
        <f t="shared" si="120"/>
        <v>0.00103885525078718</v>
      </c>
      <c r="I137" s="13">
        <f t="shared" si="120"/>
        <v>0.00144995019632701</v>
      </c>
      <c r="J137" s="13">
        <f t="shared" si="120"/>
        <v>0.000890283908941238</v>
      </c>
      <c r="K137" s="13">
        <f t="shared" si="120"/>
        <v>0.00054843742239481</v>
      </c>
      <c r="L137" s="13">
        <f t="shared" si="120"/>
        <v>0.000410662263277861</v>
      </c>
      <c r="M137" s="13">
        <f t="shared" si="120"/>
        <v>0.00639503488548042</v>
      </c>
      <c r="N137" s="13">
        <f t="shared" si="120"/>
        <v>0.00125551479768986</v>
      </c>
      <c r="O137" s="13">
        <f t="shared" si="120"/>
        <v>0.000817281701241138</v>
      </c>
      <c r="P137" s="13">
        <f t="shared" si="120"/>
        <v>0.000466436225885769</v>
      </c>
      <c r="Q137" s="13">
        <f t="shared" si="120"/>
        <v>0.000456471403177834</v>
      </c>
      <c r="R137" s="13">
        <f t="shared" si="120"/>
        <v>0.000335367530891663</v>
      </c>
      <c r="S137" s="13">
        <f t="shared" si="120"/>
        <v>0.00169970669912456</v>
      </c>
      <c r="T137" s="13">
        <f t="shared" si="120"/>
        <v>0.00069890919301531</v>
      </c>
      <c r="U137" s="13">
        <f t="shared" si="120"/>
        <v>0.000474898172659034</v>
      </c>
      <c r="V137" s="13">
        <f t="shared" si="120"/>
        <v>0.000336862122472343</v>
      </c>
      <c r="W137" s="13">
        <f t="shared" si="120"/>
        <v>0.000383994127807531</v>
      </c>
      <c r="X137" s="13">
        <f t="shared" si="120"/>
        <v>0.000195426997672193</v>
      </c>
      <c r="Y137" s="13">
        <f t="shared" si="120"/>
        <v>0.000194246377700135</v>
      </c>
      <c r="Z137" s="13">
        <f t="shared" si="120"/>
        <v>0.00034751122598098</v>
      </c>
      <c r="AA137" s="13">
        <f t="shared" si="120"/>
        <v>0.000278630279941939</v>
      </c>
      <c r="AB137" s="13">
        <f t="shared" si="120"/>
        <v>0.00021716245321386</v>
      </c>
      <c r="AC137" s="13">
        <f t="shared" si="120"/>
        <v>0.000186488257930386</v>
      </c>
      <c r="AD137" s="13">
        <f t="shared" si="120"/>
        <v>0.00015538689428282</v>
      </c>
      <c r="AE137" s="13">
        <f t="shared" si="120"/>
        <v>0.000516418503915612</v>
      </c>
      <c r="AF137" s="13">
        <f t="shared" si="120"/>
        <v>0.000312058464965263</v>
      </c>
      <c r="AG137" s="13">
        <f t="shared" si="120"/>
        <v>0.00031873516159765</v>
      </c>
      <c r="AH137" s="13">
        <f t="shared" si="120"/>
        <v>0.000502372964671198</v>
      </c>
      <c r="AI137" s="13">
        <f t="shared" si="120"/>
        <v>0.000180916282413825</v>
      </c>
      <c r="AJ137" s="13">
        <f>SUM(E137:AI137)</f>
        <v>0.0456943493942584</v>
      </c>
      <c r="AK137" s="13">
        <f>$AJ137</f>
        <v>0.0456943493942584</v>
      </c>
      <c r="AL137" s="13">
        <f t="shared" ref="AL137:BN145" si="121">$AJ137</f>
        <v>0.0456943493942584</v>
      </c>
      <c r="AM137" s="13">
        <f t="shared" si="121"/>
        <v>0.0456943493942584</v>
      </c>
      <c r="AN137" s="13">
        <f t="shared" si="121"/>
        <v>0.0456943493942584</v>
      </c>
      <c r="AO137" s="13">
        <f t="shared" si="121"/>
        <v>0.0456943493942584</v>
      </c>
      <c r="AP137" s="13">
        <f t="shared" si="121"/>
        <v>0.0456943493942584</v>
      </c>
      <c r="AQ137" s="13">
        <f t="shared" si="121"/>
        <v>0.0456943493942584</v>
      </c>
      <c r="AR137" s="13">
        <f t="shared" si="121"/>
        <v>0.0456943493942584</v>
      </c>
      <c r="AS137" s="13">
        <f t="shared" si="121"/>
        <v>0.0456943493942584</v>
      </c>
      <c r="AT137" s="13">
        <f t="shared" si="121"/>
        <v>0.0456943493942584</v>
      </c>
      <c r="AU137" s="13">
        <f t="shared" si="121"/>
        <v>0.0456943493942584</v>
      </c>
      <c r="AV137" s="13">
        <f t="shared" si="121"/>
        <v>0.0456943493942584</v>
      </c>
      <c r="AW137" s="13">
        <f t="shared" si="121"/>
        <v>0.0456943493942584</v>
      </c>
      <c r="AX137" s="13">
        <f t="shared" si="121"/>
        <v>0.0456943493942584</v>
      </c>
      <c r="AY137" s="13">
        <f t="shared" si="121"/>
        <v>0.0456943493942584</v>
      </c>
      <c r="AZ137" s="13">
        <f t="shared" si="121"/>
        <v>0.0456943493942584</v>
      </c>
      <c r="BA137" s="13">
        <f t="shared" si="121"/>
        <v>0.0456943493942584</v>
      </c>
      <c r="BB137" s="13">
        <f t="shared" si="121"/>
        <v>0.0456943493942584</v>
      </c>
      <c r="BC137" s="13">
        <f t="shared" si="121"/>
        <v>0.0456943493942584</v>
      </c>
      <c r="BD137" s="13">
        <f t="shared" si="121"/>
        <v>0.0456943493942584</v>
      </c>
      <c r="BE137" s="13">
        <f t="shared" si="121"/>
        <v>0.0456943493942584</v>
      </c>
      <c r="BF137" s="13">
        <f t="shared" si="121"/>
        <v>0.0456943493942584</v>
      </c>
      <c r="BG137" s="13">
        <f t="shared" si="121"/>
        <v>0.0456943493942584</v>
      </c>
      <c r="BH137" s="13">
        <f t="shared" si="121"/>
        <v>0.0456943493942584</v>
      </c>
      <c r="BI137" s="13">
        <f t="shared" si="121"/>
        <v>0.0456943493942584</v>
      </c>
      <c r="BJ137" s="13">
        <f t="shared" si="121"/>
        <v>0.0456943493942584</v>
      </c>
      <c r="BK137" s="13">
        <f t="shared" si="121"/>
        <v>0.0456943493942584</v>
      </c>
      <c r="BL137" s="13">
        <f t="shared" si="121"/>
        <v>0.0456943493942584</v>
      </c>
      <c r="BM137" s="13">
        <f t="shared" si="121"/>
        <v>0.0456943493942584</v>
      </c>
      <c r="BN137" s="13">
        <f t="shared" si="121"/>
        <v>0.0456943493942584</v>
      </c>
    </row>
    <row r="138" spans="4:66">
      <c r="D138" s="14" t="s">
        <v>1</v>
      </c>
      <c r="E138" s="13">
        <f t="shared" si="119"/>
        <v>0.0225301618177845</v>
      </c>
      <c r="F138" s="13">
        <f t="shared" si="119"/>
        <v>0</v>
      </c>
      <c r="G138" s="13">
        <f t="shared" ref="G138:AC138" si="122">G105*G71</f>
        <v>0.00206552959257854</v>
      </c>
      <c r="H138" s="13">
        <f t="shared" si="122"/>
        <v>0.00115468646691541</v>
      </c>
      <c r="I138" s="13">
        <f t="shared" si="122"/>
        <v>0.00164697561287479</v>
      </c>
      <c r="J138" s="13">
        <f t="shared" si="122"/>
        <v>0.00127138139576464</v>
      </c>
      <c r="K138" s="13">
        <f t="shared" si="122"/>
        <v>0.000715102062599959</v>
      </c>
      <c r="L138" s="13">
        <f t="shared" si="122"/>
        <v>0.00051380479208208</v>
      </c>
      <c r="M138" s="13">
        <f t="shared" si="122"/>
        <v>0.00170539953946588</v>
      </c>
      <c r="N138" s="13">
        <f t="shared" si="122"/>
        <v>0.00268523650917719</v>
      </c>
      <c r="O138" s="13">
        <f t="shared" si="122"/>
        <v>0.00148332732163086</v>
      </c>
      <c r="P138" s="13">
        <f t="shared" si="122"/>
        <v>0.000614105155290836</v>
      </c>
      <c r="Q138" s="13">
        <f t="shared" si="122"/>
        <v>0.000695662674344824</v>
      </c>
      <c r="R138" s="13">
        <f t="shared" si="122"/>
        <v>0.000427961707957236</v>
      </c>
      <c r="S138" s="13">
        <f t="shared" si="122"/>
        <v>0.0028477330306889</v>
      </c>
      <c r="T138" s="13">
        <f t="shared" si="122"/>
        <v>0.000882629743536903</v>
      </c>
      <c r="U138" s="13">
        <f t="shared" si="122"/>
        <v>0.000631258005631199</v>
      </c>
      <c r="V138" s="13">
        <f t="shared" si="122"/>
        <v>0.000428804929941495</v>
      </c>
      <c r="W138" s="13">
        <f t="shared" si="122"/>
        <v>0.000577204671236422</v>
      </c>
      <c r="X138" s="13">
        <f t="shared" si="122"/>
        <v>0.000239115466883734</v>
      </c>
      <c r="Y138" s="13">
        <f t="shared" si="122"/>
        <v>0.000243827458192964</v>
      </c>
      <c r="Z138" s="13">
        <f t="shared" si="122"/>
        <v>0.000441102094080519</v>
      </c>
      <c r="AA138" s="13">
        <f t="shared" si="122"/>
        <v>0.000335635186766547</v>
      </c>
      <c r="AB138" s="13">
        <f t="shared" si="122"/>
        <v>0.000259854519617122</v>
      </c>
      <c r="AC138" s="13">
        <f t="shared" si="122"/>
        <v>0.000222963161205109</v>
      </c>
      <c r="AD138" s="13">
        <f t="shared" ref="AD138" si="123">AD105*AD71</f>
        <v>0.000184004914984585</v>
      </c>
      <c r="AE138" s="13">
        <f t="shared" ref="AE138:AH145" si="124">AE105*AE71</f>
        <v>0.000631820306275426</v>
      </c>
      <c r="AF138" s="13">
        <f t="shared" si="124"/>
        <v>0.000353719516930019</v>
      </c>
      <c r="AG138" s="13">
        <f t="shared" si="124"/>
        <v>0.000373783042263551</v>
      </c>
      <c r="AH138" s="13">
        <f t="shared" si="124"/>
        <v>0.000577180732345886</v>
      </c>
      <c r="AI138" s="13">
        <f t="shared" ref="AI138" si="125">AI105*AI71</f>
        <v>0.00021610022474246</v>
      </c>
      <c r="AJ138" s="13">
        <f t="shared" ref="AJ138:AJ167" si="126">SUM(E138:AI138)</f>
        <v>0.0469560716537896</v>
      </c>
      <c r="AK138" s="13">
        <f t="shared" ref="AK138:AZ161" si="127">$AJ138</f>
        <v>0.0469560716537896</v>
      </c>
      <c r="AL138" s="13">
        <f t="shared" si="121"/>
        <v>0.0469560716537896</v>
      </c>
      <c r="AM138" s="13">
        <f t="shared" si="121"/>
        <v>0.0469560716537896</v>
      </c>
      <c r="AN138" s="13">
        <f t="shared" si="121"/>
        <v>0.0469560716537896</v>
      </c>
      <c r="AO138" s="13">
        <f t="shared" si="121"/>
        <v>0.0469560716537896</v>
      </c>
      <c r="AP138" s="13">
        <f t="shared" si="121"/>
        <v>0.0469560716537896</v>
      </c>
      <c r="AQ138" s="13">
        <f t="shared" si="121"/>
        <v>0.0469560716537896</v>
      </c>
      <c r="AR138" s="13">
        <f t="shared" si="121"/>
        <v>0.0469560716537896</v>
      </c>
      <c r="AS138" s="13">
        <f t="shared" si="121"/>
        <v>0.0469560716537896</v>
      </c>
      <c r="AT138" s="13">
        <f t="shared" si="121"/>
        <v>0.0469560716537896</v>
      </c>
      <c r="AU138" s="13">
        <f t="shared" si="121"/>
        <v>0.0469560716537896</v>
      </c>
      <c r="AV138" s="13">
        <f t="shared" si="121"/>
        <v>0.0469560716537896</v>
      </c>
      <c r="AW138" s="13">
        <f t="shared" si="121"/>
        <v>0.0469560716537896</v>
      </c>
      <c r="AX138" s="13">
        <f t="shared" si="121"/>
        <v>0.0469560716537896</v>
      </c>
      <c r="AY138" s="13">
        <f t="shared" si="121"/>
        <v>0.0469560716537896</v>
      </c>
      <c r="AZ138" s="13">
        <f t="shared" si="121"/>
        <v>0.0469560716537896</v>
      </c>
      <c r="BA138" s="13">
        <f t="shared" si="121"/>
        <v>0.0469560716537896</v>
      </c>
      <c r="BB138" s="13">
        <f t="shared" si="121"/>
        <v>0.0469560716537896</v>
      </c>
      <c r="BC138" s="13">
        <f t="shared" si="121"/>
        <v>0.0469560716537896</v>
      </c>
      <c r="BD138" s="13">
        <f t="shared" si="121"/>
        <v>0.0469560716537896</v>
      </c>
      <c r="BE138" s="13">
        <f t="shared" si="121"/>
        <v>0.0469560716537896</v>
      </c>
      <c r="BF138" s="13">
        <f t="shared" si="121"/>
        <v>0.0469560716537896</v>
      </c>
      <c r="BG138" s="13">
        <f t="shared" si="121"/>
        <v>0.0469560716537896</v>
      </c>
      <c r="BH138" s="13">
        <f t="shared" si="121"/>
        <v>0.0469560716537896</v>
      </c>
      <c r="BI138" s="13">
        <f t="shared" si="121"/>
        <v>0.0469560716537896</v>
      </c>
      <c r="BJ138" s="13">
        <f t="shared" si="121"/>
        <v>0.0469560716537896</v>
      </c>
      <c r="BK138" s="13">
        <f t="shared" si="121"/>
        <v>0.0469560716537896</v>
      </c>
      <c r="BL138" s="13">
        <f t="shared" si="121"/>
        <v>0.0469560716537896</v>
      </c>
      <c r="BM138" s="13">
        <f t="shared" si="121"/>
        <v>0.0469560716537896</v>
      </c>
      <c r="BN138" s="13">
        <f t="shared" si="121"/>
        <v>0.0469560716537896</v>
      </c>
    </row>
    <row r="139" spans="4:66">
      <c r="D139" s="14" t="s">
        <v>2</v>
      </c>
      <c r="E139" s="13">
        <f t="shared" si="119"/>
        <v>0.000160030628740179</v>
      </c>
      <c r="F139" s="13">
        <f t="shared" si="119"/>
        <v>0.000178686719918198</v>
      </c>
      <c r="G139" s="13">
        <f t="shared" ref="G139:AC139" si="128">G106*G72</f>
        <v>0</v>
      </c>
      <c r="H139" s="13">
        <f t="shared" si="128"/>
        <v>0.00366665129539634</v>
      </c>
      <c r="I139" s="13">
        <f t="shared" si="128"/>
        <v>0.000379211499585965</v>
      </c>
      <c r="J139" s="13">
        <f t="shared" si="128"/>
        <v>0.000220298675359483</v>
      </c>
      <c r="K139" s="13">
        <f t="shared" si="128"/>
        <v>0.000588082960820859</v>
      </c>
      <c r="L139" s="13">
        <f t="shared" si="128"/>
        <v>0.0009497169034574</v>
      </c>
      <c r="M139" s="13">
        <f t="shared" si="128"/>
        <v>3.59877328195639e-5</v>
      </c>
      <c r="N139" s="13">
        <f t="shared" si="128"/>
        <v>8.52927087173223e-5</v>
      </c>
      <c r="O139" s="13">
        <f t="shared" si="128"/>
        <v>7.42641152139306e-5</v>
      </c>
      <c r="P139" s="13">
        <f t="shared" si="128"/>
        <v>0.000725737686518426</v>
      </c>
      <c r="Q139" s="13">
        <f t="shared" si="128"/>
        <v>7.59189261036348e-5</v>
      </c>
      <c r="R139" s="13">
        <f t="shared" si="128"/>
        <v>0.000482794823320198</v>
      </c>
      <c r="S139" s="13">
        <f t="shared" si="128"/>
        <v>0.000487398784138961</v>
      </c>
      <c r="T139" s="13">
        <f t="shared" si="128"/>
        <v>0.00292547962268383</v>
      </c>
      <c r="U139" s="13">
        <f t="shared" si="128"/>
        <v>0.000472175562169425</v>
      </c>
      <c r="V139" s="13">
        <f t="shared" si="128"/>
        <v>0.00363717263453746</v>
      </c>
      <c r="W139" s="13">
        <f t="shared" si="128"/>
        <v>6.17555330149934e-5</v>
      </c>
      <c r="X139" s="13">
        <f t="shared" si="128"/>
        <v>0.000177055720511757</v>
      </c>
      <c r="Y139" s="13">
        <f t="shared" si="128"/>
        <v>0.000776854258105477</v>
      </c>
      <c r="Z139" s="13">
        <f t="shared" si="128"/>
        <v>0.000350314042604822</v>
      </c>
      <c r="AA139" s="13">
        <f t="shared" si="128"/>
        <v>0.000454177748305273</v>
      </c>
      <c r="AB139" s="13">
        <f t="shared" si="128"/>
        <v>0.000133909211152472</v>
      </c>
      <c r="AC139" s="13">
        <f t="shared" si="128"/>
        <v>0.00013075155698245</v>
      </c>
      <c r="AD139" s="13">
        <f t="shared" ref="AD139" si="129">AD106*AD72</f>
        <v>0.000129107445243365</v>
      </c>
      <c r="AE139" s="13">
        <f t="shared" si="124"/>
        <v>0.00125806606239962</v>
      </c>
      <c r="AF139" s="13">
        <f t="shared" si="124"/>
        <v>0.000185165871869171</v>
      </c>
      <c r="AG139" s="13">
        <f t="shared" si="124"/>
        <v>0.000706446340672215</v>
      </c>
      <c r="AH139" s="13">
        <f t="shared" si="124"/>
        <v>0.00719149591732487</v>
      </c>
      <c r="AI139" s="13">
        <f t="shared" ref="AI139" si="130">AI106*AI72</f>
        <v>0.00100473778463723</v>
      </c>
      <c r="AJ139" s="13">
        <f t="shared" si="126"/>
        <v>0.0277047387723249</v>
      </c>
      <c r="AK139" s="13">
        <f t="shared" si="127"/>
        <v>0.0277047387723249</v>
      </c>
      <c r="AL139" s="13">
        <f t="shared" si="121"/>
        <v>0.0277047387723249</v>
      </c>
      <c r="AM139" s="13">
        <f t="shared" si="121"/>
        <v>0.0277047387723249</v>
      </c>
      <c r="AN139" s="13">
        <f t="shared" si="121"/>
        <v>0.0277047387723249</v>
      </c>
      <c r="AO139" s="13">
        <f t="shared" si="121"/>
        <v>0.0277047387723249</v>
      </c>
      <c r="AP139" s="13">
        <f t="shared" si="121"/>
        <v>0.0277047387723249</v>
      </c>
      <c r="AQ139" s="13">
        <f t="shared" si="121"/>
        <v>0.0277047387723249</v>
      </c>
      <c r="AR139" s="13">
        <f t="shared" si="121"/>
        <v>0.0277047387723249</v>
      </c>
      <c r="AS139" s="13">
        <f t="shared" si="121"/>
        <v>0.0277047387723249</v>
      </c>
      <c r="AT139" s="13">
        <f t="shared" si="121"/>
        <v>0.0277047387723249</v>
      </c>
      <c r="AU139" s="13">
        <f t="shared" si="121"/>
        <v>0.0277047387723249</v>
      </c>
      <c r="AV139" s="13">
        <f t="shared" si="121"/>
        <v>0.0277047387723249</v>
      </c>
      <c r="AW139" s="13">
        <f t="shared" si="121"/>
        <v>0.0277047387723249</v>
      </c>
      <c r="AX139" s="13">
        <f t="shared" si="121"/>
        <v>0.0277047387723249</v>
      </c>
      <c r="AY139" s="13">
        <f t="shared" si="121"/>
        <v>0.0277047387723249</v>
      </c>
      <c r="AZ139" s="13">
        <f t="shared" si="121"/>
        <v>0.0277047387723249</v>
      </c>
      <c r="BA139" s="13">
        <f t="shared" si="121"/>
        <v>0.0277047387723249</v>
      </c>
      <c r="BB139" s="13">
        <f t="shared" si="121"/>
        <v>0.0277047387723249</v>
      </c>
      <c r="BC139" s="13">
        <f t="shared" si="121"/>
        <v>0.0277047387723249</v>
      </c>
      <c r="BD139" s="13">
        <f t="shared" si="121"/>
        <v>0.0277047387723249</v>
      </c>
      <c r="BE139" s="13">
        <f t="shared" si="121"/>
        <v>0.0277047387723249</v>
      </c>
      <c r="BF139" s="13">
        <f t="shared" si="121"/>
        <v>0.0277047387723249</v>
      </c>
      <c r="BG139" s="13">
        <f t="shared" si="121"/>
        <v>0.0277047387723249</v>
      </c>
      <c r="BH139" s="13">
        <f t="shared" si="121"/>
        <v>0.0277047387723249</v>
      </c>
      <c r="BI139" s="13">
        <f t="shared" si="121"/>
        <v>0.0277047387723249</v>
      </c>
      <c r="BJ139" s="13">
        <f t="shared" si="121"/>
        <v>0.0277047387723249</v>
      </c>
      <c r="BK139" s="13">
        <f t="shared" si="121"/>
        <v>0.0277047387723249</v>
      </c>
      <c r="BL139" s="13">
        <f t="shared" si="121"/>
        <v>0.0277047387723249</v>
      </c>
      <c r="BM139" s="13">
        <f t="shared" si="121"/>
        <v>0.0277047387723249</v>
      </c>
      <c r="BN139" s="13">
        <f t="shared" si="121"/>
        <v>0.0277047387723249</v>
      </c>
    </row>
    <row r="140" spans="4:66">
      <c r="D140" s="14" t="s">
        <v>3</v>
      </c>
      <c r="E140" s="13">
        <f t="shared" si="119"/>
        <v>8.67036462032269e-5</v>
      </c>
      <c r="F140" s="13">
        <f t="shared" si="119"/>
        <v>9.73603832333575e-5</v>
      </c>
      <c r="G140" s="13">
        <f t="shared" ref="G140:AC140" si="131">G107*G73</f>
        <v>0.00357377291744245</v>
      </c>
      <c r="H140" s="13">
        <f t="shared" si="131"/>
        <v>0</v>
      </c>
      <c r="I140" s="13">
        <f t="shared" si="131"/>
        <v>0.000335415129117001</v>
      </c>
      <c r="J140" s="13">
        <f t="shared" si="131"/>
        <v>0.000138542239831036</v>
      </c>
      <c r="K140" s="13">
        <f t="shared" si="131"/>
        <v>0.000251159734904738</v>
      </c>
      <c r="L140" s="13">
        <f t="shared" si="131"/>
        <v>0.000965716156875991</v>
      </c>
      <c r="M140" s="13">
        <f t="shared" si="131"/>
        <v>3.05211396054583e-5</v>
      </c>
      <c r="N140" s="13">
        <f t="shared" si="131"/>
        <v>6.98942473842838e-5</v>
      </c>
      <c r="O140" s="13">
        <f t="shared" si="131"/>
        <v>6.10447128593431e-5</v>
      </c>
      <c r="P140" s="13">
        <f t="shared" si="131"/>
        <v>0.00422984226525973</v>
      </c>
      <c r="Q140" s="13">
        <f t="shared" si="131"/>
        <v>6.26931528350449e-5</v>
      </c>
      <c r="R140" s="13">
        <f t="shared" si="131"/>
        <v>0.00219192907568898</v>
      </c>
      <c r="S140" s="13">
        <f t="shared" si="131"/>
        <v>0.000268805578830861</v>
      </c>
      <c r="T140" s="13">
        <f t="shared" si="131"/>
        <v>0.00415589220614727</v>
      </c>
      <c r="U140" s="13">
        <f t="shared" si="131"/>
        <v>0.000299023718709737</v>
      </c>
      <c r="V140" s="13">
        <f t="shared" si="131"/>
        <v>0.00073936893836279</v>
      </c>
      <c r="W140" s="13">
        <f t="shared" si="131"/>
        <v>5.391033125438e-5</v>
      </c>
      <c r="X140" s="13">
        <f t="shared" si="131"/>
        <v>0.000355870875661586</v>
      </c>
      <c r="Y140" s="13">
        <f t="shared" si="131"/>
        <v>0.000568975059787482</v>
      </c>
      <c r="Z140" s="13">
        <f t="shared" si="131"/>
        <v>0.000240195362451423</v>
      </c>
      <c r="AA140" s="13">
        <f t="shared" si="131"/>
        <v>0.0037984268532898</v>
      </c>
      <c r="AB140" s="13">
        <f t="shared" si="131"/>
        <v>0.000204586224067682</v>
      </c>
      <c r="AC140" s="13">
        <f t="shared" si="131"/>
        <v>0.00021687876917882</v>
      </c>
      <c r="AD140" s="13">
        <f t="shared" ref="AD140" si="132">AD107*AD73</f>
        <v>0.000250271410753826</v>
      </c>
      <c r="AE140" s="13">
        <f t="shared" si="124"/>
        <v>0.000716524078965893</v>
      </c>
      <c r="AF140" s="13">
        <f t="shared" si="124"/>
        <v>0.000304114617752865</v>
      </c>
      <c r="AG140" s="13">
        <f t="shared" si="124"/>
        <v>0.00366654959908154</v>
      </c>
      <c r="AH140" s="13">
        <f t="shared" si="124"/>
        <v>0.00135937595641045</v>
      </c>
      <c r="AI140" s="13">
        <f t="shared" ref="AI140" si="133">AI107*AI73</f>
        <v>0.000410058616149636</v>
      </c>
      <c r="AJ140" s="13">
        <f t="shared" si="126"/>
        <v>0.0297034229980967</v>
      </c>
      <c r="AK140" s="13">
        <f t="shared" si="127"/>
        <v>0.0297034229980967</v>
      </c>
      <c r="AL140" s="13">
        <f t="shared" si="121"/>
        <v>0.0297034229980967</v>
      </c>
      <c r="AM140" s="13">
        <f t="shared" si="121"/>
        <v>0.0297034229980967</v>
      </c>
      <c r="AN140" s="13">
        <f t="shared" si="121"/>
        <v>0.0297034229980967</v>
      </c>
      <c r="AO140" s="13">
        <f t="shared" si="121"/>
        <v>0.0297034229980967</v>
      </c>
      <c r="AP140" s="13">
        <f t="shared" si="121"/>
        <v>0.0297034229980967</v>
      </c>
      <c r="AQ140" s="13">
        <f t="shared" si="121"/>
        <v>0.0297034229980967</v>
      </c>
      <c r="AR140" s="13">
        <f t="shared" si="121"/>
        <v>0.0297034229980967</v>
      </c>
      <c r="AS140" s="13">
        <f t="shared" si="121"/>
        <v>0.0297034229980967</v>
      </c>
      <c r="AT140" s="13">
        <f t="shared" si="121"/>
        <v>0.0297034229980967</v>
      </c>
      <c r="AU140" s="13">
        <f t="shared" si="121"/>
        <v>0.0297034229980967</v>
      </c>
      <c r="AV140" s="13">
        <f t="shared" si="121"/>
        <v>0.0297034229980967</v>
      </c>
      <c r="AW140" s="13">
        <f t="shared" si="121"/>
        <v>0.0297034229980967</v>
      </c>
      <c r="AX140" s="13">
        <f t="shared" si="121"/>
        <v>0.0297034229980967</v>
      </c>
      <c r="AY140" s="13">
        <f t="shared" si="121"/>
        <v>0.0297034229980967</v>
      </c>
      <c r="AZ140" s="13">
        <f t="shared" si="121"/>
        <v>0.0297034229980967</v>
      </c>
      <c r="BA140" s="13">
        <f t="shared" si="121"/>
        <v>0.0297034229980967</v>
      </c>
      <c r="BB140" s="13">
        <f t="shared" si="121"/>
        <v>0.0297034229980967</v>
      </c>
      <c r="BC140" s="13">
        <f t="shared" si="121"/>
        <v>0.0297034229980967</v>
      </c>
      <c r="BD140" s="13">
        <f t="shared" si="121"/>
        <v>0.0297034229980967</v>
      </c>
      <c r="BE140" s="13">
        <f t="shared" si="121"/>
        <v>0.0297034229980967</v>
      </c>
      <c r="BF140" s="13">
        <f t="shared" si="121"/>
        <v>0.0297034229980967</v>
      </c>
      <c r="BG140" s="13">
        <f t="shared" si="121"/>
        <v>0.0297034229980967</v>
      </c>
      <c r="BH140" s="13">
        <f t="shared" si="121"/>
        <v>0.0297034229980967</v>
      </c>
      <c r="BI140" s="13">
        <f t="shared" si="121"/>
        <v>0.0297034229980967</v>
      </c>
      <c r="BJ140" s="13">
        <f t="shared" si="121"/>
        <v>0.0297034229980967</v>
      </c>
      <c r="BK140" s="13">
        <f t="shared" si="121"/>
        <v>0.0297034229980967</v>
      </c>
      <c r="BL140" s="13">
        <f t="shared" si="121"/>
        <v>0.0297034229980967</v>
      </c>
      <c r="BM140" s="13">
        <f t="shared" si="121"/>
        <v>0.0297034229980967</v>
      </c>
      <c r="BN140" s="13">
        <f t="shared" si="121"/>
        <v>0.0297034229980967</v>
      </c>
    </row>
    <row r="141" spans="4:66">
      <c r="D141" s="14" t="s">
        <v>4</v>
      </c>
      <c r="E141" s="13">
        <f t="shared" si="119"/>
        <v>0.000472882000493687</v>
      </c>
      <c r="F141" s="13">
        <f t="shared" si="119"/>
        <v>0.000542653668814711</v>
      </c>
      <c r="G141" s="13">
        <f t="shared" ref="G141:AC141" si="134">G108*G74</f>
        <v>0.00144429603367882</v>
      </c>
      <c r="H141" s="13">
        <f t="shared" si="134"/>
        <v>0.00131069011489217</v>
      </c>
      <c r="I141" s="13">
        <f t="shared" si="134"/>
        <v>0</v>
      </c>
      <c r="J141" s="13">
        <f t="shared" si="134"/>
        <v>0.00208505962126625</v>
      </c>
      <c r="K141" s="13">
        <f t="shared" si="134"/>
        <v>0.000574294218050846</v>
      </c>
      <c r="L141" s="13">
        <f t="shared" si="134"/>
        <v>0.000359604980198322</v>
      </c>
      <c r="M141" s="13">
        <f t="shared" si="134"/>
        <v>0.000134345325016021</v>
      </c>
      <c r="N141" s="13">
        <f t="shared" si="134"/>
        <v>0.000411797949201088</v>
      </c>
      <c r="O141" s="13">
        <f t="shared" si="134"/>
        <v>0.00045483302871171</v>
      </c>
      <c r="P141" s="13">
        <f t="shared" si="134"/>
        <v>0.000380256298099213</v>
      </c>
      <c r="Q141" s="13">
        <f t="shared" si="134"/>
        <v>0.000973572803221827</v>
      </c>
      <c r="R141" s="13">
        <f t="shared" si="134"/>
        <v>0.000301368679414597</v>
      </c>
      <c r="S141" s="13">
        <f t="shared" si="134"/>
        <v>0.0206034838875976</v>
      </c>
      <c r="T141" s="13">
        <f t="shared" si="134"/>
        <v>0.000689889406767231</v>
      </c>
      <c r="U141" s="13">
        <f t="shared" si="134"/>
        <v>0.00071014190340893</v>
      </c>
      <c r="V141" s="13">
        <f t="shared" si="134"/>
        <v>0.000374398542800075</v>
      </c>
      <c r="W141" s="13">
        <f t="shared" si="134"/>
        <v>0.000756216121780575</v>
      </c>
      <c r="X141" s="13">
        <f t="shared" si="134"/>
        <v>0.000183942480439001</v>
      </c>
      <c r="Y141" s="13">
        <f t="shared" si="134"/>
        <v>0.000215382135961505</v>
      </c>
      <c r="Z141" s="13">
        <f t="shared" si="134"/>
        <v>0.000627231298024835</v>
      </c>
      <c r="AA141" s="13">
        <f t="shared" si="134"/>
        <v>0.000329415455888637</v>
      </c>
      <c r="AB141" s="13">
        <f t="shared" si="134"/>
        <v>0.000191725708539184</v>
      </c>
      <c r="AC141" s="13">
        <f t="shared" si="134"/>
        <v>0.000176281529630513</v>
      </c>
      <c r="AD141" s="13">
        <f t="shared" ref="AD141" si="135">AD108*AD74</f>
        <v>0.000164738914782343</v>
      </c>
      <c r="AE141" s="13">
        <f t="shared" si="124"/>
        <v>0.000859912817774298</v>
      </c>
      <c r="AF141" s="13">
        <f t="shared" si="124"/>
        <v>0.000355736519748804</v>
      </c>
      <c r="AG141" s="13">
        <f t="shared" si="124"/>
        <v>0.00046613614227746</v>
      </c>
      <c r="AH141" s="13">
        <f t="shared" si="124"/>
        <v>0.0010118706651573</v>
      </c>
      <c r="AI141" s="13">
        <f t="shared" ref="AI141" si="136">AI108*AI74</f>
        <v>0.000250916281535526</v>
      </c>
      <c r="AJ141" s="13">
        <f t="shared" si="126"/>
        <v>0.0374130745331731</v>
      </c>
      <c r="AK141" s="13">
        <f t="shared" si="127"/>
        <v>0.0374130745331731</v>
      </c>
      <c r="AL141" s="13">
        <f t="shared" si="121"/>
        <v>0.0374130745331731</v>
      </c>
      <c r="AM141" s="13">
        <f t="shared" si="121"/>
        <v>0.0374130745331731</v>
      </c>
      <c r="AN141" s="13">
        <f t="shared" si="121"/>
        <v>0.0374130745331731</v>
      </c>
      <c r="AO141" s="13">
        <f t="shared" si="121"/>
        <v>0.0374130745331731</v>
      </c>
      <c r="AP141" s="13">
        <f t="shared" si="121"/>
        <v>0.0374130745331731</v>
      </c>
      <c r="AQ141" s="13">
        <f t="shared" si="121"/>
        <v>0.0374130745331731</v>
      </c>
      <c r="AR141" s="13">
        <f t="shared" si="121"/>
        <v>0.0374130745331731</v>
      </c>
      <c r="AS141" s="13">
        <f t="shared" si="121"/>
        <v>0.0374130745331731</v>
      </c>
      <c r="AT141" s="13">
        <f t="shared" si="121"/>
        <v>0.0374130745331731</v>
      </c>
      <c r="AU141" s="13">
        <f t="shared" si="121"/>
        <v>0.0374130745331731</v>
      </c>
      <c r="AV141" s="13">
        <f t="shared" si="121"/>
        <v>0.0374130745331731</v>
      </c>
      <c r="AW141" s="13">
        <f t="shared" si="121"/>
        <v>0.0374130745331731</v>
      </c>
      <c r="AX141" s="13">
        <f t="shared" si="121"/>
        <v>0.0374130745331731</v>
      </c>
      <c r="AY141" s="13">
        <f t="shared" si="121"/>
        <v>0.0374130745331731</v>
      </c>
      <c r="AZ141" s="13">
        <f t="shared" si="121"/>
        <v>0.0374130745331731</v>
      </c>
      <c r="BA141" s="13">
        <f t="shared" si="121"/>
        <v>0.0374130745331731</v>
      </c>
      <c r="BB141" s="13">
        <f t="shared" si="121"/>
        <v>0.0374130745331731</v>
      </c>
      <c r="BC141" s="13">
        <f t="shared" si="121"/>
        <v>0.0374130745331731</v>
      </c>
      <c r="BD141" s="13">
        <f t="shared" si="121"/>
        <v>0.0374130745331731</v>
      </c>
      <c r="BE141" s="13">
        <f t="shared" si="121"/>
        <v>0.0374130745331731</v>
      </c>
      <c r="BF141" s="13">
        <f t="shared" si="121"/>
        <v>0.0374130745331731</v>
      </c>
      <c r="BG141" s="13">
        <f t="shared" si="121"/>
        <v>0.0374130745331731</v>
      </c>
      <c r="BH141" s="13">
        <f t="shared" si="121"/>
        <v>0.0374130745331731</v>
      </c>
      <c r="BI141" s="13">
        <f t="shared" si="121"/>
        <v>0.0374130745331731</v>
      </c>
      <c r="BJ141" s="13">
        <f t="shared" si="121"/>
        <v>0.0374130745331731</v>
      </c>
      <c r="BK141" s="13">
        <f t="shared" si="121"/>
        <v>0.0374130745331731</v>
      </c>
      <c r="BL141" s="13">
        <f t="shared" si="121"/>
        <v>0.0374130745331731</v>
      </c>
      <c r="BM141" s="13">
        <f t="shared" si="121"/>
        <v>0.0374130745331731</v>
      </c>
      <c r="BN141" s="13">
        <f t="shared" si="121"/>
        <v>0.0374130745331731</v>
      </c>
    </row>
    <row r="142" spans="4:66">
      <c r="D142" s="14" t="s">
        <v>5</v>
      </c>
      <c r="E142" s="13">
        <f t="shared" si="119"/>
        <v>0.000513174184454651</v>
      </c>
      <c r="F142" s="13">
        <f t="shared" si="119"/>
        <v>0.000740368623826222</v>
      </c>
      <c r="G142" s="13">
        <f t="shared" ref="G142:AC142" si="137">G109*G75</f>
        <v>0.00148293864817845</v>
      </c>
      <c r="H142" s="13">
        <f t="shared" si="137"/>
        <v>0.000956833030819156</v>
      </c>
      <c r="I142" s="13">
        <f t="shared" si="137"/>
        <v>0.00368514903459189</v>
      </c>
      <c r="J142" s="13">
        <f t="shared" si="137"/>
        <v>0</v>
      </c>
      <c r="K142" s="13">
        <f t="shared" si="137"/>
        <v>0.00641922478199976</v>
      </c>
      <c r="L142" s="13">
        <f t="shared" si="137"/>
        <v>0.00217145551426454</v>
      </c>
      <c r="M142" s="13">
        <f t="shared" si="137"/>
        <v>0.000256391101573881</v>
      </c>
      <c r="N142" s="13">
        <f t="shared" si="137"/>
        <v>0.000593700492519313</v>
      </c>
      <c r="O142" s="13">
        <f t="shared" si="137"/>
        <v>0.000664724194765836</v>
      </c>
      <c r="P142" s="13">
        <f t="shared" si="137"/>
        <v>0.000769431450932063</v>
      </c>
      <c r="Q142" s="13">
        <f t="shared" si="137"/>
        <v>0.000945757781112618</v>
      </c>
      <c r="R142" s="13">
        <f t="shared" si="137"/>
        <v>0.000577216913701238</v>
      </c>
      <c r="S142" s="13">
        <f t="shared" si="137"/>
        <v>0.00555778376160607</v>
      </c>
      <c r="T142" s="13">
        <f t="shared" si="137"/>
        <v>0.000941497488652367</v>
      </c>
      <c r="U142" s="13">
        <f t="shared" si="137"/>
        <v>0.00161083003670132</v>
      </c>
      <c r="V142" s="13">
        <f t="shared" si="137"/>
        <v>0.00068401148378386</v>
      </c>
      <c r="W142" s="13">
        <f t="shared" si="137"/>
        <v>0.00067597123283824</v>
      </c>
      <c r="X142" s="13">
        <f t="shared" si="137"/>
        <v>0.000315808931498809</v>
      </c>
      <c r="Y142" s="13">
        <f t="shared" si="137"/>
        <v>0.000422409245638682</v>
      </c>
      <c r="Z142" s="13">
        <f t="shared" si="137"/>
        <v>0.00116627954977714</v>
      </c>
      <c r="AA142" s="13">
        <f t="shared" si="137"/>
        <v>0.00045185006321733</v>
      </c>
      <c r="AB142" s="13">
        <f t="shared" si="137"/>
        <v>0.000286345074261093</v>
      </c>
      <c r="AC142" s="13">
        <f t="shared" si="137"/>
        <v>0.000267697525302348</v>
      </c>
      <c r="AD142" s="13">
        <f t="shared" ref="AD142" si="138">AD109*AD75</f>
        <v>0.000245605254736305</v>
      </c>
      <c r="AE142" s="13">
        <f t="shared" si="124"/>
        <v>0.00107514346090492</v>
      </c>
      <c r="AF142" s="13">
        <f t="shared" si="124"/>
        <v>0.000344196310238177</v>
      </c>
      <c r="AG142" s="13">
        <f t="shared" si="124"/>
        <v>0.000525321522481375</v>
      </c>
      <c r="AH142" s="13">
        <f t="shared" si="124"/>
        <v>0.000816760630530285</v>
      </c>
      <c r="AI142" s="13">
        <f t="shared" ref="AI142" si="139">AI109*AI75</f>
        <v>0.000401060378647502</v>
      </c>
      <c r="AJ142" s="13">
        <f t="shared" si="126"/>
        <v>0.0355649377035554</v>
      </c>
      <c r="AK142" s="13">
        <f t="shared" si="127"/>
        <v>0.0355649377035554</v>
      </c>
      <c r="AL142" s="13">
        <f t="shared" si="121"/>
        <v>0.0355649377035554</v>
      </c>
      <c r="AM142" s="13">
        <f t="shared" si="121"/>
        <v>0.0355649377035554</v>
      </c>
      <c r="AN142" s="13">
        <f t="shared" si="121"/>
        <v>0.0355649377035554</v>
      </c>
      <c r="AO142" s="13">
        <f t="shared" si="121"/>
        <v>0.0355649377035554</v>
      </c>
      <c r="AP142" s="13">
        <f t="shared" si="121"/>
        <v>0.0355649377035554</v>
      </c>
      <c r="AQ142" s="13">
        <f t="shared" si="121"/>
        <v>0.0355649377035554</v>
      </c>
      <c r="AR142" s="13">
        <f t="shared" si="121"/>
        <v>0.0355649377035554</v>
      </c>
      <c r="AS142" s="13">
        <f t="shared" si="121"/>
        <v>0.0355649377035554</v>
      </c>
      <c r="AT142" s="13">
        <f t="shared" si="121"/>
        <v>0.0355649377035554</v>
      </c>
      <c r="AU142" s="13">
        <f t="shared" si="121"/>
        <v>0.0355649377035554</v>
      </c>
      <c r="AV142" s="13">
        <f t="shared" si="121"/>
        <v>0.0355649377035554</v>
      </c>
      <c r="AW142" s="13">
        <f t="shared" si="121"/>
        <v>0.0355649377035554</v>
      </c>
      <c r="AX142" s="13">
        <f t="shared" si="121"/>
        <v>0.0355649377035554</v>
      </c>
      <c r="AY142" s="13">
        <f t="shared" si="121"/>
        <v>0.0355649377035554</v>
      </c>
      <c r="AZ142" s="13">
        <f t="shared" si="121"/>
        <v>0.0355649377035554</v>
      </c>
      <c r="BA142" s="13">
        <f t="shared" si="121"/>
        <v>0.0355649377035554</v>
      </c>
      <c r="BB142" s="13">
        <f t="shared" si="121"/>
        <v>0.0355649377035554</v>
      </c>
      <c r="BC142" s="13">
        <f t="shared" si="121"/>
        <v>0.0355649377035554</v>
      </c>
      <c r="BD142" s="13">
        <f t="shared" si="121"/>
        <v>0.0355649377035554</v>
      </c>
      <c r="BE142" s="13">
        <f t="shared" si="121"/>
        <v>0.0355649377035554</v>
      </c>
      <c r="BF142" s="13">
        <f t="shared" si="121"/>
        <v>0.0355649377035554</v>
      </c>
      <c r="BG142" s="13">
        <f t="shared" si="121"/>
        <v>0.0355649377035554</v>
      </c>
      <c r="BH142" s="13">
        <f t="shared" si="121"/>
        <v>0.0355649377035554</v>
      </c>
      <c r="BI142" s="13">
        <f t="shared" si="121"/>
        <v>0.0355649377035554</v>
      </c>
      <c r="BJ142" s="13">
        <f t="shared" si="121"/>
        <v>0.0355649377035554</v>
      </c>
      <c r="BK142" s="13">
        <f t="shared" si="121"/>
        <v>0.0355649377035554</v>
      </c>
      <c r="BL142" s="13">
        <f t="shared" si="121"/>
        <v>0.0355649377035554</v>
      </c>
      <c r="BM142" s="13">
        <f t="shared" si="121"/>
        <v>0.0355649377035554</v>
      </c>
      <c r="BN142" s="13">
        <f t="shared" si="121"/>
        <v>0.0355649377035554</v>
      </c>
    </row>
    <row r="143" spans="4:66">
      <c r="D143" s="14" t="s">
        <v>6</v>
      </c>
      <c r="E143" s="13">
        <f t="shared" si="119"/>
        <v>0.00015538088659437</v>
      </c>
      <c r="F143" s="13">
        <f t="shared" si="119"/>
        <v>0.000204679534882754</v>
      </c>
      <c r="G143" s="13">
        <f t="shared" ref="G143:AC143" si="140">G110*G76</f>
        <v>0.00194573697406055</v>
      </c>
      <c r="H143" s="13">
        <f t="shared" si="140"/>
        <v>0.000852586021326368</v>
      </c>
      <c r="I143" s="13">
        <f t="shared" si="140"/>
        <v>0.000498890529237376</v>
      </c>
      <c r="J143" s="13">
        <f t="shared" si="140"/>
        <v>0.00315512682446102</v>
      </c>
      <c r="K143" s="13">
        <f t="shared" si="140"/>
        <v>0</v>
      </c>
      <c r="L143" s="13">
        <f t="shared" si="140"/>
        <v>0.00608478928621661</v>
      </c>
      <c r="M143" s="13">
        <f t="shared" si="140"/>
        <v>8.84214992249055e-5</v>
      </c>
      <c r="N143" s="13">
        <f t="shared" si="140"/>
        <v>0.000170662370481291</v>
      </c>
      <c r="O143" s="13">
        <f t="shared" si="140"/>
        <v>0.000183333513796279</v>
      </c>
      <c r="P143" s="13">
        <f t="shared" si="140"/>
        <v>0.000656746216556162</v>
      </c>
      <c r="Q143" s="13">
        <f t="shared" si="140"/>
        <v>0.000209677561525438</v>
      </c>
      <c r="R143" s="13">
        <f t="shared" si="140"/>
        <v>0.000504572521298363</v>
      </c>
      <c r="S143" s="13">
        <f t="shared" si="140"/>
        <v>0.000589947576329088</v>
      </c>
      <c r="T143" s="13">
        <f t="shared" si="140"/>
        <v>0.000967312113084374</v>
      </c>
      <c r="U143" s="13">
        <f t="shared" si="140"/>
        <v>0.00200011992235474</v>
      </c>
      <c r="V143" s="13">
        <f t="shared" si="140"/>
        <v>0.000900870575423638</v>
      </c>
      <c r="W143" s="13">
        <f t="shared" si="140"/>
        <v>0.000159858775872215</v>
      </c>
      <c r="X143" s="13">
        <f t="shared" si="140"/>
        <v>0.000253270287200696</v>
      </c>
      <c r="Y143" s="13">
        <f t="shared" si="140"/>
        <v>0.00051351848836532</v>
      </c>
      <c r="Z143" s="13">
        <f t="shared" si="140"/>
        <v>0.00166322182735771</v>
      </c>
      <c r="AA143" s="13">
        <f t="shared" si="140"/>
        <v>0.000425737435581739</v>
      </c>
      <c r="AB143" s="13">
        <f t="shared" si="140"/>
        <v>0.000198028207758331</v>
      </c>
      <c r="AC143" s="13">
        <f t="shared" si="140"/>
        <v>0.000198114146249458</v>
      </c>
      <c r="AD143" s="13">
        <f t="shared" ref="AD143" si="141">AD110*AD76</f>
        <v>0.00020079502668777</v>
      </c>
      <c r="AE143" s="13">
        <f t="shared" si="124"/>
        <v>0.00525399523654481</v>
      </c>
      <c r="AF143" s="13">
        <f t="shared" si="124"/>
        <v>0.000232194490736477</v>
      </c>
      <c r="AG143" s="13">
        <f t="shared" si="124"/>
        <v>0.000551325119539779</v>
      </c>
      <c r="AH143" s="13">
        <f t="shared" si="124"/>
        <v>0.00112052782640369</v>
      </c>
      <c r="AI143" s="13">
        <f t="shared" ref="AI143" si="142">AI110*AI76</f>
        <v>0.000555559543330893</v>
      </c>
      <c r="AJ143" s="13">
        <f t="shared" si="126"/>
        <v>0.0304950003384822</v>
      </c>
      <c r="AK143" s="13">
        <f t="shared" si="127"/>
        <v>0.0304950003384822</v>
      </c>
      <c r="AL143" s="13">
        <f t="shared" si="121"/>
        <v>0.0304950003384822</v>
      </c>
      <c r="AM143" s="13">
        <f t="shared" si="121"/>
        <v>0.0304950003384822</v>
      </c>
      <c r="AN143" s="13">
        <f t="shared" si="121"/>
        <v>0.0304950003384822</v>
      </c>
      <c r="AO143" s="13">
        <f t="shared" si="121"/>
        <v>0.0304950003384822</v>
      </c>
      <c r="AP143" s="13">
        <f t="shared" si="121"/>
        <v>0.0304950003384822</v>
      </c>
      <c r="AQ143" s="13">
        <f t="shared" si="121"/>
        <v>0.0304950003384822</v>
      </c>
      <c r="AR143" s="13">
        <f t="shared" si="121"/>
        <v>0.0304950003384822</v>
      </c>
      <c r="AS143" s="13">
        <f t="shared" si="121"/>
        <v>0.0304950003384822</v>
      </c>
      <c r="AT143" s="13">
        <f t="shared" si="121"/>
        <v>0.0304950003384822</v>
      </c>
      <c r="AU143" s="13">
        <f t="shared" si="121"/>
        <v>0.0304950003384822</v>
      </c>
      <c r="AV143" s="13">
        <f t="shared" si="121"/>
        <v>0.0304950003384822</v>
      </c>
      <c r="AW143" s="13">
        <f t="shared" si="121"/>
        <v>0.0304950003384822</v>
      </c>
      <c r="AX143" s="13">
        <f t="shared" si="121"/>
        <v>0.0304950003384822</v>
      </c>
      <c r="AY143" s="13">
        <f t="shared" si="121"/>
        <v>0.0304950003384822</v>
      </c>
      <c r="AZ143" s="13">
        <f t="shared" si="121"/>
        <v>0.0304950003384822</v>
      </c>
      <c r="BA143" s="13">
        <f t="shared" si="121"/>
        <v>0.0304950003384822</v>
      </c>
      <c r="BB143" s="13">
        <f t="shared" si="121"/>
        <v>0.0304950003384822</v>
      </c>
      <c r="BC143" s="13">
        <f t="shared" si="121"/>
        <v>0.0304950003384822</v>
      </c>
      <c r="BD143" s="13">
        <f t="shared" si="121"/>
        <v>0.0304950003384822</v>
      </c>
      <c r="BE143" s="13">
        <f t="shared" si="121"/>
        <v>0.0304950003384822</v>
      </c>
      <c r="BF143" s="13">
        <f t="shared" si="121"/>
        <v>0.0304950003384822</v>
      </c>
      <c r="BG143" s="13">
        <f t="shared" si="121"/>
        <v>0.0304950003384822</v>
      </c>
      <c r="BH143" s="13">
        <f t="shared" si="121"/>
        <v>0.0304950003384822</v>
      </c>
      <c r="BI143" s="13">
        <f t="shared" si="121"/>
        <v>0.0304950003384822</v>
      </c>
      <c r="BJ143" s="13">
        <f t="shared" si="121"/>
        <v>0.0304950003384822</v>
      </c>
      <c r="BK143" s="13">
        <f t="shared" si="121"/>
        <v>0.0304950003384822</v>
      </c>
      <c r="BL143" s="13">
        <f t="shared" si="121"/>
        <v>0.0304950003384822</v>
      </c>
      <c r="BM143" s="13">
        <f t="shared" si="121"/>
        <v>0.0304950003384822</v>
      </c>
      <c r="BN143" s="13">
        <f t="shared" si="121"/>
        <v>0.0304950003384822</v>
      </c>
    </row>
    <row r="144" spans="4:66">
      <c r="D144" s="14" t="s">
        <v>7</v>
      </c>
      <c r="E144" s="13">
        <f t="shared" si="119"/>
        <v>3.09056747984747e-5</v>
      </c>
      <c r="F144" s="13">
        <f t="shared" si="119"/>
        <v>3.90649669435665e-5</v>
      </c>
      <c r="G144" s="13">
        <f t="shared" ref="G144:AC144" si="143">G111*G77</f>
        <v>0.000834685027457788</v>
      </c>
      <c r="H144" s="13">
        <f t="shared" si="143"/>
        <v>0.000870804388894402</v>
      </c>
      <c r="I144" s="13">
        <f t="shared" si="143"/>
        <v>8.29811469597384e-5</v>
      </c>
      <c r="J144" s="13">
        <f t="shared" si="143"/>
        <v>0.000283509811919759</v>
      </c>
      <c r="K144" s="13">
        <f t="shared" si="143"/>
        <v>0.00161632415541277</v>
      </c>
      <c r="L144" s="13">
        <f t="shared" si="143"/>
        <v>0</v>
      </c>
      <c r="M144" s="13">
        <f t="shared" si="143"/>
        <v>1.856866943333e-5</v>
      </c>
      <c r="N144" s="13">
        <f t="shared" si="143"/>
        <v>3.32664287973086e-5</v>
      </c>
      <c r="O144" s="13">
        <f t="shared" si="143"/>
        <v>3.52640490644171e-5</v>
      </c>
      <c r="P144" s="13">
        <f t="shared" si="143"/>
        <v>0.000516007425813637</v>
      </c>
      <c r="Q144" s="13">
        <f t="shared" si="143"/>
        <v>3.84222227745518e-5</v>
      </c>
      <c r="R144" s="13">
        <f t="shared" si="143"/>
        <v>0.000372924929642302</v>
      </c>
      <c r="S144" s="13">
        <f t="shared" si="143"/>
        <v>8.99434230907042e-5</v>
      </c>
      <c r="T144" s="13">
        <f t="shared" si="143"/>
        <v>0.0163344098657298</v>
      </c>
      <c r="U144" s="13">
        <f t="shared" si="143"/>
        <v>0.000134335164947473</v>
      </c>
      <c r="V144" s="13">
        <f t="shared" si="143"/>
        <v>0.000682088306550229</v>
      </c>
      <c r="W144" s="13">
        <f t="shared" si="143"/>
        <v>3.02279752298975e-5</v>
      </c>
      <c r="X144" s="13">
        <f t="shared" si="143"/>
        <v>0.000126686152147965</v>
      </c>
      <c r="Y144" s="13">
        <f t="shared" si="143"/>
        <v>0.00150967180321796</v>
      </c>
      <c r="Z144" s="13">
        <f t="shared" si="143"/>
        <v>0.000110054907840218</v>
      </c>
      <c r="AA144" s="13">
        <f t="shared" si="143"/>
        <v>0.000371255028600373</v>
      </c>
      <c r="AB144" s="13">
        <f t="shared" si="143"/>
        <v>7.59040590947883e-5</v>
      </c>
      <c r="AC144" s="13">
        <f t="shared" si="143"/>
        <v>8.35681380962676e-5</v>
      </c>
      <c r="AD144" s="13">
        <f t="shared" ref="AD144" si="144">AD111*AD77</f>
        <v>9.93126001343445e-5</v>
      </c>
      <c r="AE144" s="13">
        <f t="shared" si="124"/>
        <v>0.000223878808609014</v>
      </c>
      <c r="AF144" s="13">
        <f t="shared" si="124"/>
        <v>8.60636078861663e-5</v>
      </c>
      <c r="AG144" s="13">
        <f t="shared" si="124"/>
        <v>0.000909784329852716</v>
      </c>
      <c r="AH144" s="13">
        <f t="shared" si="124"/>
        <v>0.000770103889925998</v>
      </c>
      <c r="AI144" s="13">
        <f t="shared" ref="AI144" si="145">AI111*AI77</f>
        <v>0.000737856620452058</v>
      </c>
      <c r="AJ144" s="13">
        <f t="shared" si="126"/>
        <v>0.027147873579318</v>
      </c>
      <c r="AK144" s="13">
        <f t="shared" si="127"/>
        <v>0.027147873579318</v>
      </c>
      <c r="AL144" s="13">
        <f t="shared" si="121"/>
        <v>0.027147873579318</v>
      </c>
      <c r="AM144" s="13">
        <f t="shared" si="121"/>
        <v>0.027147873579318</v>
      </c>
      <c r="AN144" s="13">
        <f t="shared" si="121"/>
        <v>0.027147873579318</v>
      </c>
      <c r="AO144" s="13">
        <f t="shared" si="121"/>
        <v>0.027147873579318</v>
      </c>
      <c r="AP144" s="13">
        <f t="shared" si="121"/>
        <v>0.027147873579318</v>
      </c>
      <c r="AQ144" s="13">
        <f t="shared" si="121"/>
        <v>0.027147873579318</v>
      </c>
      <c r="AR144" s="13">
        <f t="shared" si="121"/>
        <v>0.027147873579318</v>
      </c>
      <c r="AS144" s="13">
        <f t="shared" si="121"/>
        <v>0.027147873579318</v>
      </c>
      <c r="AT144" s="13">
        <f t="shared" si="121"/>
        <v>0.027147873579318</v>
      </c>
      <c r="AU144" s="13">
        <f t="shared" si="121"/>
        <v>0.027147873579318</v>
      </c>
      <c r="AV144" s="13">
        <f t="shared" si="121"/>
        <v>0.027147873579318</v>
      </c>
      <c r="AW144" s="13">
        <f t="shared" si="121"/>
        <v>0.027147873579318</v>
      </c>
      <c r="AX144" s="13">
        <f t="shared" si="121"/>
        <v>0.027147873579318</v>
      </c>
      <c r="AY144" s="13">
        <f t="shared" si="121"/>
        <v>0.027147873579318</v>
      </c>
      <c r="AZ144" s="13">
        <f t="shared" si="121"/>
        <v>0.027147873579318</v>
      </c>
      <c r="BA144" s="13">
        <f t="shared" si="121"/>
        <v>0.027147873579318</v>
      </c>
      <c r="BB144" s="13">
        <f t="shared" si="121"/>
        <v>0.027147873579318</v>
      </c>
      <c r="BC144" s="13">
        <f t="shared" si="121"/>
        <v>0.027147873579318</v>
      </c>
      <c r="BD144" s="13">
        <f t="shared" si="121"/>
        <v>0.027147873579318</v>
      </c>
      <c r="BE144" s="13">
        <f t="shared" si="121"/>
        <v>0.027147873579318</v>
      </c>
      <c r="BF144" s="13">
        <f t="shared" si="121"/>
        <v>0.027147873579318</v>
      </c>
      <c r="BG144" s="13">
        <f t="shared" si="121"/>
        <v>0.027147873579318</v>
      </c>
      <c r="BH144" s="13">
        <f t="shared" si="121"/>
        <v>0.027147873579318</v>
      </c>
      <c r="BI144" s="13">
        <f t="shared" si="121"/>
        <v>0.027147873579318</v>
      </c>
      <c r="BJ144" s="13">
        <f t="shared" si="121"/>
        <v>0.027147873579318</v>
      </c>
      <c r="BK144" s="13">
        <f t="shared" si="121"/>
        <v>0.027147873579318</v>
      </c>
      <c r="BL144" s="13">
        <f t="shared" si="121"/>
        <v>0.027147873579318</v>
      </c>
      <c r="BM144" s="13">
        <f t="shared" si="121"/>
        <v>0.027147873579318</v>
      </c>
      <c r="BN144" s="13">
        <f t="shared" si="121"/>
        <v>0.027147873579318</v>
      </c>
    </row>
    <row r="145" spans="4:66">
      <c r="D145" s="14" t="s">
        <v>8</v>
      </c>
      <c r="E145" s="13">
        <f t="shared" si="119"/>
        <v>0.00844553482407028</v>
      </c>
      <c r="F145" s="13">
        <f t="shared" si="119"/>
        <v>0.00227533976589115</v>
      </c>
      <c r="G145" s="13">
        <f t="shared" ref="G145:AC145" si="146">G112*G78</f>
        <v>0.000555026536628206</v>
      </c>
      <c r="H145" s="13">
        <f t="shared" si="146"/>
        <v>0.00048295054684639</v>
      </c>
      <c r="I145" s="13">
        <f t="shared" si="146"/>
        <v>0.000544010270512978</v>
      </c>
      <c r="J145" s="13">
        <f t="shared" si="146"/>
        <v>0.000587422950808495</v>
      </c>
      <c r="K145" s="13">
        <f t="shared" si="146"/>
        <v>0.000412165464451228</v>
      </c>
      <c r="L145" s="13">
        <f t="shared" si="146"/>
        <v>0.000325845396536239</v>
      </c>
      <c r="M145" s="13">
        <f t="shared" si="146"/>
        <v>0</v>
      </c>
      <c r="N145" s="13">
        <f t="shared" si="146"/>
        <v>0.00429275456307943</v>
      </c>
      <c r="O145" s="13">
        <f t="shared" si="146"/>
        <v>0.00664623550226773</v>
      </c>
      <c r="P145" s="13">
        <f t="shared" si="146"/>
        <v>0.00132066625116106</v>
      </c>
      <c r="Q145" s="13">
        <f t="shared" si="146"/>
        <v>0.00138259187563575</v>
      </c>
      <c r="R145" s="13">
        <f t="shared" si="146"/>
        <v>0.000818605740949027</v>
      </c>
      <c r="S145" s="13">
        <f t="shared" si="146"/>
        <v>0.0010383588213335</v>
      </c>
      <c r="T145" s="13">
        <f t="shared" si="146"/>
        <v>0.000651317326869998</v>
      </c>
      <c r="U145" s="13">
        <f t="shared" si="146"/>
        <v>0.000885309645274526</v>
      </c>
      <c r="V145" s="13">
        <f t="shared" si="146"/>
        <v>0.000605824714847407</v>
      </c>
      <c r="W145" s="13">
        <f t="shared" si="146"/>
        <v>0.00070510277374015</v>
      </c>
      <c r="X145" s="13">
        <f t="shared" si="146"/>
        <v>0.000308170595600599</v>
      </c>
      <c r="Y145" s="13">
        <f t="shared" si="146"/>
        <v>0.000325688581117489</v>
      </c>
      <c r="Z145" s="13">
        <f t="shared" si="146"/>
        <v>0.000425271494193643</v>
      </c>
      <c r="AA145" s="13">
        <f t="shared" si="146"/>
        <v>0.000315882202090129</v>
      </c>
      <c r="AB145" s="13">
        <f t="shared" si="146"/>
        <v>0.000304023143700546</v>
      </c>
      <c r="AC145" s="13">
        <f t="shared" si="146"/>
        <v>0.000244379046328759</v>
      </c>
      <c r="AD145" s="13">
        <f t="shared" ref="AD145" si="147">AD112*AD78</f>
        <v>0.000170722120504481</v>
      </c>
      <c r="AE145" s="13">
        <f t="shared" si="124"/>
        <v>0.00046726095067602</v>
      </c>
      <c r="AF145" s="13">
        <f t="shared" si="124"/>
        <v>0.000266833282679247</v>
      </c>
      <c r="AG145" s="13">
        <f t="shared" si="124"/>
        <v>0.000276269620814654</v>
      </c>
      <c r="AH145" s="13">
        <f t="shared" si="124"/>
        <v>0.000345249968643506</v>
      </c>
      <c r="AI145" s="13">
        <f t="shared" ref="AI145" si="148">AI112*AI78</f>
        <v>0.000166665261997015</v>
      </c>
      <c r="AJ145" s="13">
        <f t="shared" si="126"/>
        <v>0.0355914792392496</v>
      </c>
      <c r="AK145" s="13">
        <f t="shared" si="127"/>
        <v>0.0355914792392496</v>
      </c>
      <c r="AL145" s="13">
        <f t="shared" si="121"/>
        <v>0.0355914792392496</v>
      </c>
      <c r="AM145" s="13">
        <f t="shared" si="121"/>
        <v>0.0355914792392496</v>
      </c>
      <c r="AN145" s="13">
        <f t="shared" si="121"/>
        <v>0.0355914792392496</v>
      </c>
      <c r="AO145" s="13">
        <f t="shared" si="121"/>
        <v>0.0355914792392496</v>
      </c>
      <c r="AP145" s="13">
        <f t="shared" si="121"/>
        <v>0.0355914792392496</v>
      </c>
      <c r="AQ145" s="13">
        <f t="shared" si="121"/>
        <v>0.0355914792392496</v>
      </c>
      <c r="AR145" s="13">
        <f t="shared" si="121"/>
        <v>0.0355914792392496</v>
      </c>
      <c r="AS145" s="13">
        <f t="shared" si="121"/>
        <v>0.0355914792392496</v>
      </c>
      <c r="AT145" s="13">
        <f t="shared" si="121"/>
        <v>0.0355914792392496</v>
      </c>
      <c r="AU145" s="13">
        <f t="shared" si="121"/>
        <v>0.0355914792392496</v>
      </c>
      <c r="AV145" s="13">
        <f t="shared" si="121"/>
        <v>0.0355914792392496</v>
      </c>
      <c r="AW145" s="13">
        <f t="shared" si="121"/>
        <v>0.0355914792392496</v>
      </c>
      <c r="AX145" s="13">
        <f t="shared" si="121"/>
        <v>0.0355914792392496</v>
      </c>
      <c r="AY145" s="13">
        <f t="shared" si="121"/>
        <v>0.0355914792392496</v>
      </c>
      <c r="AZ145" s="13">
        <f t="shared" si="121"/>
        <v>0.0355914792392496</v>
      </c>
      <c r="BA145" s="13">
        <f t="shared" si="121"/>
        <v>0.0355914792392496</v>
      </c>
      <c r="BB145" s="13">
        <f t="shared" si="121"/>
        <v>0.0355914792392496</v>
      </c>
      <c r="BC145" s="13">
        <f t="shared" si="121"/>
        <v>0.0355914792392496</v>
      </c>
      <c r="BD145" s="13">
        <f t="shared" si="121"/>
        <v>0.0355914792392496</v>
      </c>
      <c r="BE145" s="13">
        <f t="shared" si="121"/>
        <v>0.0355914792392496</v>
      </c>
      <c r="BF145" s="13">
        <f t="shared" si="121"/>
        <v>0.0355914792392496</v>
      </c>
      <c r="BG145" s="13">
        <f t="shared" si="121"/>
        <v>0.0355914792392496</v>
      </c>
      <c r="BH145" s="13">
        <f t="shared" si="121"/>
        <v>0.0355914792392496</v>
      </c>
      <c r="BI145" s="13">
        <f t="shared" ref="BI145:BN145" si="149">$AJ145</f>
        <v>0.0355914792392496</v>
      </c>
      <c r="BJ145" s="13">
        <f t="shared" si="149"/>
        <v>0.0355914792392496</v>
      </c>
      <c r="BK145" s="13">
        <f t="shared" si="149"/>
        <v>0.0355914792392496</v>
      </c>
      <c r="BL145" s="13">
        <f t="shared" si="149"/>
        <v>0.0355914792392496</v>
      </c>
      <c r="BM145" s="13">
        <f t="shared" si="149"/>
        <v>0.0355914792392496</v>
      </c>
      <c r="BN145" s="13">
        <f t="shared" si="149"/>
        <v>0.0355914792392496</v>
      </c>
    </row>
    <row r="146" spans="4:66">
      <c r="D146" s="14" t="s">
        <v>9</v>
      </c>
      <c r="E146" s="13">
        <f t="shared" si="119"/>
        <v>0.000897333876615146</v>
      </c>
      <c r="F146" s="13">
        <f t="shared" si="119"/>
        <v>0.00193887873703265</v>
      </c>
      <c r="G146" s="13">
        <f t="shared" ref="G146:S146" si="150">G113*G79</f>
        <v>0.000711900267626489</v>
      </c>
      <c r="H146" s="13">
        <f t="shared" si="150"/>
        <v>0.00059853746306903</v>
      </c>
      <c r="I146" s="13">
        <f t="shared" si="150"/>
        <v>0.000902436617408841</v>
      </c>
      <c r="J146" s="13">
        <f t="shared" si="150"/>
        <v>0.000736144989439614</v>
      </c>
      <c r="K146" s="13">
        <f t="shared" si="150"/>
        <v>0.000430526102459612</v>
      </c>
      <c r="L146" s="13">
        <f t="shared" si="150"/>
        <v>0.000315925713569827</v>
      </c>
      <c r="M146" s="13">
        <f t="shared" si="150"/>
        <v>0.00232318635093648</v>
      </c>
      <c r="N146" s="13">
        <f t="shared" si="150"/>
        <v>0</v>
      </c>
      <c r="O146" s="13">
        <f t="shared" si="150"/>
        <v>0.0149148381528238</v>
      </c>
      <c r="P146" s="13">
        <f t="shared" si="150"/>
        <v>0.00362988278151099</v>
      </c>
      <c r="Q146" s="13">
        <f t="shared" si="150"/>
        <v>0.00209869042551266</v>
      </c>
      <c r="R146" s="13">
        <f t="shared" si="150"/>
        <v>0.000986619723099178</v>
      </c>
      <c r="S146" s="13">
        <f t="shared" si="150"/>
        <v>0.00195905428315824</v>
      </c>
      <c r="T146" s="13">
        <f t="shared" ref="T146:AI146" si="151">T113*T79</f>
        <v>0.000952532057151773</v>
      </c>
      <c r="U146" s="13">
        <f t="shared" si="151"/>
        <v>0.00145052752356197</v>
      </c>
      <c r="V146" s="13">
        <f t="shared" si="151"/>
        <v>0.000753134035497819</v>
      </c>
      <c r="W146" s="13">
        <f t="shared" si="151"/>
        <v>0.00133031097237718</v>
      </c>
      <c r="X146" s="13">
        <f t="shared" si="151"/>
        <v>0.000309077849075962</v>
      </c>
      <c r="Y146" s="13">
        <f t="shared" si="151"/>
        <v>0.000333915143425552</v>
      </c>
      <c r="Z146" s="13">
        <f t="shared" si="151"/>
        <v>0.000553868633916533</v>
      </c>
      <c r="AA146" s="13">
        <f t="shared" si="151"/>
        <v>0.000354304212566167</v>
      </c>
      <c r="AB146" s="13">
        <f t="shared" si="151"/>
        <v>0.000309678518639461</v>
      </c>
      <c r="AC146" s="13">
        <f t="shared" si="151"/>
        <v>0.000245197898267011</v>
      </c>
      <c r="AD146" s="13">
        <f t="shared" si="151"/>
        <v>0.000170850526184448</v>
      </c>
      <c r="AE146" s="13">
        <f t="shared" si="151"/>
        <v>0.000621631615735367</v>
      </c>
      <c r="AF146" s="13">
        <f t="shared" si="151"/>
        <v>0.000277422036182659</v>
      </c>
      <c r="AG146" s="13">
        <f t="shared" si="151"/>
        <v>0.000309232217214999</v>
      </c>
      <c r="AH146" s="13">
        <f t="shared" si="151"/>
        <v>0.0004096953882916</v>
      </c>
      <c r="AI146" s="13">
        <f t="shared" si="151"/>
        <v>0.000177331011687745</v>
      </c>
      <c r="AJ146" s="13">
        <f t="shared" si="126"/>
        <v>0.0410026651240388</v>
      </c>
      <c r="AK146" s="13">
        <f t="shared" si="127"/>
        <v>0.0410026651240388</v>
      </c>
      <c r="AL146" s="13">
        <f t="shared" si="127"/>
        <v>0.0410026651240388</v>
      </c>
      <c r="AM146" s="13">
        <f t="shared" si="127"/>
        <v>0.0410026651240388</v>
      </c>
      <c r="AN146" s="13">
        <f t="shared" si="127"/>
        <v>0.0410026651240388</v>
      </c>
      <c r="AO146" s="13">
        <f t="shared" si="127"/>
        <v>0.0410026651240388</v>
      </c>
      <c r="AP146" s="13">
        <f t="shared" si="127"/>
        <v>0.0410026651240388</v>
      </c>
      <c r="AQ146" s="13">
        <f t="shared" si="127"/>
        <v>0.0410026651240388</v>
      </c>
      <c r="AR146" s="13">
        <f t="shared" si="127"/>
        <v>0.0410026651240388</v>
      </c>
      <c r="AS146" s="13">
        <f t="shared" si="127"/>
        <v>0.0410026651240388</v>
      </c>
      <c r="AT146" s="13">
        <f t="shared" si="127"/>
        <v>0.0410026651240388</v>
      </c>
      <c r="AU146" s="13">
        <f t="shared" si="127"/>
        <v>0.0410026651240388</v>
      </c>
      <c r="AV146" s="13">
        <f t="shared" si="127"/>
        <v>0.0410026651240388</v>
      </c>
      <c r="AW146" s="13">
        <f t="shared" si="127"/>
        <v>0.0410026651240388</v>
      </c>
      <c r="AX146" s="13">
        <f t="shared" si="127"/>
        <v>0.0410026651240388</v>
      </c>
      <c r="AY146" s="13">
        <f t="shared" si="127"/>
        <v>0.0410026651240388</v>
      </c>
      <c r="AZ146" s="13">
        <f t="shared" si="127"/>
        <v>0.0410026651240388</v>
      </c>
      <c r="BA146" s="13">
        <f t="shared" ref="BA146:BN167" si="152">$AJ146</f>
        <v>0.0410026651240388</v>
      </c>
      <c r="BB146" s="13">
        <f t="shared" si="152"/>
        <v>0.0410026651240388</v>
      </c>
      <c r="BC146" s="13">
        <f t="shared" si="152"/>
        <v>0.0410026651240388</v>
      </c>
      <c r="BD146" s="13">
        <f t="shared" si="152"/>
        <v>0.0410026651240388</v>
      </c>
      <c r="BE146" s="13">
        <f t="shared" si="152"/>
        <v>0.0410026651240388</v>
      </c>
      <c r="BF146" s="13">
        <f t="shared" si="152"/>
        <v>0.0410026651240388</v>
      </c>
      <c r="BG146" s="13">
        <f t="shared" si="152"/>
        <v>0.0410026651240388</v>
      </c>
      <c r="BH146" s="13">
        <f t="shared" si="152"/>
        <v>0.0410026651240388</v>
      </c>
      <c r="BI146" s="13">
        <f t="shared" si="152"/>
        <v>0.0410026651240388</v>
      </c>
      <c r="BJ146" s="13">
        <f t="shared" si="152"/>
        <v>0.0410026651240388</v>
      </c>
      <c r="BK146" s="13">
        <f t="shared" si="152"/>
        <v>0.0410026651240388</v>
      </c>
      <c r="BL146" s="13">
        <f t="shared" si="152"/>
        <v>0.0410026651240388</v>
      </c>
      <c r="BM146" s="13">
        <f t="shared" si="152"/>
        <v>0.0410026651240388</v>
      </c>
      <c r="BN146" s="13">
        <f t="shared" si="152"/>
        <v>0.0410026651240388</v>
      </c>
    </row>
    <row r="147" spans="4:66">
      <c r="D147" s="14" t="s">
        <v>10</v>
      </c>
      <c r="E147" s="13">
        <f t="shared" si="119"/>
        <v>0.000567840649427276</v>
      </c>
      <c r="F147" s="13">
        <f t="shared" si="119"/>
        <v>0.00104118421693178</v>
      </c>
      <c r="G147" s="13">
        <f t="shared" ref="G147:S147" si="153">G114*G80</f>
        <v>0.000602571706779048</v>
      </c>
      <c r="H147" s="13">
        <f t="shared" si="153"/>
        <v>0.000508183355327297</v>
      </c>
      <c r="I147" s="13">
        <f t="shared" si="153"/>
        <v>0.000968962566259353</v>
      </c>
      <c r="J147" s="13">
        <f t="shared" si="153"/>
        <v>0.00080123500197771</v>
      </c>
      <c r="K147" s="13">
        <f t="shared" si="153"/>
        <v>0.000449599740140001</v>
      </c>
      <c r="L147" s="13">
        <f t="shared" si="153"/>
        <v>0.000325561804048541</v>
      </c>
      <c r="M147" s="13">
        <f t="shared" si="153"/>
        <v>0.00349660190884903</v>
      </c>
      <c r="N147" s="13">
        <f t="shared" si="153"/>
        <v>0.0144990991726951</v>
      </c>
      <c r="O147" s="13">
        <f t="shared" si="153"/>
        <v>0</v>
      </c>
      <c r="P147" s="13">
        <f t="shared" si="153"/>
        <v>0.00170730917102683</v>
      </c>
      <c r="Q147" s="13">
        <f t="shared" si="153"/>
        <v>0.00458848016917427</v>
      </c>
      <c r="R147" s="13">
        <f t="shared" si="153"/>
        <v>0.00111481056357997</v>
      </c>
      <c r="S147" s="13">
        <f t="shared" si="153"/>
        <v>0.00171463729257823</v>
      </c>
      <c r="T147" s="13">
        <f t="shared" ref="T147:AC147" si="154">T114*T80</f>
        <v>0.000733383582185476</v>
      </c>
      <c r="U147" s="13">
        <f t="shared" si="154"/>
        <v>0.00133427479172368</v>
      </c>
      <c r="V147" s="13">
        <f t="shared" si="154"/>
        <v>0.00079287864112158</v>
      </c>
      <c r="W147" s="13">
        <f t="shared" si="154"/>
        <v>0.00225984454904713</v>
      </c>
      <c r="X147" s="13">
        <f t="shared" si="154"/>
        <v>0.000341821649277555</v>
      </c>
      <c r="Y147" s="13">
        <f t="shared" si="154"/>
        <v>0.000391507997996222</v>
      </c>
      <c r="Z147" s="13">
        <f t="shared" si="154"/>
        <v>0.000577896414271524</v>
      </c>
      <c r="AA147" s="13">
        <f t="shared" si="154"/>
        <v>0.00035354859623347</v>
      </c>
      <c r="AB147" s="13">
        <f t="shared" si="154"/>
        <v>0.000318286046606274</v>
      </c>
      <c r="AC147" s="13">
        <f t="shared" si="154"/>
        <v>0.000255643523324948</v>
      </c>
      <c r="AD147" s="13">
        <f t="shared" ref="AD147" si="155">AD114*AD80</f>
        <v>0.000176514476538065</v>
      </c>
      <c r="AE147" s="13">
        <f t="shared" ref="AE147:AH154" si="156">AE114*AE80</f>
        <v>0.000578371265187536</v>
      </c>
      <c r="AF147" s="13">
        <f t="shared" si="156"/>
        <v>0.000259698292698598</v>
      </c>
      <c r="AG147" s="13">
        <f t="shared" si="156"/>
        <v>0.000303214673973244</v>
      </c>
      <c r="AH147" s="13">
        <f t="shared" si="156"/>
        <v>0.000388564081613858</v>
      </c>
      <c r="AI147" s="13">
        <f t="shared" ref="AI147" si="157">AI114*AI80</f>
        <v>0.000184456251565457</v>
      </c>
      <c r="AJ147" s="13">
        <f t="shared" si="126"/>
        <v>0.041635982152159</v>
      </c>
      <c r="AK147" s="13">
        <f t="shared" si="127"/>
        <v>0.041635982152159</v>
      </c>
      <c r="AL147" s="13">
        <f t="shared" si="127"/>
        <v>0.041635982152159</v>
      </c>
      <c r="AM147" s="13">
        <f t="shared" si="127"/>
        <v>0.041635982152159</v>
      </c>
      <c r="AN147" s="13">
        <f t="shared" si="127"/>
        <v>0.041635982152159</v>
      </c>
      <c r="AO147" s="13">
        <f t="shared" si="127"/>
        <v>0.041635982152159</v>
      </c>
      <c r="AP147" s="13">
        <f t="shared" si="127"/>
        <v>0.041635982152159</v>
      </c>
      <c r="AQ147" s="13">
        <f t="shared" si="127"/>
        <v>0.041635982152159</v>
      </c>
      <c r="AR147" s="13">
        <f t="shared" si="127"/>
        <v>0.041635982152159</v>
      </c>
      <c r="AS147" s="13">
        <f t="shared" si="127"/>
        <v>0.041635982152159</v>
      </c>
      <c r="AT147" s="13">
        <f t="shared" si="127"/>
        <v>0.041635982152159</v>
      </c>
      <c r="AU147" s="13">
        <f t="shared" si="127"/>
        <v>0.041635982152159</v>
      </c>
      <c r="AV147" s="13">
        <f t="shared" si="127"/>
        <v>0.041635982152159</v>
      </c>
      <c r="AW147" s="13">
        <f t="shared" si="127"/>
        <v>0.041635982152159</v>
      </c>
      <c r="AX147" s="13">
        <f t="shared" si="127"/>
        <v>0.041635982152159</v>
      </c>
      <c r="AY147" s="13">
        <f t="shared" si="127"/>
        <v>0.041635982152159</v>
      </c>
      <c r="AZ147" s="13">
        <f t="shared" si="127"/>
        <v>0.041635982152159</v>
      </c>
      <c r="BA147" s="13">
        <f t="shared" si="152"/>
        <v>0.041635982152159</v>
      </c>
      <c r="BB147" s="13">
        <f t="shared" si="152"/>
        <v>0.041635982152159</v>
      </c>
      <c r="BC147" s="13">
        <f t="shared" si="152"/>
        <v>0.041635982152159</v>
      </c>
      <c r="BD147" s="13">
        <f t="shared" si="152"/>
        <v>0.041635982152159</v>
      </c>
      <c r="BE147" s="13">
        <f t="shared" si="152"/>
        <v>0.041635982152159</v>
      </c>
      <c r="BF147" s="13">
        <f t="shared" si="152"/>
        <v>0.041635982152159</v>
      </c>
      <c r="BG147" s="13">
        <f t="shared" si="152"/>
        <v>0.041635982152159</v>
      </c>
      <c r="BH147" s="13">
        <f t="shared" si="152"/>
        <v>0.041635982152159</v>
      </c>
      <c r="BI147" s="13">
        <f t="shared" si="152"/>
        <v>0.041635982152159</v>
      </c>
      <c r="BJ147" s="13">
        <f t="shared" si="152"/>
        <v>0.041635982152159</v>
      </c>
      <c r="BK147" s="13">
        <f t="shared" si="152"/>
        <v>0.041635982152159</v>
      </c>
      <c r="BL147" s="13">
        <f t="shared" si="152"/>
        <v>0.041635982152159</v>
      </c>
      <c r="BM147" s="13">
        <f t="shared" si="152"/>
        <v>0.041635982152159</v>
      </c>
      <c r="BN147" s="13">
        <f t="shared" si="152"/>
        <v>0.041635982152159</v>
      </c>
    </row>
    <row r="148" spans="4:66">
      <c r="D148" s="14" t="s">
        <v>11</v>
      </c>
      <c r="E148" s="13">
        <f t="shared" si="119"/>
        <v>2.22443530505579e-5</v>
      </c>
      <c r="F148" s="13">
        <f t="shared" si="119"/>
        <v>2.95873539026723e-5</v>
      </c>
      <c r="G148" s="13">
        <f t="shared" ref="G148:S148" si="158">G115*G81</f>
        <v>0.000404186872379082</v>
      </c>
      <c r="H148" s="13">
        <f t="shared" si="158"/>
        <v>0.00241695940905311</v>
      </c>
      <c r="I148" s="13">
        <f t="shared" si="158"/>
        <v>5.56037681909947e-5</v>
      </c>
      <c r="J148" s="13">
        <f t="shared" si="158"/>
        <v>6.36591981911897e-5</v>
      </c>
      <c r="K148" s="13">
        <f t="shared" si="158"/>
        <v>0.000110548937300855</v>
      </c>
      <c r="L148" s="13">
        <f t="shared" si="158"/>
        <v>0.000326986651662567</v>
      </c>
      <c r="M148" s="13">
        <f t="shared" si="158"/>
        <v>4.76909910512886e-5</v>
      </c>
      <c r="N148" s="13">
        <f t="shared" si="158"/>
        <v>0.000242207663069089</v>
      </c>
      <c r="O148" s="13">
        <f t="shared" si="158"/>
        <v>0.00011718849490092</v>
      </c>
      <c r="P148" s="13">
        <f t="shared" si="158"/>
        <v>0</v>
      </c>
      <c r="Q148" s="13">
        <f t="shared" si="158"/>
        <v>7.81734452988623e-5</v>
      </c>
      <c r="R148" s="13">
        <f t="shared" si="158"/>
        <v>0.0110441422901008</v>
      </c>
      <c r="S148" s="13">
        <f t="shared" si="158"/>
        <v>0.000118652658474263</v>
      </c>
      <c r="T148" s="13">
        <f t="shared" ref="T148:AC148" si="159">T115*T81</f>
        <v>0.0012259628437152</v>
      </c>
      <c r="U148" s="13">
        <f t="shared" si="159"/>
        <v>0.000414449050701749</v>
      </c>
      <c r="V148" s="13">
        <f t="shared" si="159"/>
        <v>0.000619908194238961</v>
      </c>
      <c r="W148" s="13">
        <f t="shared" si="159"/>
        <v>4.74401869814221e-5</v>
      </c>
      <c r="X148" s="13">
        <f t="shared" si="159"/>
        <v>0.000318337826411018</v>
      </c>
      <c r="Y148" s="13">
        <f t="shared" si="159"/>
        <v>0.000329353502393823</v>
      </c>
      <c r="Z148" s="13">
        <f t="shared" si="159"/>
        <v>0.000127123504581143</v>
      </c>
      <c r="AA148" s="13">
        <f t="shared" si="159"/>
        <v>0.0081902759555389</v>
      </c>
      <c r="AB148" s="13">
        <f t="shared" si="159"/>
        <v>0.000145505593114305</v>
      </c>
      <c r="AC148" s="13">
        <f t="shared" si="159"/>
        <v>0.000144340966572196</v>
      </c>
      <c r="AD148" s="13">
        <f t="shared" ref="AD148" si="160">AD115*AD81</f>
        <v>0.000146744561039005</v>
      </c>
      <c r="AE148" s="13">
        <f t="shared" si="156"/>
        <v>0.000218484509017328</v>
      </c>
      <c r="AF148" s="13">
        <f t="shared" si="156"/>
        <v>0.00011071612194772</v>
      </c>
      <c r="AG148" s="13">
        <f t="shared" si="156"/>
        <v>0.000644080494413817</v>
      </c>
      <c r="AH148" s="13">
        <f t="shared" si="156"/>
        <v>0.000278484168174166</v>
      </c>
      <c r="AI148" s="13">
        <f t="shared" ref="AI148" si="161">AI115*AI81</f>
        <v>0.000139364632691952</v>
      </c>
      <c r="AJ148" s="13">
        <f t="shared" si="126"/>
        <v>0.028178404198159</v>
      </c>
      <c r="AK148" s="13">
        <f t="shared" si="127"/>
        <v>0.028178404198159</v>
      </c>
      <c r="AL148" s="13">
        <f t="shared" si="127"/>
        <v>0.028178404198159</v>
      </c>
      <c r="AM148" s="13">
        <f t="shared" si="127"/>
        <v>0.028178404198159</v>
      </c>
      <c r="AN148" s="13">
        <f t="shared" si="127"/>
        <v>0.028178404198159</v>
      </c>
      <c r="AO148" s="13">
        <f t="shared" si="127"/>
        <v>0.028178404198159</v>
      </c>
      <c r="AP148" s="13">
        <f t="shared" si="127"/>
        <v>0.028178404198159</v>
      </c>
      <c r="AQ148" s="13">
        <f t="shared" si="127"/>
        <v>0.028178404198159</v>
      </c>
      <c r="AR148" s="13">
        <f t="shared" si="127"/>
        <v>0.028178404198159</v>
      </c>
      <c r="AS148" s="13">
        <f t="shared" si="127"/>
        <v>0.028178404198159</v>
      </c>
      <c r="AT148" s="13">
        <f t="shared" si="127"/>
        <v>0.028178404198159</v>
      </c>
      <c r="AU148" s="13">
        <f t="shared" si="127"/>
        <v>0.028178404198159</v>
      </c>
      <c r="AV148" s="13">
        <f t="shared" si="127"/>
        <v>0.028178404198159</v>
      </c>
      <c r="AW148" s="13">
        <f t="shared" si="127"/>
        <v>0.028178404198159</v>
      </c>
      <c r="AX148" s="13">
        <f t="shared" si="127"/>
        <v>0.028178404198159</v>
      </c>
      <c r="AY148" s="13">
        <f t="shared" si="127"/>
        <v>0.028178404198159</v>
      </c>
      <c r="AZ148" s="13">
        <f t="shared" si="127"/>
        <v>0.028178404198159</v>
      </c>
      <c r="BA148" s="13">
        <f t="shared" si="152"/>
        <v>0.028178404198159</v>
      </c>
      <c r="BB148" s="13">
        <f t="shared" si="152"/>
        <v>0.028178404198159</v>
      </c>
      <c r="BC148" s="13">
        <f t="shared" si="152"/>
        <v>0.028178404198159</v>
      </c>
      <c r="BD148" s="13">
        <f t="shared" si="152"/>
        <v>0.028178404198159</v>
      </c>
      <c r="BE148" s="13">
        <f t="shared" si="152"/>
        <v>0.028178404198159</v>
      </c>
      <c r="BF148" s="13">
        <f t="shared" si="152"/>
        <v>0.028178404198159</v>
      </c>
      <c r="BG148" s="13">
        <f t="shared" si="152"/>
        <v>0.028178404198159</v>
      </c>
      <c r="BH148" s="13">
        <f t="shared" si="152"/>
        <v>0.028178404198159</v>
      </c>
      <c r="BI148" s="13">
        <f t="shared" si="152"/>
        <v>0.028178404198159</v>
      </c>
      <c r="BJ148" s="13">
        <f t="shared" si="152"/>
        <v>0.028178404198159</v>
      </c>
      <c r="BK148" s="13">
        <f t="shared" si="152"/>
        <v>0.028178404198159</v>
      </c>
      <c r="BL148" s="13">
        <f t="shared" si="152"/>
        <v>0.028178404198159</v>
      </c>
      <c r="BM148" s="13">
        <f t="shared" si="152"/>
        <v>0.028178404198159</v>
      </c>
      <c r="BN148" s="13">
        <f t="shared" si="152"/>
        <v>0.028178404198159</v>
      </c>
    </row>
    <row r="149" spans="4:66">
      <c r="D149" s="14" t="s">
        <v>12</v>
      </c>
      <c r="E149" s="13">
        <f t="shared" si="119"/>
        <v>0.000217583273865249</v>
      </c>
      <c r="F149" s="13">
        <f t="shared" si="119"/>
        <v>0.000335001313914023</v>
      </c>
      <c r="G149" s="13">
        <f t="shared" ref="G149:S149" si="162">G116*G82</f>
        <v>0.000422607314285955</v>
      </c>
      <c r="H149" s="13">
        <f t="shared" si="162"/>
        <v>0.000358054981729554</v>
      </c>
      <c r="I149" s="13">
        <f t="shared" si="162"/>
        <v>0.00142292059971007</v>
      </c>
      <c r="J149" s="13">
        <f t="shared" si="162"/>
        <v>0.000782087920379988</v>
      </c>
      <c r="K149" s="13">
        <f t="shared" si="162"/>
        <v>0.00035277140516262</v>
      </c>
      <c r="L149" s="13">
        <f t="shared" si="162"/>
        <v>0.000243355397691465</v>
      </c>
      <c r="M149" s="13">
        <f t="shared" si="162"/>
        <v>0.000499024299085824</v>
      </c>
      <c r="N149" s="13">
        <f t="shared" si="162"/>
        <v>0.00139967783426573</v>
      </c>
      <c r="O149" s="13">
        <f t="shared" si="162"/>
        <v>0.00314793740087894</v>
      </c>
      <c r="P149" s="13">
        <f t="shared" si="162"/>
        <v>0.000781346512365606</v>
      </c>
      <c r="Q149" s="13">
        <f t="shared" si="162"/>
        <v>0</v>
      </c>
      <c r="R149" s="13">
        <f t="shared" si="162"/>
        <v>0.00111141748184603</v>
      </c>
      <c r="S149" s="13">
        <f t="shared" si="162"/>
        <v>0.00190164774233524</v>
      </c>
      <c r="T149" s="13">
        <f t="shared" ref="T149:AC149" si="163">T116*T82</f>
        <v>0.000501895506509195</v>
      </c>
      <c r="U149" s="13">
        <f t="shared" si="163"/>
        <v>0.00118186899023128</v>
      </c>
      <c r="V149" s="13">
        <f t="shared" si="163"/>
        <v>0.000837897551228664</v>
      </c>
      <c r="W149" s="13">
        <f t="shared" si="163"/>
        <v>0.0217600664547093</v>
      </c>
      <c r="X149" s="13">
        <f t="shared" si="163"/>
        <v>0.00037809182370008</v>
      </c>
      <c r="Y149" s="13">
        <f t="shared" si="163"/>
        <v>0.000490201129581659</v>
      </c>
      <c r="Z149" s="13">
        <f t="shared" si="163"/>
        <v>0.000615879820511675</v>
      </c>
      <c r="AA149" s="13">
        <f t="shared" si="163"/>
        <v>0.00032187083457042</v>
      </c>
      <c r="AB149" s="13">
        <f t="shared" si="163"/>
        <v>0.000304536808790853</v>
      </c>
      <c r="AC149" s="13">
        <f t="shared" si="163"/>
        <v>0.000244064212859426</v>
      </c>
      <c r="AD149" s="13">
        <f t="shared" ref="AD149" si="164">AD116*AD82</f>
        <v>0.00015797169765008</v>
      </c>
      <c r="AE149" s="13">
        <f t="shared" si="156"/>
        <v>0.000500592672558655</v>
      </c>
      <c r="AF149" s="13">
        <f t="shared" si="156"/>
        <v>0.000201818929852138</v>
      </c>
      <c r="AG149" s="13">
        <f t="shared" si="156"/>
        <v>0.000258657104314712</v>
      </c>
      <c r="AH149" s="13">
        <f t="shared" si="156"/>
        <v>0.000319129368467006</v>
      </c>
      <c r="AI149" s="13">
        <f t="shared" ref="AI149" si="165">AI116*AI82</f>
        <v>0.00016450548019891</v>
      </c>
      <c r="AJ149" s="13">
        <f t="shared" si="126"/>
        <v>0.0412144818632504</v>
      </c>
      <c r="AK149" s="13">
        <f t="shared" si="127"/>
        <v>0.0412144818632504</v>
      </c>
      <c r="AL149" s="13">
        <f t="shared" si="127"/>
        <v>0.0412144818632504</v>
      </c>
      <c r="AM149" s="13">
        <f t="shared" si="127"/>
        <v>0.0412144818632504</v>
      </c>
      <c r="AN149" s="13">
        <f t="shared" si="127"/>
        <v>0.0412144818632504</v>
      </c>
      <c r="AO149" s="13">
        <f t="shared" si="127"/>
        <v>0.0412144818632504</v>
      </c>
      <c r="AP149" s="13">
        <f t="shared" si="127"/>
        <v>0.0412144818632504</v>
      </c>
      <c r="AQ149" s="13">
        <f t="shared" si="127"/>
        <v>0.0412144818632504</v>
      </c>
      <c r="AR149" s="13">
        <f t="shared" si="127"/>
        <v>0.0412144818632504</v>
      </c>
      <c r="AS149" s="13">
        <f t="shared" si="127"/>
        <v>0.0412144818632504</v>
      </c>
      <c r="AT149" s="13">
        <f t="shared" si="127"/>
        <v>0.0412144818632504</v>
      </c>
      <c r="AU149" s="13">
        <f t="shared" si="127"/>
        <v>0.0412144818632504</v>
      </c>
      <c r="AV149" s="13">
        <f t="shared" si="127"/>
        <v>0.0412144818632504</v>
      </c>
      <c r="AW149" s="13">
        <f t="shared" si="127"/>
        <v>0.0412144818632504</v>
      </c>
      <c r="AX149" s="13">
        <f t="shared" si="127"/>
        <v>0.0412144818632504</v>
      </c>
      <c r="AY149" s="13">
        <f t="shared" si="127"/>
        <v>0.0412144818632504</v>
      </c>
      <c r="AZ149" s="13">
        <f t="shared" si="127"/>
        <v>0.0412144818632504</v>
      </c>
      <c r="BA149" s="13">
        <f t="shared" si="152"/>
        <v>0.0412144818632504</v>
      </c>
      <c r="BB149" s="13">
        <f t="shared" si="152"/>
        <v>0.0412144818632504</v>
      </c>
      <c r="BC149" s="13">
        <f t="shared" si="152"/>
        <v>0.0412144818632504</v>
      </c>
      <c r="BD149" s="13">
        <f t="shared" si="152"/>
        <v>0.0412144818632504</v>
      </c>
      <c r="BE149" s="13">
        <f t="shared" si="152"/>
        <v>0.0412144818632504</v>
      </c>
      <c r="BF149" s="13">
        <f t="shared" si="152"/>
        <v>0.0412144818632504</v>
      </c>
      <c r="BG149" s="13">
        <f t="shared" si="152"/>
        <v>0.0412144818632504</v>
      </c>
      <c r="BH149" s="13">
        <f t="shared" si="152"/>
        <v>0.0412144818632504</v>
      </c>
      <c r="BI149" s="13">
        <f t="shared" si="152"/>
        <v>0.0412144818632504</v>
      </c>
      <c r="BJ149" s="13">
        <f t="shared" si="152"/>
        <v>0.0412144818632504</v>
      </c>
      <c r="BK149" s="13">
        <f t="shared" si="152"/>
        <v>0.0412144818632504</v>
      </c>
      <c r="BL149" s="13">
        <f t="shared" si="152"/>
        <v>0.0412144818632504</v>
      </c>
      <c r="BM149" s="13">
        <f t="shared" si="152"/>
        <v>0.0412144818632504</v>
      </c>
      <c r="BN149" s="13">
        <f t="shared" si="152"/>
        <v>0.0412144818632504</v>
      </c>
    </row>
    <row r="150" spans="4:66">
      <c r="D150" s="14" t="s">
        <v>13</v>
      </c>
      <c r="E150" s="13">
        <f t="shared" si="119"/>
        <v>2.92613843021987e-5</v>
      </c>
      <c r="F150" s="13">
        <f t="shared" si="119"/>
        <v>3.77237313316421e-5</v>
      </c>
      <c r="G150" s="13">
        <f t="shared" ref="G150:S150" si="166">G117*G83</f>
        <v>0.000491939256681309</v>
      </c>
      <c r="H150" s="13">
        <f t="shared" si="166"/>
        <v>0.00229149033470081</v>
      </c>
      <c r="I150" s="13">
        <f t="shared" si="166"/>
        <v>8.06254721791647e-5</v>
      </c>
      <c r="J150" s="13">
        <f t="shared" si="166"/>
        <v>8.73728749348172e-5</v>
      </c>
      <c r="K150" s="13">
        <f t="shared" si="166"/>
        <v>0.000155391384363152</v>
      </c>
      <c r="L150" s="13">
        <f t="shared" si="166"/>
        <v>0.000432356345045808</v>
      </c>
      <c r="M150" s="13">
        <f t="shared" si="166"/>
        <v>5.40834517301223e-5</v>
      </c>
      <c r="N150" s="13">
        <f t="shared" si="166"/>
        <v>0.000120445733144935</v>
      </c>
      <c r="O150" s="13">
        <f t="shared" si="166"/>
        <v>0.000139997482600965</v>
      </c>
      <c r="P150" s="13">
        <f t="shared" si="166"/>
        <v>0.0202059065995168</v>
      </c>
      <c r="Q150" s="13">
        <f t="shared" si="166"/>
        <v>0.00020344131123596</v>
      </c>
      <c r="R150" s="13">
        <f t="shared" si="166"/>
        <v>0</v>
      </c>
      <c r="S150" s="13">
        <f t="shared" si="166"/>
        <v>0.000128978613112526</v>
      </c>
      <c r="T150" s="13">
        <f t="shared" ref="T150:AC150" si="167">T117*T83</f>
        <v>0.00134151739920115</v>
      </c>
      <c r="U150" s="13">
        <f t="shared" si="167"/>
        <v>0.000907417727290484</v>
      </c>
      <c r="V150" s="13">
        <f t="shared" si="167"/>
        <v>0.00208286138328035</v>
      </c>
      <c r="W150" s="13">
        <f t="shared" si="167"/>
        <v>0.000136894038095994</v>
      </c>
      <c r="X150" s="13">
        <f t="shared" si="167"/>
        <v>0.000878959628297128</v>
      </c>
      <c r="Y150" s="13">
        <f t="shared" si="167"/>
        <v>0.000730497767332751</v>
      </c>
      <c r="Z150" s="13">
        <f t="shared" si="167"/>
        <v>0.000264626297767144</v>
      </c>
      <c r="AA150" s="13">
        <f t="shared" si="167"/>
        <v>0.00480382475462358</v>
      </c>
      <c r="AB150" s="13">
        <f t="shared" si="167"/>
        <v>0.000356287820799578</v>
      </c>
      <c r="AC150" s="13">
        <f t="shared" si="167"/>
        <v>0.000332426898643278</v>
      </c>
      <c r="AD150" s="13">
        <f t="shared" ref="AD150" si="168">AD117*AD83</f>
        <v>0.000309719256138912</v>
      </c>
      <c r="AE150" s="13">
        <f t="shared" si="156"/>
        <v>0.000354932636106487</v>
      </c>
      <c r="AF150" s="13">
        <f t="shared" si="156"/>
        <v>0.000201669027044065</v>
      </c>
      <c r="AG150" s="13">
        <f t="shared" si="156"/>
        <v>0.000925330127914811</v>
      </c>
      <c r="AH150" s="13">
        <f t="shared" si="156"/>
        <v>0.000420689913006233</v>
      </c>
      <c r="AI150" s="13">
        <f t="shared" ref="AI150" si="169">AI117*AI83</f>
        <v>0.000225268137494531</v>
      </c>
      <c r="AJ150" s="13">
        <f t="shared" si="126"/>
        <v>0.0387319367879167</v>
      </c>
      <c r="AK150" s="13">
        <f t="shared" si="127"/>
        <v>0.0387319367879167</v>
      </c>
      <c r="AL150" s="13">
        <f t="shared" si="127"/>
        <v>0.0387319367879167</v>
      </c>
      <c r="AM150" s="13">
        <f t="shared" si="127"/>
        <v>0.0387319367879167</v>
      </c>
      <c r="AN150" s="13">
        <f t="shared" si="127"/>
        <v>0.0387319367879167</v>
      </c>
      <c r="AO150" s="13">
        <f t="shared" si="127"/>
        <v>0.0387319367879167</v>
      </c>
      <c r="AP150" s="13">
        <f t="shared" si="127"/>
        <v>0.0387319367879167</v>
      </c>
      <c r="AQ150" s="13">
        <f t="shared" si="127"/>
        <v>0.0387319367879167</v>
      </c>
      <c r="AR150" s="13">
        <f t="shared" si="127"/>
        <v>0.0387319367879167</v>
      </c>
      <c r="AS150" s="13">
        <f t="shared" si="127"/>
        <v>0.0387319367879167</v>
      </c>
      <c r="AT150" s="13">
        <f t="shared" si="127"/>
        <v>0.0387319367879167</v>
      </c>
      <c r="AU150" s="13">
        <f t="shared" si="127"/>
        <v>0.0387319367879167</v>
      </c>
      <c r="AV150" s="13">
        <f t="shared" si="127"/>
        <v>0.0387319367879167</v>
      </c>
      <c r="AW150" s="13">
        <f t="shared" si="127"/>
        <v>0.0387319367879167</v>
      </c>
      <c r="AX150" s="13">
        <f t="shared" si="127"/>
        <v>0.0387319367879167</v>
      </c>
      <c r="AY150" s="13">
        <f t="shared" si="127"/>
        <v>0.0387319367879167</v>
      </c>
      <c r="AZ150" s="13">
        <f t="shared" si="127"/>
        <v>0.0387319367879167</v>
      </c>
      <c r="BA150" s="13">
        <f t="shared" si="152"/>
        <v>0.0387319367879167</v>
      </c>
      <c r="BB150" s="13">
        <f t="shared" si="152"/>
        <v>0.0387319367879167</v>
      </c>
      <c r="BC150" s="13">
        <f t="shared" si="152"/>
        <v>0.0387319367879167</v>
      </c>
      <c r="BD150" s="13">
        <f t="shared" si="152"/>
        <v>0.0387319367879167</v>
      </c>
      <c r="BE150" s="13">
        <f t="shared" si="152"/>
        <v>0.0387319367879167</v>
      </c>
      <c r="BF150" s="13">
        <f t="shared" si="152"/>
        <v>0.0387319367879167</v>
      </c>
      <c r="BG150" s="13">
        <f t="shared" si="152"/>
        <v>0.0387319367879167</v>
      </c>
      <c r="BH150" s="13">
        <f t="shared" si="152"/>
        <v>0.0387319367879167</v>
      </c>
      <c r="BI150" s="13">
        <f t="shared" si="152"/>
        <v>0.0387319367879167</v>
      </c>
      <c r="BJ150" s="13">
        <f t="shared" si="152"/>
        <v>0.0387319367879167</v>
      </c>
      <c r="BK150" s="13">
        <f t="shared" si="152"/>
        <v>0.0387319367879167</v>
      </c>
      <c r="BL150" s="13">
        <f t="shared" si="152"/>
        <v>0.0387319367879167</v>
      </c>
      <c r="BM150" s="13">
        <f t="shared" si="152"/>
        <v>0.0387319367879167</v>
      </c>
      <c r="BN150" s="13">
        <f t="shared" si="152"/>
        <v>0.0387319367879167</v>
      </c>
    </row>
    <row r="151" spans="4:66">
      <c r="D151" s="14" t="s">
        <v>14</v>
      </c>
      <c r="E151" s="13">
        <f t="shared" si="119"/>
        <v>0.000452482288791478</v>
      </c>
      <c r="F151" s="13">
        <f t="shared" si="119"/>
        <v>0.000765883560576256</v>
      </c>
      <c r="G151" s="13">
        <f t="shared" ref="G151:S151" si="170">G118*G84</f>
        <v>0.0015152596593113</v>
      </c>
      <c r="H151" s="13">
        <f t="shared" si="170"/>
        <v>0.000857400147812388</v>
      </c>
      <c r="I151" s="13">
        <f t="shared" si="170"/>
        <v>0.0168177759470819</v>
      </c>
      <c r="J151" s="13">
        <f t="shared" si="170"/>
        <v>0.00256680553532587</v>
      </c>
      <c r="K151" s="13">
        <f t="shared" si="170"/>
        <v>0.000554332709269586</v>
      </c>
      <c r="L151" s="13">
        <f t="shared" si="170"/>
        <v>0.000318158533646679</v>
      </c>
      <c r="M151" s="13">
        <f t="shared" si="170"/>
        <v>0.000209310404100408</v>
      </c>
      <c r="N151" s="13">
        <f t="shared" si="170"/>
        <v>0.000729695789678383</v>
      </c>
      <c r="O151" s="13">
        <f t="shared" si="170"/>
        <v>0.000656969428072075</v>
      </c>
      <c r="P151" s="13">
        <f t="shared" si="170"/>
        <v>0.000662334786161467</v>
      </c>
      <c r="Q151" s="13">
        <f t="shared" si="170"/>
        <v>0.0010620518964428</v>
      </c>
      <c r="R151" s="13">
        <f t="shared" si="170"/>
        <v>0.00039352420177969</v>
      </c>
      <c r="S151" s="13">
        <f t="shared" si="170"/>
        <v>0</v>
      </c>
      <c r="T151" s="13">
        <f t="shared" ref="T151:AC151" si="171">T118*T84</f>
        <v>0.00103256897806322</v>
      </c>
      <c r="U151" s="13">
        <f t="shared" si="171"/>
        <v>0.000984929130764225</v>
      </c>
      <c r="V151" s="13">
        <f t="shared" si="171"/>
        <v>0.000433705068068752</v>
      </c>
      <c r="W151" s="13">
        <f t="shared" si="171"/>
        <v>0.000708968432814091</v>
      </c>
      <c r="X151" s="13">
        <f t="shared" si="171"/>
        <v>0.000176979374824102</v>
      </c>
      <c r="Y151" s="13">
        <f t="shared" si="171"/>
        <v>0.000214325789074662</v>
      </c>
      <c r="Z151" s="13">
        <f t="shared" si="171"/>
        <v>0.000568503464819606</v>
      </c>
      <c r="AA151" s="13">
        <f t="shared" si="171"/>
        <v>0.000263349356238037</v>
      </c>
      <c r="AB151" s="13">
        <f t="shared" si="171"/>
        <v>0.000174765407217073</v>
      </c>
      <c r="AC151" s="13">
        <f t="shared" si="171"/>
        <v>0.000150046753217021</v>
      </c>
      <c r="AD151" s="13">
        <f t="shared" ref="AD151" si="172">AD118*AD84</f>
        <v>0.000120885294498368</v>
      </c>
      <c r="AE151" s="13">
        <f t="shared" si="156"/>
        <v>0.000682389126631374</v>
      </c>
      <c r="AF151" s="13">
        <f t="shared" si="156"/>
        <v>0.000208027830202652</v>
      </c>
      <c r="AG151" s="13">
        <f t="shared" si="156"/>
        <v>0.000277058414319232</v>
      </c>
      <c r="AH151" s="13">
        <f t="shared" si="156"/>
        <v>0.000449998612132934</v>
      </c>
      <c r="AI151" s="13">
        <f t="shared" ref="AI151" si="173">AI118*AI84</f>
        <v>0.000162359811222238</v>
      </c>
      <c r="AJ151" s="13">
        <f t="shared" si="126"/>
        <v>0.0341708457321579</v>
      </c>
      <c r="AK151" s="13">
        <f t="shared" si="127"/>
        <v>0.0341708457321579</v>
      </c>
      <c r="AL151" s="13">
        <f t="shared" si="127"/>
        <v>0.0341708457321579</v>
      </c>
      <c r="AM151" s="13">
        <f t="shared" si="127"/>
        <v>0.0341708457321579</v>
      </c>
      <c r="AN151" s="13">
        <f t="shared" si="127"/>
        <v>0.0341708457321579</v>
      </c>
      <c r="AO151" s="13">
        <f t="shared" si="127"/>
        <v>0.0341708457321579</v>
      </c>
      <c r="AP151" s="13">
        <f t="shared" si="127"/>
        <v>0.0341708457321579</v>
      </c>
      <c r="AQ151" s="13">
        <f t="shared" si="127"/>
        <v>0.0341708457321579</v>
      </c>
      <c r="AR151" s="13">
        <f t="shared" si="127"/>
        <v>0.0341708457321579</v>
      </c>
      <c r="AS151" s="13">
        <f t="shared" si="127"/>
        <v>0.0341708457321579</v>
      </c>
      <c r="AT151" s="13">
        <f t="shared" si="127"/>
        <v>0.0341708457321579</v>
      </c>
      <c r="AU151" s="13">
        <f t="shared" si="127"/>
        <v>0.0341708457321579</v>
      </c>
      <c r="AV151" s="13">
        <f t="shared" si="127"/>
        <v>0.0341708457321579</v>
      </c>
      <c r="AW151" s="13">
        <f t="shared" si="127"/>
        <v>0.0341708457321579</v>
      </c>
      <c r="AX151" s="13">
        <f t="shared" si="127"/>
        <v>0.0341708457321579</v>
      </c>
      <c r="AY151" s="13">
        <f t="shared" si="127"/>
        <v>0.0341708457321579</v>
      </c>
      <c r="AZ151" s="13">
        <f t="shared" si="127"/>
        <v>0.0341708457321579</v>
      </c>
      <c r="BA151" s="13">
        <f t="shared" si="152"/>
        <v>0.0341708457321579</v>
      </c>
      <c r="BB151" s="13">
        <f t="shared" si="152"/>
        <v>0.0341708457321579</v>
      </c>
      <c r="BC151" s="13">
        <f t="shared" si="152"/>
        <v>0.0341708457321579</v>
      </c>
      <c r="BD151" s="13">
        <f t="shared" si="152"/>
        <v>0.0341708457321579</v>
      </c>
      <c r="BE151" s="13">
        <f t="shared" si="152"/>
        <v>0.0341708457321579</v>
      </c>
      <c r="BF151" s="13">
        <f t="shared" si="152"/>
        <v>0.0341708457321579</v>
      </c>
      <c r="BG151" s="13">
        <f t="shared" si="152"/>
        <v>0.0341708457321579</v>
      </c>
      <c r="BH151" s="13">
        <f t="shared" si="152"/>
        <v>0.0341708457321579</v>
      </c>
      <c r="BI151" s="13">
        <f t="shared" si="152"/>
        <v>0.0341708457321579</v>
      </c>
      <c r="BJ151" s="13">
        <f t="shared" si="152"/>
        <v>0.0341708457321579</v>
      </c>
      <c r="BK151" s="13">
        <f t="shared" si="152"/>
        <v>0.0341708457321579</v>
      </c>
      <c r="BL151" s="13">
        <f t="shared" si="152"/>
        <v>0.0341708457321579</v>
      </c>
      <c r="BM151" s="13">
        <f t="shared" si="152"/>
        <v>0.0341708457321579</v>
      </c>
      <c r="BN151" s="13">
        <f t="shared" si="152"/>
        <v>0.0341708457321579</v>
      </c>
    </row>
    <row r="152" spans="4:66">
      <c r="D152" s="14" t="s">
        <v>15</v>
      </c>
      <c r="E152" s="13">
        <f t="shared" si="119"/>
        <v>2.86487662152508e-5</v>
      </c>
      <c r="F152" s="13">
        <f t="shared" si="119"/>
        <v>3.65510288040405e-5</v>
      </c>
      <c r="G152" s="13">
        <f t="shared" ref="G152:S152" si="174">G119*G85</f>
        <v>0.00140041666142677</v>
      </c>
      <c r="H152" s="13">
        <f t="shared" si="174"/>
        <v>0.00204111334721623</v>
      </c>
      <c r="I152" s="13">
        <f t="shared" si="174"/>
        <v>8.67091538937146e-5</v>
      </c>
      <c r="J152" s="13">
        <f t="shared" si="174"/>
        <v>6.6952694463302e-5</v>
      </c>
      <c r="K152" s="13">
        <f t="shared" si="174"/>
        <v>0.000139952700372516</v>
      </c>
      <c r="L152" s="13">
        <f t="shared" si="174"/>
        <v>0.00889682780694524</v>
      </c>
      <c r="M152" s="13">
        <f t="shared" si="174"/>
        <v>2.02159224615431e-5</v>
      </c>
      <c r="N152" s="13">
        <f t="shared" si="174"/>
        <v>5.46301688813054e-5</v>
      </c>
      <c r="O152" s="13">
        <f t="shared" si="174"/>
        <v>4.32674848709675e-5</v>
      </c>
      <c r="P152" s="13">
        <f t="shared" si="174"/>
        <v>0.00105374365268172</v>
      </c>
      <c r="Q152" s="13">
        <f t="shared" si="174"/>
        <v>4.31605078386885e-5</v>
      </c>
      <c r="R152" s="13">
        <f t="shared" si="174"/>
        <v>0.000630242412235354</v>
      </c>
      <c r="S152" s="13">
        <f t="shared" si="174"/>
        <v>0.000158992502551361</v>
      </c>
      <c r="T152" s="13">
        <f t="shared" ref="T152:AC152" si="175">T119*T85</f>
        <v>0</v>
      </c>
      <c r="U152" s="13">
        <f t="shared" si="175"/>
        <v>0.000310774855740257</v>
      </c>
      <c r="V152" s="13">
        <f t="shared" si="175"/>
        <v>0.00112706432093487</v>
      </c>
      <c r="W152" s="13">
        <f t="shared" si="175"/>
        <v>3.57756422269157e-5</v>
      </c>
      <c r="X152" s="13">
        <f t="shared" si="175"/>
        <v>0.00014919403507719</v>
      </c>
      <c r="Y152" s="13">
        <f t="shared" si="175"/>
        <v>0.00135962695631072</v>
      </c>
      <c r="Z152" s="13">
        <f t="shared" si="175"/>
        <v>0.000173792992423542</v>
      </c>
      <c r="AA152" s="13">
        <f t="shared" si="175"/>
        <v>0.000543514287982846</v>
      </c>
      <c r="AB152" s="13">
        <f t="shared" si="175"/>
        <v>0.000102642663070966</v>
      </c>
      <c r="AC152" s="13">
        <f t="shared" si="175"/>
        <v>9.63050345004701e-5</v>
      </c>
      <c r="AD152" s="13">
        <f t="shared" ref="AD152" si="176">AD119*AD85</f>
        <v>8.94734330107921e-5</v>
      </c>
      <c r="AE152" s="13">
        <f t="shared" si="156"/>
        <v>0.000529282070447142</v>
      </c>
      <c r="AF152" s="13">
        <f t="shared" si="156"/>
        <v>0.000112489943214583</v>
      </c>
      <c r="AG152" s="13">
        <f t="shared" si="156"/>
        <v>0.00112773206770392</v>
      </c>
      <c r="AH152" s="13">
        <f t="shared" si="156"/>
        <v>0.00095019326660216</v>
      </c>
      <c r="AI152" s="13">
        <f t="shared" ref="AI152" si="177">AI119*AI85</f>
        <v>0.000464815719044197</v>
      </c>
      <c r="AJ152" s="13">
        <f t="shared" si="126"/>
        <v>0.0218741020991486</v>
      </c>
      <c r="AK152" s="13">
        <f t="shared" si="127"/>
        <v>0.0218741020991486</v>
      </c>
      <c r="AL152" s="13">
        <f t="shared" si="127"/>
        <v>0.0218741020991486</v>
      </c>
      <c r="AM152" s="13">
        <f t="shared" si="127"/>
        <v>0.0218741020991486</v>
      </c>
      <c r="AN152" s="13">
        <f t="shared" si="127"/>
        <v>0.0218741020991486</v>
      </c>
      <c r="AO152" s="13">
        <f t="shared" si="127"/>
        <v>0.0218741020991486</v>
      </c>
      <c r="AP152" s="13">
        <f t="shared" si="127"/>
        <v>0.0218741020991486</v>
      </c>
      <c r="AQ152" s="13">
        <f t="shared" si="127"/>
        <v>0.0218741020991486</v>
      </c>
      <c r="AR152" s="13">
        <f t="shared" si="127"/>
        <v>0.0218741020991486</v>
      </c>
      <c r="AS152" s="13">
        <f t="shared" si="127"/>
        <v>0.0218741020991486</v>
      </c>
      <c r="AT152" s="13">
        <f t="shared" si="127"/>
        <v>0.0218741020991486</v>
      </c>
      <c r="AU152" s="13">
        <f t="shared" si="127"/>
        <v>0.0218741020991486</v>
      </c>
      <c r="AV152" s="13">
        <f t="shared" si="127"/>
        <v>0.0218741020991486</v>
      </c>
      <c r="AW152" s="13">
        <f t="shared" si="127"/>
        <v>0.0218741020991486</v>
      </c>
      <c r="AX152" s="13">
        <f t="shared" si="127"/>
        <v>0.0218741020991486</v>
      </c>
      <c r="AY152" s="13">
        <f t="shared" si="127"/>
        <v>0.0218741020991486</v>
      </c>
      <c r="AZ152" s="13">
        <f t="shared" si="127"/>
        <v>0.0218741020991486</v>
      </c>
      <c r="BA152" s="13">
        <f t="shared" si="152"/>
        <v>0.0218741020991486</v>
      </c>
      <c r="BB152" s="13">
        <f t="shared" si="152"/>
        <v>0.0218741020991486</v>
      </c>
      <c r="BC152" s="13">
        <f t="shared" si="152"/>
        <v>0.0218741020991486</v>
      </c>
      <c r="BD152" s="13">
        <f t="shared" si="152"/>
        <v>0.0218741020991486</v>
      </c>
      <c r="BE152" s="13">
        <f t="shared" si="152"/>
        <v>0.0218741020991486</v>
      </c>
      <c r="BF152" s="13">
        <f t="shared" si="152"/>
        <v>0.0218741020991486</v>
      </c>
      <c r="BG152" s="13">
        <f t="shared" si="152"/>
        <v>0.0218741020991486</v>
      </c>
      <c r="BH152" s="13">
        <f t="shared" si="152"/>
        <v>0.0218741020991486</v>
      </c>
      <c r="BI152" s="13">
        <f t="shared" si="152"/>
        <v>0.0218741020991486</v>
      </c>
      <c r="BJ152" s="13">
        <f t="shared" si="152"/>
        <v>0.0218741020991486</v>
      </c>
      <c r="BK152" s="13">
        <f t="shared" si="152"/>
        <v>0.0218741020991486</v>
      </c>
      <c r="BL152" s="13">
        <f t="shared" si="152"/>
        <v>0.0218741020991486</v>
      </c>
      <c r="BM152" s="13">
        <f t="shared" si="152"/>
        <v>0.0218741020991486</v>
      </c>
      <c r="BN152" s="13">
        <f t="shared" si="152"/>
        <v>0.0218741020991486</v>
      </c>
    </row>
    <row r="153" spans="4:66">
      <c r="D153" s="14" t="s">
        <v>16</v>
      </c>
      <c r="E153" s="13">
        <f t="shared" si="119"/>
        <v>4.28464915630136e-5</v>
      </c>
      <c r="F153" s="13">
        <f t="shared" si="119"/>
        <v>5.75383684544073e-5</v>
      </c>
      <c r="G153" s="13">
        <f t="shared" ref="G153:S153" si="178">G120*G86</f>
        <v>0.000497500240282904</v>
      </c>
      <c r="H153" s="13">
        <f t="shared" si="178"/>
        <v>0.000323249664916276</v>
      </c>
      <c r="I153" s="13">
        <f t="shared" si="178"/>
        <v>0.000196453698272632</v>
      </c>
      <c r="J153" s="13">
        <f t="shared" si="178"/>
        <v>0.000252132139951226</v>
      </c>
      <c r="K153" s="13">
        <f t="shared" si="178"/>
        <v>0.000636942589313912</v>
      </c>
      <c r="L153" s="13">
        <f t="shared" si="178"/>
        <v>0.000161046409336389</v>
      </c>
      <c r="M153" s="13">
        <f t="shared" si="178"/>
        <v>6.04819415623571e-5</v>
      </c>
      <c r="N153" s="13">
        <f t="shared" si="178"/>
        <v>0.000183108503548247</v>
      </c>
      <c r="O153" s="13">
        <f t="shared" si="178"/>
        <v>0.000173262806630809</v>
      </c>
      <c r="P153" s="13">
        <f t="shared" si="178"/>
        <v>0.000784076450294421</v>
      </c>
      <c r="Q153" s="13">
        <f t="shared" si="178"/>
        <v>0.000223703188106411</v>
      </c>
      <c r="R153" s="13">
        <f t="shared" si="178"/>
        <v>0.000938313948519468</v>
      </c>
      <c r="S153" s="13">
        <f t="shared" si="178"/>
        <v>0.000333804472734985</v>
      </c>
      <c r="T153" s="13">
        <f t="shared" ref="T153:AC153" si="179">T120*T86</f>
        <v>0.000684030506003294</v>
      </c>
      <c r="U153" s="13">
        <f t="shared" si="179"/>
        <v>0</v>
      </c>
      <c r="V153" s="13">
        <f t="shared" si="179"/>
        <v>0.00132382311626407</v>
      </c>
      <c r="W153" s="13">
        <f t="shared" si="179"/>
        <v>0.000178530714556871</v>
      </c>
      <c r="X153" s="13">
        <f t="shared" si="179"/>
        <v>0.000178470232767323</v>
      </c>
      <c r="Y153" s="13">
        <f t="shared" si="179"/>
        <v>0.000278298295979617</v>
      </c>
      <c r="Z153" s="13">
        <f t="shared" si="179"/>
        <v>0.0229602240370531</v>
      </c>
      <c r="AA153" s="13">
        <f t="shared" si="179"/>
        <v>0.000256922467350749</v>
      </c>
      <c r="AB153" s="13">
        <f t="shared" si="179"/>
        <v>0.000160183593662388</v>
      </c>
      <c r="AC153" s="13">
        <f t="shared" si="179"/>
        <v>0.000121740621505012</v>
      </c>
      <c r="AD153" s="13">
        <f t="shared" ref="AD153" si="180">AD120*AD86</f>
        <v>8.18453236062696e-5</v>
      </c>
      <c r="AE153" s="13">
        <f t="shared" si="156"/>
        <v>0.00120261976703574</v>
      </c>
      <c r="AF153" s="13">
        <f t="shared" si="156"/>
        <v>0.000112312469500676</v>
      </c>
      <c r="AG153" s="13">
        <f t="shared" si="156"/>
        <v>0.000209446140905517</v>
      </c>
      <c r="AH153" s="13">
        <f t="shared" si="156"/>
        <v>0.000343135359623773</v>
      </c>
      <c r="AI153" s="13">
        <f t="shared" ref="AI153" si="181">AI120*AI86</f>
        <v>0.000130533376825642</v>
      </c>
      <c r="AJ153" s="13">
        <f t="shared" si="126"/>
        <v>0.0330865769361275</v>
      </c>
      <c r="AK153" s="13">
        <f t="shared" si="127"/>
        <v>0.0330865769361275</v>
      </c>
      <c r="AL153" s="13">
        <f t="shared" si="127"/>
        <v>0.0330865769361275</v>
      </c>
      <c r="AM153" s="13">
        <f t="shared" si="127"/>
        <v>0.0330865769361275</v>
      </c>
      <c r="AN153" s="13">
        <f t="shared" si="127"/>
        <v>0.0330865769361275</v>
      </c>
      <c r="AO153" s="13">
        <f t="shared" si="127"/>
        <v>0.0330865769361275</v>
      </c>
      <c r="AP153" s="13">
        <f t="shared" si="127"/>
        <v>0.0330865769361275</v>
      </c>
      <c r="AQ153" s="13">
        <f t="shared" si="127"/>
        <v>0.0330865769361275</v>
      </c>
      <c r="AR153" s="13">
        <f t="shared" si="127"/>
        <v>0.0330865769361275</v>
      </c>
      <c r="AS153" s="13">
        <f t="shared" si="127"/>
        <v>0.0330865769361275</v>
      </c>
      <c r="AT153" s="13">
        <f t="shared" si="127"/>
        <v>0.0330865769361275</v>
      </c>
      <c r="AU153" s="13">
        <f t="shared" si="127"/>
        <v>0.0330865769361275</v>
      </c>
      <c r="AV153" s="13">
        <f t="shared" si="127"/>
        <v>0.0330865769361275</v>
      </c>
      <c r="AW153" s="13">
        <f t="shared" si="127"/>
        <v>0.0330865769361275</v>
      </c>
      <c r="AX153" s="13">
        <f t="shared" si="127"/>
        <v>0.0330865769361275</v>
      </c>
      <c r="AY153" s="13">
        <f t="shared" si="127"/>
        <v>0.0330865769361275</v>
      </c>
      <c r="AZ153" s="13">
        <f t="shared" si="127"/>
        <v>0.0330865769361275</v>
      </c>
      <c r="BA153" s="13">
        <f t="shared" si="152"/>
        <v>0.0330865769361275</v>
      </c>
      <c r="BB153" s="13">
        <f t="shared" si="152"/>
        <v>0.0330865769361275</v>
      </c>
      <c r="BC153" s="13">
        <f t="shared" si="152"/>
        <v>0.0330865769361275</v>
      </c>
      <c r="BD153" s="13">
        <f t="shared" si="152"/>
        <v>0.0330865769361275</v>
      </c>
      <c r="BE153" s="13">
        <f t="shared" si="152"/>
        <v>0.0330865769361275</v>
      </c>
      <c r="BF153" s="13">
        <f t="shared" si="152"/>
        <v>0.0330865769361275</v>
      </c>
      <c r="BG153" s="13">
        <f t="shared" si="152"/>
        <v>0.0330865769361275</v>
      </c>
      <c r="BH153" s="13">
        <f t="shared" si="152"/>
        <v>0.0330865769361275</v>
      </c>
      <c r="BI153" s="13">
        <f t="shared" si="152"/>
        <v>0.0330865769361275</v>
      </c>
      <c r="BJ153" s="13">
        <f t="shared" si="152"/>
        <v>0.0330865769361275</v>
      </c>
      <c r="BK153" s="13">
        <f t="shared" si="152"/>
        <v>0.0330865769361275</v>
      </c>
      <c r="BL153" s="13">
        <f t="shared" si="152"/>
        <v>0.0330865769361275</v>
      </c>
      <c r="BM153" s="13">
        <f t="shared" si="152"/>
        <v>0.0330865769361275</v>
      </c>
      <c r="BN153" s="13">
        <f t="shared" si="152"/>
        <v>0.0330865769361275</v>
      </c>
    </row>
    <row r="154" spans="4:66">
      <c r="D154" s="14" t="s">
        <v>17</v>
      </c>
      <c r="E154" s="13">
        <f t="shared" si="119"/>
        <v>1.88100054239737e-5</v>
      </c>
      <c r="F154" s="13">
        <f t="shared" si="119"/>
        <v>2.41898060581439e-5</v>
      </c>
      <c r="G154" s="13">
        <f t="shared" ref="G154:S154" si="182">G121*G87</f>
        <v>0.00237178695578835</v>
      </c>
      <c r="H154" s="13">
        <f t="shared" si="182"/>
        <v>0.000494670053005689</v>
      </c>
      <c r="I154" s="13">
        <f t="shared" si="182"/>
        <v>6.41019426599868e-5</v>
      </c>
      <c r="J154" s="13">
        <f t="shared" si="182"/>
        <v>6.62618956734406e-5</v>
      </c>
      <c r="K154" s="13">
        <f t="shared" si="182"/>
        <v>0.000177553250738894</v>
      </c>
      <c r="L154" s="13">
        <f t="shared" si="182"/>
        <v>0.000506085518409762</v>
      </c>
      <c r="M154" s="13">
        <f t="shared" si="182"/>
        <v>2.56153024173606e-5</v>
      </c>
      <c r="N154" s="13">
        <f t="shared" si="182"/>
        <v>5.88405585509032e-5</v>
      </c>
      <c r="O154" s="13">
        <f t="shared" si="182"/>
        <v>6.37219056885584e-5</v>
      </c>
      <c r="P154" s="13">
        <f t="shared" si="182"/>
        <v>0.000725832834506928</v>
      </c>
      <c r="Q154" s="13">
        <f t="shared" si="182"/>
        <v>9.81557462989027e-5</v>
      </c>
      <c r="R154" s="13">
        <f t="shared" si="182"/>
        <v>0.00133297883488896</v>
      </c>
      <c r="S154" s="13">
        <f t="shared" si="182"/>
        <v>9.09711403532806e-5</v>
      </c>
      <c r="T154" s="13">
        <f t="shared" ref="T154:AC154" si="183">T121*T87</f>
        <v>0.00153532482195384</v>
      </c>
      <c r="U154" s="13">
        <f t="shared" si="183"/>
        <v>0.000819316937390147</v>
      </c>
      <c r="V154" s="13">
        <f t="shared" si="183"/>
        <v>0</v>
      </c>
      <c r="W154" s="13">
        <f t="shared" si="183"/>
        <v>0.00011611125001475</v>
      </c>
      <c r="X154" s="13">
        <f t="shared" si="183"/>
        <v>0.000298241334293024</v>
      </c>
      <c r="Y154" s="13">
        <f t="shared" si="183"/>
        <v>0.00182190025579746</v>
      </c>
      <c r="Z154" s="13">
        <f t="shared" si="183"/>
        <v>0.000399762062780904</v>
      </c>
      <c r="AA154" s="13">
        <f t="shared" si="183"/>
        <v>0.000504367568415792</v>
      </c>
      <c r="AB154" s="13">
        <f t="shared" si="183"/>
        <v>0.00021401994511776</v>
      </c>
      <c r="AC154" s="13">
        <f t="shared" si="183"/>
        <v>0.00015511741102419</v>
      </c>
      <c r="AD154" s="13">
        <f t="shared" ref="AD154" si="184">AD121*AD87</f>
        <v>0.000101602420303878</v>
      </c>
      <c r="AE154" s="13">
        <f t="shared" si="156"/>
        <v>0.000587426022775231</v>
      </c>
      <c r="AF154" s="13">
        <f t="shared" si="156"/>
        <v>0.000101238968880528</v>
      </c>
      <c r="AG154" s="13">
        <f t="shared" si="156"/>
        <v>0.00047666902069972</v>
      </c>
      <c r="AH154" s="13">
        <f t="shared" si="156"/>
        <v>0.0098358677669178</v>
      </c>
      <c r="AI154" s="13">
        <f t="shared" ref="AI154" si="185">AI121*AI87</f>
        <v>0.00129271009563686</v>
      </c>
      <c r="AJ154" s="13">
        <f t="shared" si="126"/>
        <v>0.024379251632465</v>
      </c>
      <c r="AK154" s="13">
        <f t="shared" si="127"/>
        <v>0.024379251632465</v>
      </c>
      <c r="AL154" s="13">
        <f t="shared" si="127"/>
        <v>0.024379251632465</v>
      </c>
      <c r="AM154" s="13">
        <f t="shared" si="127"/>
        <v>0.024379251632465</v>
      </c>
      <c r="AN154" s="13">
        <f t="shared" si="127"/>
        <v>0.024379251632465</v>
      </c>
      <c r="AO154" s="13">
        <f t="shared" si="127"/>
        <v>0.024379251632465</v>
      </c>
      <c r="AP154" s="13">
        <f t="shared" si="127"/>
        <v>0.024379251632465</v>
      </c>
      <c r="AQ154" s="13">
        <f t="shared" si="127"/>
        <v>0.024379251632465</v>
      </c>
      <c r="AR154" s="13">
        <f t="shared" si="127"/>
        <v>0.024379251632465</v>
      </c>
      <c r="AS154" s="13">
        <f t="shared" si="127"/>
        <v>0.024379251632465</v>
      </c>
      <c r="AT154" s="13">
        <f t="shared" si="127"/>
        <v>0.024379251632465</v>
      </c>
      <c r="AU154" s="13">
        <f t="shared" si="127"/>
        <v>0.024379251632465</v>
      </c>
      <c r="AV154" s="13">
        <f t="shared" si="127"/>
        <v>0.024379251632465</v>
      </c>
      <c r="AW154" s="13">
        <f t="shared" si="127"/>
        <v>0.024379251632465</v>
      </c>
      <c r="AX154" s="13">
        <f t="shared" si="127"/>
        <v>0.024379251632465</v>
      </c>
      <c r="AY154" s="13">
        <f t="shared" si="127"/>
        <v>0.024379251632465</v>
      </c>
      <c r="AZ154" s="13">
        <f t="shared" si="127"/>
        <v>0.024379251632465</v>
      </c>
      <c r="BA154" s="13">
        <f t="shared" si="152"/>
        <v>0.024379251632465</v>
      </c>
      <c r="BB154" s="13">
        <f t="shared" si="152"/>
        <v>0.024379251632465</v>
      </c>
      <c r="BC154" s="13">
        <f t="shared" si="152"/>
        <v>0.024379251632465</v>
      </c>
      <c r="BD154" s="13">
        <f t="shared" si="152"/>
        <v>0.024379251632465</v>
      </c>
      <c r="BE154" s="13">
        <f t="shared" si="152"/>
        <v>0.024379251632465</v>
      </c>
      <c r="BF154" s="13">
        <f t="shared" si="152"/>
        <v>0.024379251632465</v>
      </c>
      <c r="BG154" s="13">
        <f t="shared" si="152"/>
        <v>0.024379251632465</v>
      </c>
      <c r="BH154" s="13">
        <f t="shared" si="152"/>
        <v>0.024379251632465</v>
      </c>
      <c r="BI154" s="13">
        <f t="shared" si="152"/>
        <v>0.024379251632465</v>
      </c>
      <c r="BJ154" s="13">
        <f t="shared" si="152"/>
        <v>0.024379251632465</v>
      </c>
      <c r="BK154" s="13">
        <f t="shared" si="152"/>
        <v>0.024379251632465</v>
      </c>
      <c r="BL154" s="13">
        <f t="shared" si="152"/>
        <v>0.024379251632465</v>
      </c>
      <c r="BM154" s="13">
        <f t="shared" si="152"/>
        <v>0.024379251632465</v>
      </c>
      <c r="BN154" s="13">
        <f t="shared" si="152"/>
        <v>0.024379251632465</v>
      </c>
    </row>
    <row r="155" spans="4:66">
      <c r="D155" s="14" t="s">
        <v>18</v>
      </c>
      <c r="E155" s="13">
        <f t="shared" si="119"/>
        <v>0.000195225216458415</v>
      </c>
      <c r="F155" s="13">
        <f t="shared" si="119"/>
        <v>0.000296467467609311</v>
      </c>
      <c r="G155" s="13">
        <f t="shared" ref="G155:S155" si="186">G122*G88</f>
        <v>0.000366658895416597</v>
      </c>
      <c r="H155" s="13">
        <f t="shared" si="186"/>
        <v>0.000328398381535468</v>
      </c>
      <c r="I155" s="13">
        <f t="shared" si="186"/>
        <v>0.00117884732782698</v>
      </c>
      <c r="J155" s="13">
        <f t="shared" si="186"/>
        <v>0.000596215506892468</v>
      </c>
      <c r="K155" s="13">
        <f t="shared" si="186"/>
        <v>0.000286864825003873</v>
      </c>
      <c r="L155" s="13">
        <f t="shared" si="186"/>
        <v>0.000204205273603824</v>
      </c>
      <c r="M155" s="13">
        <f t="shared" si="186"/>
        <v>0.000271443542231553</v>
      </c>
      <c r="N155" s="13">
        <f t="shared" si="186"/>
        <v>0.000946307484772013</v>
      </c>
      <c r="O155" s="13">
        <f t="shared" si="186"/>
        <v>0.00165361800507044</v>
      </c>
      <c r="P155" s="13">
        <f t="shared" si="186"/>
        <v>0.000505743390120311</v>
      </c>
      <c r="Q155" s="13">
        <f t="shared" si="186"/>
        <v>0.0232091703158872</v>
      </c>
      <c r="R155" s="13">
        <f t="shared" si="186"/>
        <v>0.000797667706419775</v>
      </c>
      <c r="S155" s="13">
        <f t="shared" si="186"/>
        <v>0.00135397495149469</v>
      </c>
      <c r="T155" s="13">
        <f t="shared" ref="T155:AI155" si="187">T122*T88</f>
        <v>0.000443724693698341</v>
      </c>
      <c r="U155" s="13">
        <f t="shared" si="187"/>
        <v>0.00100602669687948</v>
      </c>
      <c r="V155" s="13">
        <f t="shared" si="187"/>
        <v>0.0010571798832367</v>
      </c>
      <c r="W155" s="13">
        <f t="shared" si="187"/>
        <v>0</v>
      </c>
      <c r="X155" s="13">
        <f t="shared" si="187"/>
        <v>0.000904654848547949</v>
      </c>
      <c r="Y155" s="13">
        <f t="shared" si="187"/>
        <v>0.00125639244394156</v>
      </c>
      <c r="Z155" s="13">
        <f t="shared" si="187"/>
        <v>0.000831394798263369</v>
      </c>
      <c r="AA155" s="13">
        <f t="shared" si="187"/>
        <v>0.000426163396303991</v>
      </c>
      <c r="AB155" s="13">
        <f t="shared" si="187"/>
        <v>0.000523670612652463</v>
      </c>
      <c r="AC155" s="13">
        <f t="shared" si="187"/>
        <v>0.000384582204621497</v>
      </c>
      <c r="AD155" s="13">
        <f t="shared" si="187"/>
        <v>0.000197736681449608</v>
      </c>
      <c r="AE155" s="13">
        <f t="shared" si="187"/>
        <v>0.000530453309474435</v>
      </c>
      <c r="AF155" s="13">
        <f t="shared" si="187"/>
        <v>0.000227576366534581</v>
      </c>
      <c r="AG155" s="13">
        <f t="shared" si="187"/>
        <v>0.000292034969575807</v>
      </c>
      <c r="AH155" s="13">
        <f t="shared" si="187"/>
        <v>0.000329783301021072</v>
      </c>
      <c r="AI155" s="13">
        <f t="shared" si="187"/>
        <v>0.000178744180219334</v>
      </c>
      <c r="AJ155" s="13">
        <f t="shared" si="126"/>
        <v>0.0407809266767631</v>
      </c>
      <c r="AK155" s="13">
        <f t="shared" si="127"/>
        <v>0.0407809266767631</v>
      </c>
      <c r="AL155" s="13">
        <f t="shared" si="127"/>
        <v>0.0407809266767631</v>
      </c>
      <c r="AM155" s="13">
        <f t="shared" si="127"/>
        <v>0.0407809266767631</v>
      </c>
      <c r="AN155" s="13">
        <f t="shared" si="127"/>
        <v>0.0407809266767631</v>
      </c>
      <c r="AO155" s="13">
        <f t="shared" si="127"/>
        <v>0.0407809266767631</v>
      </c>
      <c r="AP155" s="13">
        <f t="shared" si="127"/>
        <v>0.0407809266767631</v>
      </c>
      <c r="AQ155" s="13">
        <f t="shared" si="127"/>
        <v>0.0407809266767631</v>
      </c>
      <c r="AR155" s="13">
        <f t="shared" si="127"/>
        <v>0.0407809266767631</v>
      </c>
      <c r="AS155" s="13">
        <f t="shared" si="127"/>
        <v>0.0407809266767631</v>
      </c>
      <c r="AT155" s="13">
        <f t="shared" si="127"/>
        <v>0.0407809266767631</v>
      </c>
      <c r="AU155" s="13">
        <f t="shared" si="127"/>
        <v>0.0407809266767631</v>
      </c>
      <c r="AV155" s="13">
        <f t="shared" si="127"/>
        <v>0.0407809266767631</v>
      </c>
      <c r="AW155" s="13">
        <f t="shared" si="127"/>
        <v>0.0407809266767631</v>
      </c>
      <c r="AX155" s="13">
        <f t="shared" si="127"/>
        <v>0.0407809266767631</v>
      </c>
      <c r="AY155" s="13">
        <f t="shared" si="127"/>
        <v>0.0407809266767631</v>
      </c>
      <c r="AZ155" s="13">
        <f t="shared" si="127"/>
        <v>0.0407809266767631</v>
      </c>
      <c r="BA155" s="13">
        <f t="shared" si="152"/>
        <v>0.0407809266767631</v>
      </c>
      <c r="BB155" s="13">
        <f t="shared" si="152"/>
        <v>0.0407809266767631</v>
      </c>
      <c r="BC155" s="13">
        <f t="shared" si="152"/>
        <v>0.0407809266767631</v>
      </c>
      <c r="BD155" s="13">
        <f t="shared" si="152"/>
        <v>0.0407809266767631</v>
      </c>
      <c r="BE155" s="13">
        <f t="shared" si="152"/>
        <v>0.0407809266767631</v>
      </c>
      <c r="BF155" s="13">
        <f t="shared" si="152"/>
        <v>0.0407809266767631</v>
      </c>
      <c r="BG155" s="13">
        <f t="shared" si="152"/>
        <v>0.0407809266767631</v>
      </c>
      <c r="BH155" s="13">
        <f t="shared" si="152"/>
        <v>0.0407809266767631</v>
      </c>
      <c r="BI155" s="13">
        <f t="shared" si="152"/>
        <v>0.0407809266767631</v>
      </c>
      <c r="BJ155" s="13">
        <f t="shared" si="152"/>
        <v>0.0407809266767631</v>
      </c>
      <c r="BK155" s="13">
        <f t="shared" si="152"/>
        <v>0.0407809266767631</v>
      </c>
      <c r="BL155" s="13">
        <f t="shared" si="152"/>
        <v>0.0407809266767631</v>
      </c>
      <c r="BM155" s="13">
        <f t="shared" si="152"/>
        <v>0.0407809266767631</v>
      </c>
      <c r="BN155" s="13">
        <f t="shared" si="152"/>
        <v>0.0407809266767631</v>
      </c>
    </row>
    <row r="156" spans="4:66">
      <c r="D156" s="14" t="s">
        <v>19</v>
      </c>
      <c r="E156" s="13">
        <f t="shared" si="119"/>
        <v>4.49569862514376e-5</v>
      </c>
      <c r="F156" s="13">
        <f t="shared" si="119"/>
        <v>5.55720189813199e-5</v>
      </c>
      <c r="G156" s="13">
        <f t="shared" ref="G156:S156" si="188">G123*G89</f>
        <v>0.000475661076323853</v>
      </c>
      <c r="H156" s="13">
        <f t="shared" si="188"/>
        <v>0.000980895528269757</v>
      </c>
      <c r="I156" s="13">
        <f t="shared" si="188"/>
        <v>0.000129746296495921</v>
      </c>
      <c r="J156" s="13">
        <f t="shared" si="188"/>
        <v>0.000126037784774</v>
      </c>
      <c r="K156" s="13">
        <f t="shared" si="188"/>
        <v>0.000205648884779191</v>
      </c>
      <c r="L156" s="13">
        <f t="shared" si="188"/>
        <v>0.000387247249117562</v>
      </c>
      <c r="M156" s="13">
        <f t="shared" si="188"/>
        <v>5.36808752986071e-5</v>
      </c>
      <c r="N156" s="13">
        <f t="shared" si="188"/>
        <v>9.94828648254034e-5</v>
      </c>
      <c r="O156" s="13">
        <f t="shared" si="188"/>
        <v>0.00011317682123869</v>
      </c>
      <c r="P156" s="13">
        <f t="shared" si="188"/>
        <v>0.0015355832630722</v>
      </c>
      <c r="Q156" s="13">
        <f t="shared" si="188"/>
        <v>0.00018247273600518</v>
      </c>
      <c r="R156" s="13">
        <f t="shared" si="188"/>
        <v>0.00231743575537059</v>
      </c>
      <c r="S156" s="13">
        <f t="shared" si="188"/>
        <v>0.000152935281983629</v>
      </c>
      <c r="T156" s="13">
        <f t="shared" ref="T156:AC156" si="189">T123*T89</f>
        <v>0.000837295813052977</v>
      </c>
      <c r="U156" s="13">
        <f t="shared" si="189"/>
        <v>0.000455054750558661</v>
      </c>
      <c r="V156" s="13">
        <f t="shared" si="189"/>
        <v>0.00122869396053344</v>
      </c>
      <c r="W156" s="13">
        <f t="shared" si="189"/>
        <v>0.000409340028200077</v>
      </c>
      <c r="X156" s="13">
        <f t="shared" si="189"/>
        <v>0</v>
      </c>
      <c r="Y156" s="13">
        <f t="shared" si="189"/>
        <v>0.00316867639309826</v>
      </c>
      <c r="Z156" s="13">
        <f t="shared" si="189"/>
        <v>0.00060289143264529</v>
      </c>
      <c r="AA156" s="13">
        <f t="shared" si="189"/>
        <v>0.00203335832253257</v>
      </c>
      <c r="AB156" s="13">
        <f t="shared" si="189"/>
        <v>0.00302618330379178</v>
      </c>
      <c r="AC156" s="13">
        <f t="shared" si="189"/>
        <v>0.00378064793999101</v>
      </c>
      <c r="AD156" s="13">
        <f t="shared" ref="AD156" si="190">AD123*AD89</f>
        <v>0.00679026180205164</v>
      </c>
      <c r="AE156" s="13">
        <f t="shared" ref="AE156:AH161" si="191">AE123*AE89</f>
        <v>0.000482181890002208</v>
      </c>
      <c r="AF156" s="13">
        <f t="shared" si="191"/>
        <v>0.000710643863244857</v>
      </c>
      <c r="AG156" s="13">
        <f t="shared" si="191"/>
        <v>0.00085976685165859</v>
      </c>
      <c r="AH156" s="13">
        <f t="shared" si="191"/>
        <v>0.000524144042938607</v>
      </c>
      <c r="AI156" s="13">
        <f t="shared" ref="AI156" si="192">AI123*AI89</f>
        <v>0.000333315608312798</v>
      </c>
      <c r="AJ156" s="13">
        <f t="shared" si="126"/>
        <v>0.0321029894254001</v>
      </c>
      <c r="AK156" s="13">
        <f t="shared" si="127"/>
        <v>0.0321029894254001</v>
      </c>
      <c r="AL156" s="13">
        <f t="shared" si="127"/>
        <v>0.0321029894254001</v>
      </c>
      <c r="AM156" s="13">
        <f t="shared" si="127"/>
        <v>0.0321029894254001</v>
      </c>
      <c r="AN156" s="13">
        <f t="shared" si="127"/>
        <v>0.0321029894254001</v>
      </c>
      <c r="AO156" s="13">
        <f t="shared" si="127"/>
        <v>0.0321029894254001</v>
      </c>
      <c r="AP156" s="13">
        <f t="shared" si="127"/>
        <v>0.0321029894254001</v>
      </c>
      <c r="AQ156" s="13">
        <f t="shared" si="127"/>
        <v>0.0321029894254001</v>
      </c>
      <c r="AR156" s="13">
        <f t="shared" si="127"/>
        <v>0.0321029894254001</v>
      </c>
      <c r="AS156" s="13">
        <f t="shared" si="127"/>
        <v>0.0321029894254001</v>
      </c>
      <c r="AT156" s="13">
        <f t="shared" si="127"/>
        <v>0.0321029894254001</v>
      </c>
      <c r="AU156" s="13">
        <f t="shared" si="127"/>
        <v>0.0321029894254001</v>
      </c>
      <c r="AV156" s="13">
        <f t="shared" si="127"/>
        <v>0.0321029894254001</v>
      </c>
      <c r="AW156" s="13">
        <f t="shared" si="127"/>
        <v>0.0321029894254001</v>
      </c>
      <c r="AX156" s="13">
        <f t="shared" si="127"/>
        <v>0.0321029894254001</v>
      </c>
      <c r="AY156" s="13">
        <f t="shared" si="127"/>
        <v>0.0321029894254001</v>
      </c>
      <c r="AZ156" s="13">
        <f t="shared" si="127"/>
        <v>0.0321029894254001</v>
      </c>
      <c r="BA156" s="13">
        <f t="shared" si="152"/>
        <v>0.0321029894254001</v>
      </c>
      <c r="BB156" s="13">
        <f t="shared" si="152"/>
        <v>0.0321029894254001</v>
      </c>
      <c r="BC156" s="13">
        <f t="shared" si="152"/>
        <v>0.0321029894254001</v>
      </c>
      <c r="BD156" s="13">
        <f t="shared" si="152"/>
        <v>0.0321029894254001</v>
      </c>
      <c r="BE156" s="13">
        <f t="shared" si="152"/>
        <v>0.0321029894254001</v>
      </c>
      <c r="BF156" s="13">
        <f t="shared" si="152"/>
        <v>0.0321029894254001</v>
      </c>
      <c r="BG156" s="13">
        <f t="shared" si="152"/>
        <v>0.0321029894254001</v>
      </c>
      <c r="BH156" s="13">
        <f t="shared" si="152"/>
        <v>0.0321029894254001</v>
      </c>
      <c r="BI156" s="13">
        <f t="shared" si="152"/>
        <v>0.0321029894254001</v>
      </c>
      <c r="BJ156" s="13">
        <f t="shared" si="152"/>
        <v>0.0321029894254001</v>
      </c>
      <c r="BK156" s="13">
        <f t="shared" si="152"/>
        <v>0.0321029894254001</v>
      </c>
      <c r="BL156" s="13">
        <f t="shared" si="152"/>
        <v>0.0321029894254001</v>
      </c>
      <c r="BM156" s="13">
        <f t="shared" si="152"/>
        <v>0.0321029894254001</v>
      </c>
      <c r="BN156" s="13">
        <f t="shared" si="152"/>
        <v>0.0321029894254001</v>
      </c>
    </row>
    <row r="157" spans="4:66">
      <c r="D157" s="14" t="s">
        <v>20</v>
      </c>
      <c r="E157" s="13">
        <f t="shared" si="119"/>
        <v>2.37367190815135e-5</v>
      </c>
      <c r="F157" s="13">
        <f t="shared" si="119"/>
        <v>3.01013691032908e-5</v>
      </c>
      <c r="G157" s="13">
        <f t="shared" ref="G157:S157" si="193">G124*G90</f>
        <v>0.00110861903972769</v>
      </c>
      <c r="H157" s="13">
        <f t="shared" si="193"/>
        <v>0.000833064578819848</v>
      </c>
      <c r="I157" s="13">
        <f t="shared" si="193"/>
        <v>8.07007818504792e-5</v>
      </c>
      <c r="J157" s="13">
        <f t="shared" si="193"/>
        <v>8.95498576445965e-5</v>
      </c>
      <c r="K157" s="13">
        <f t="shared" si="193"/>
        <v>0.000221489596168106</v>
      </c>
      <c r="L157" s="13">
        <f t="shared" si="193"/>
        <v>0.00245130228869379</v>
      </c>
      <c r="M157" s="13">
        <f t="shared" si="193"/>
        <v>3.01360310230008e-5</v>
      </c>
      <c r="N157" s="13">
        <f t="shared" si="193"/>
        <v>5.70915256052555e-5</v>
      </c>
      <c r="O157" s="13">
        <f t="shared" si="193"/>
        <v>6.88578877438375e-5</v>
      </c>
      <c r="P157" s="13">
        <f t="shared" si="193"/>
        <v>0.000843922451040542</v>
      </c>
      <c r="Q157" s="13">
        <f t="shared" si="193"/>
        <v>0.000125669572304674</v>
      </c>
      <c r="R157" s="13">
        <f t="shared" si="193"/>
        <v>0.00102308754967281</v>
      </c>
      <c r="S157" s="13">
        <f t="shared" si="193"/>
        <v>9.83817614667537e-5</v>
      </c>
      <c r="T157" s="13">
        <f t="shared" ref="T157:AC157" si="194">T124*T90</f>
        <v>0.00405324034778013</v>
      </c>
      <c r="U157" s="13">
        <f t="shared" si="194"/>
        <v>0.000376932461727388</v>
      </c>
      <c r="V157" s="13">
        <f t="shared" si="194"/>
        <v>0.00398708613399313</v>
      </c>
      <c r="W157" s="13">
        <f t="shared" si="194"/>
        <v>0.000301982479753625</v>
      </c>
      <c r="X157" s="13">
        <f t="shared" si="194"/>
        <v>0.00168318952422585</v>
      </c>
      <c r="Y157" s="13">
        <f t="shared" si="194"/>
        <v>0</v>
      </c>
      <c r="Z157" s="13">
        <f t="shared" si="194"/>
        <v>0.000415201586196542</v>
      </c>
      <c r="AA157" s="13">
        <f t="shared" si="194"/>
        <v>0.000984142650099864</v>
      </c>
      <c r="AB157" s="13">
        <f t="shared" si="194"/>
        <v>0.00040673444312631</v>
      </c>
      <c r="AC157" s="13">
        <f t="shared" si="194"/>
        <v>0.000411986289915076</v>
      </c>
      <c r="AD157" s="13">
        <f t="shared" ref="AD157" si="195">AD124*AD90</f>
        <v>0.000243473203834099</v>
      </c>
      <c r="AE157" s="13">
        <f t="shared" si="191"/>
        <v>0.000496174574840283</v>
      </c>
      <c r="AF157" s="13">
        <f t="shared" si="191"/>
        <v>0.000154536019500085</v>
      </c>
      <c r="AG157" s="13">
        <f t="shared" si="191"/>
        <v>0.00118287815363339</v>
      </c>
      <c r="AH157" s="13">
        <f t="shared" si="191"/>
        <v>0.00158521072364992</v>
      </c>
      <c r="AI157" s="13">
        <f t="shared" ref="AI157" si="196">AI124*AI90</f>
        <v>0.00206996314875513</v>
      </c>
      <c r="AJ157" s="13">
        <f t="shared" si="126"/>
        <v>0.025438442750977</v>
      </c>
      <c r="AK157" s="13">
        <f t="shared" si="127"/>
        <v>0.025438442750977</v>
      </c>
      <c r="AL157" s="13">
        <f t="shared" si="127"/>
        <v>0.025438442750977</v>
      </c>
      <c r="AM157" s="13">
        <f t="shared" si="127"/>
        <v>0.025438442750977</v>
      </c>
      <c r="AN157" s="13">
        <f t="shared" si="127"/>
        <v>0.025438442750977</v>
      </c>
      <c r="AO157" s="13">
        <f t="shared" si="127"/>
        <v>0.025438442750977</v>
      </c>
      <c r="AP157" s="13">
        <f t="shared" si="127"/>
        <v>0.025438442750977</v>
      </c>
      <c r="AQ157" s="13">
        <f t="shared" si="127"/>
        <v>0.025438442750977</v>
      </c>
      <c r="AR157" s="13">
        <f t="shared" si="127"/>
        <v>0.025438442750977</v>
      </c>
      <c r="AS157" s="13">
        <f t="shared" si="127"/>
        <v>0.025438442750977</v>
      </c>
      <c r="AT157" s="13">
        <f t="shared" si="127"/>
        <v>0.025438442750977</v>
      </c>
      <c r="AU157" s="13">
        <f t="shared" si="127"/>
        <v>0.025438442750977</v>
      </c>
      <c r="AV157" s="13">
        <f t="shared" si="127"/>
        <v>0.025438442750977</v>
      </c>
      <c r="AW157" s="13">
        <f t="shared" si="127"/>
        <v>0.025438442750977</v>
      </c>
      <c r="AX157" s="13">
        <f t="shared" si="127"/>
        <v>0.025438442750977</v>
      </c>
      <c r="AY157" s="13">
        <f t="shared" si="127"/>
        <v>0.025438442750977</v>
      </c>
      <c r="AZ157" s="13">
        <f t="shared" si="127"/>
        <v>0.025438442750977</v>
      </c>
      <c r="BA157" s="13">
        <f t="shared" si="152"/>
        <v>0.025438442750977</v>
      </c>
      <c r="BB157" s="13">
        <f t="shared" si="152"/>
        <v>0.025438442750977</v>
      </c>
      <c r="BC157" s="13">
        <f t="shared" si="152"/>
        <v>0.025438442750977</v>
      </c>
      <c r="BD157" s="13">
        <f t="shared" si="152"/>
        <v>0.025438442750977</v>
      </c>
      <c r="BE157" s="13">
        <f t="shared" si="152"/>
        <v>0.025438442750977</v>
      </c>
      <c r="BF157" s="13">
        <f t="shared" si="152"/>
        <v>0.025438442750977</v>
      </c>
      <c r="BG157" s="13">
        <f t="shared" si="152"/>
        <v>0.025438442750977</v>
      </c>
      <c r="BH157" s="13">
        <f t="shared" si="152"/>
        <v>0.025438442750977</v>
      </c>
      <c r="BI157" s="13">
        <f t="shared" si="152"/>
        <v>0.025438442750977</v>
      </c>
      <c r="BJ157" s="13">
        <f t="shared" si="152"/>
        <v>0.025438442750977</v>
      </c>
      <c r="BK157" s="13">
        <f t="shared" si="152"/>
        <v>0.025438442750977</v>
      </c>
      <c r="BL157" s="13">
        <f t="shared" si="152"/>
        <v>0.025438442750977</v>
      </c>
      <c r="BM157" s="13">
        <f t="shared" si="152"/>
        <v>0.025438442750977</v>
      </c>
      <c r="BN157" s="13">
        <f t="shared" si="152"/>
        <v>0.025438442750977</v>
      </c>
    </row>
    <row r="158" spans="4:66">
      <c r="D158" s="14" t="s">
        <v>21</v>
      </c>
      <c r="E158" s="13">
        <f t="shared" si="119"/>
        <v>3.74191704803321e-5</v>
      </c>
      <c r="F158" s="13">
        <f t="shared" si="119"/>
        <v>4.79844270139218e-5</v>
      </c>
      <c r="G158" s="13">
        <f t="shared" ref="G158:S158" si="197">G125*G91</f>
        <v>0.000440512143563944</v>
      </c>
      <c r="H158" s="13">
        <f t="shared" si="197"/>
        <v>0.00030989003630316</v>
      </c>
      <c r="I158" s="13">
        <f t="shared" si="197"/>
        <v>0.00020708723980389</v>
      </c>
      <c r="J158" s="13">
        <f t="shared" si="197"/>
        <v>0.000217867124185549</v>
      </c>
      <c r="K158" s="13">
        <f t="shared" si="197"/>
        <v>0.000632127928768789</v>
      </c>
      <c r="L158" s="13">
        <f t="shared" si="197"/>
        <v>0.000157464006518655</v>
      </c>
      <c r="M158" s="13">
        <f t="shared" si="197"/>
        <v>3.46742719566247e-5</v>
      </c>
      <c r="N158" s="13">
        <f t="shared" si="197"/>
        <v>8.3444911894086e-5</v>
      </c>
      <c r="O158" s="13">
        <f t="shared" si="197"/>
        <v>8.95613463254371e-5</v>
      </c>
      <c r="P158" s="13">
        <f t="shared" si="197"/>
        <v>0.000287027605236655</v>
      </c>
      <c r="Q158" s="13">
        <f t="shared" si="197"/>
        <v>0.000139126339847617</v>
      </c>
      <c r="R158" s="13">
        <f t="shared" si="197"/>
        <v>0.000326576148983573</v>
      </c>
      <c r="S158" s="13">
        <f t="shared" si="197"/>
        <v>0.000229948634291141</v>
      </c>
      <c r="T158" s="13">
        <f t="shared" ref="T158:AC158" si="198">T125*T91</f>
        <v>0.000456533244126181</v>
      </c>
      <c r="U158" s="13">
        <f t="shared" si="198"/>
        <v>0.0274022781917921</v>
      </c>
      <c r="V158" s="13">
        <f t="shared" si="198"/>
        <v>0.000770885992691181</v>
      </c>
      <c r="W158" s="13">
        <f t="shared" si="198"/>
        <v>0.000176084565512949</v>
      </c>
      <c r="X158" s="13">
        <f t="shared" si="198"/>
        <v>0.000282196614674968</v>
      </c>
      <c r="Y158" s="13">
        <f t="shared" si="198"/>
        <v>0.000365861373028338</v>
      </c>
      <c r="Z158" s="13">
        <f t="shared" si="198"/>
        <v>0</v>
      </c>
      <c r="AA158" s="13">
        <f t="shared" si="198"/>
        <v>0.00117616734949082</v>
      </c>
      <c r="AB158" s="13">
        <f t="shared" si="198"/>
        <v>0.000469995908811994</v>
      </c>
      <c r="AC158" s="13">
        <f t="shared" si="198"/>
        <v>0.000293162543676711</v>
      </c>
      <c r="AD158" s="13">
        <f t="shared" ref="AD158" si="199">AD125*AD91</f>
        <v>0.000146979025586333</v>
      </c>
      <c r="AE158" s="13">
        <f t="shared" si="191"/>
        <v>0.00187378762961048</v>
      </c>
      <c r="AF158" s="13">
        <f t="shared" si="191"/>
        <v>0.000205955078299374</v>
      </c>
      <c r="AG158" s="13">
        <f t="shared" si="191"/>
        <v>0.000386779571786249</v>
      </c>
      <c r="AH158" s="13">
        <f t="shared" si="191"/>
        <v>0.000497667928229094</v>
      </c>
      <c r="AI158" s="13">
        <f t="shared" ref="AI158" si="200">AI125*AI91</f>
        <v>0.000192509681302848</v>
      </c>
      <c r="AJ158" s="13">
        <f t="shared" si="126"/>
        <v>0.037937556033793</v>
      </c>
      <c r="AK158" s="13">
        <f t="shared" si="127"/>
        <v>0.037937556033793</v>
      </c>
      <c r="AL158" s="13">
        <f t="shared" si="127"/>
        <v>0.037937556033793</v>
      </c>
      <c r="AM158" s="13">
        <f t="shared" si="127"/>
        <v>0.037937556033793</v>
      </c>
      <c r="AN158" s="13">
        <f t="shared" si="127"/>
        <v>0.037937556033793</v>
      </c>
      <c r="AO158" s="13">
        <f t="shared" si="127"/>
        <v>0.037937556033793</v>
      </c>
      <c r="AP158" s="13">
        <f t="shared" si="127"/>
        <v>0.037937556033793</v>
      </c>
      <c r="AQ158" s="13">
        <f t="shared" si="127"/>
        <v>0.037937556033793</v>
      </c>
      <c r="AR158" s="13">
        <f t="shared" si="127"/>
        <v>0.037937556033793</v>
      </c>
      <c r="AS158" s="13">
        <f t="shared" si="127"/>
        <v>0.037937556033793</v>
      </c>
      <c r="AT158" s="13">
        <f t="shared" si="127"/>
        <v>0.037937556033793</v>
      </c>
      <c r="AU158" s="13">
        <f t="shared" si="127"/>
        <v>0.037937556033793</v>
      </c>
      <c r="AV158" s="13">
        <f t="shared" si="127"/>
        <v>0.037937556033793</v>
      </c>
      <c r="AW158" s="13">
        <f t="shared" si="127"/>
        <v>0.037937556033793</v>
      </c>
      <c r="AX158" s="13">
        <f t="shared" si="127"/>
        <v>0.037937556033793</v>
      </c>
      <c r="AY158" s="13">
        <f t="shared" si="127"/>
        <v>0.037937556033793</v>
      </c>
      <c r="AZ158" s="13">
        <f t="shared" si="127"/>
        <v>0.037937556033793</v>
      </c>
      <c r="BA158" s="13">
        <f t="shared" si="152"/>
        <v>0.037937556033793</v>
      </c>
      <c r="BB158" s="13">
        <f t="shared" si="152"/>
        <v>0.037937556033793</v>
      </c>
      <c r="BC158" s="13">
        <f t="shared" si="152"/>
        <v>0.037937556033793</v>
      </c>
      <c r="BD158" s="13">
        <f t="shared" si="152"/>
        <v>0.037937556033793</v>
      </c>
      <c r="BE158" s="13">
        <f t="shared" si="152"/>
        <v>0.037937556033793</v>
      </c>
      <c r="BF158" s="13">
        <f t="shared" si="152"/>
        <v>0.037937556033793</v>
      </c>
      <c r="BG158" s="13">
        <f t="shared" si="152"/>
        <v>0.037937556033793</v>
      </c>
      <c r="BH158" s="13">
        <f t="shared" si="152"/>
        <v>0.037937556033793</v>
      </c>
      <c r="BI158" s="13">
        <f t="shared" si="152"/>
        <v>0.037937556033793</v>
      </c>
      <c r="BJ158" s="13">
        <f t="shared" si="152"/>
        <v>0.037937556033793</v>
      </c>
      <c r="BK158" s="13">
        <f t="shared" si="152"/>
        <v>0.037937556033793</v>
      </c>
      <c r="BL158" s="13">
        <f t="shared" si="152"/>
        <v>0.037937556033793</v>
      </c>
      <c r="BM158" s="13">
        <f t="shared" si="152"/>
        <v>0.037937556033793</v>
      </c>
      <c r="BN158" s="13">
        <f t="shared" si="152"/>
        <v>0.037937556033793</v>
      </c>
    </row>
    <row r="159" spans="4:66">
      <c r="D159" s="14" t="s">
        <v>22</v>
      </c>
      <c r="E159" s="13">
        <f t="shared" si="119"/>
        <v>1.95095324781833e-5</v>
      </c>
      <c r="F159" s="13">
        <f t="shared" si="119"/>
        <v>2.37422520861531e-5</v>
      </c>
      <c r="G159" s="13">
        <f t="shared" ref="G159:S159" si="201">G126*G92</f>
        <v>0.000371380780852183</v>
      </c>
      <c r="H159" s="13">
        <f t="shared" si="201"/>
        <v>0.0031866913107913</v>
      </c>
      <c r="I159" s="13">
        <f t="shared" si="201"/>
        <v>7.07233500716087e-5</v>
      </c>
      <c r="J159" s="13">
        <f t="shared" si="201"/>
        <v>5.48879008057419e-5</v>
      </c>
      <c r="K159" s="13">
        <f t="shared" si="201"/>
        <v>0.000105217959835158</v>
      </c>
      <c r="L159" s="13">
        <f t="shared" si="201"/>
        <v>0.000345412031995831</v>
      </c>
      <c r="M159" s="13">
        <f t="shared" si="201"/>
        <v>1.6747865664676e-5</v>
      </c>
      <c r="N159" s="13">
        <f t="shared" si="201"/>
        <v>3.47106414008393e-5</v>
      </c>
      <c r="O159" s="13">
        <f t="shared" si="201"/>
        <v>3.56297655549309e-5</v>
      </c>
      <c r="P159" s="13">
        <f t="shared" si="201"/>
        <v>0.0120251244297036</v>
      </c>
      <c r="Q159" s="13">
        <f t="shared" si="201"/>
        <v>4.72811732945807e-5</v>
      </c>
      <c r="R159" s="13">
        <f t="shared" si="201"/>
        <v>0.00385506630593285</v>
      </c>
      <c r="S159" s="13">
        <f t="shared" si="201"/>
        <v>6.92664952116743e-5</v>
      </c>
      <c r="T159" s="13">
        <f t="shared" ref="T159:AC159" si="202">T126*T92</f>
        <v>0.000928419697183611</v>
      </c>
      <c r="U159" s="13">
        <f t="shared" si="202"/>
        <v>0.000199391145085667</v>
      </c>
      <c r="V159" s="13">
        <f t="shared" si="202"/>
        <v>0.000632454029385909</v>
      </c>
      <c r="W159" s="13">
        <f t="shared" si="202"/>
        <v>5.86926023246353e-5</v>
      </c>
      <c r="X159" s="13">
        <f t="shared" si="202"/>
        <v>0.000618899082026344</v>
      </c>
      <c r="Y159" s="13">
        <f t="shared" si="202"/>
        <v>0.000563908762474157</v>
      </c>
      <c r="Z159" s="13">
        <f t="shared" si="202"/>
        <v>0.000764825488841476</v>
      </c>
      <c r="AA159" s="13">
        <f t="shared" si="202"/>
        <v>0</v>
      </c>
      <c r="AB159" s="13">
        <f t="shared" si="202"/>
        <v>0.000494332020165075</v>
      </c>
      <c r="AC159" s="13">
        <f t="shared" si="202"/>
        <v>0.000541507927421243</v>
      </c>
      <c r="AD159" s="13">
        <f t="shared" ref="AD159" si="203">AD126*AD92</f>
        <v>0.000416205064643766</v>
      </c>
      <c r="AE159" s="13">
        <f t="shared" si="191"/>
        <v>0.000467789243769161</v>
      </c>
      <c r="AF159" s="13">
        <f t="shared" si="191"/>
        <v>0.000345686357607088</v>
      </c>
      <c r="AG159" s="13">
        <f t="shared" si="191"/>
        <v>0.00228658182122376</v>
      </c>
      <c r="AH159" s="13">
        <f t="shared" si="191"/>
        <v>0.000591128436938373</v>
      </c>
      <c r="AI159" s="13">
        <f t="shared" ref="AI159" si="204">AI126*AI92</f>
        <v>0.000301375700478137</v>
      </c>
      <c r="AJ159" s="13">
        <f t="shared" si="126"/>
        <v>0.0294725891752477</v>
      </c>
      <c r="AK159" s="13">
        <f t="shared" si="127"/>
        <v>0.0294725891752477</v>
      </c>
      <c r="AL159" s="13">
        <f t="shared" si="127"/>
        <v>0.0294725891752477</v>
      </c>
      <c r="AM159" s="13">
        <f t="shared" si="127"/>
        <v>0.0294725891752477</v>
      </c>
      <c r="AN159" s="13">
        <f t="shared" si="127"/>
        <v>0.0294725891752477</v>
      </c>
      <c r="AO159" s="13">
        <f t="shared" si="127"/>
        <v>0.0294725891752477</v>
      </c>
      <c r="AP159" s="13">
        <f t="shared" si="127"/>
        <v>0.0294725891752477</v>
      </c>
      <c r="AQ159" s="13">
        <f t="shared" si="127"/>
        <v>0.0294725891752477</v>
      </c>
      <c r="AR159" s="13">
        <f t="shared" si="127"/>
        <v>0.0294725891752477</v>
      </c>
      <c r="AS159" s="13">
        <f t="shared" si="127"/>
        <v>0.0294725891752477</v>
      </c>
      <c r="AT159" s="13">
        <f t="shared" si="127"/>
        <v>0.0294725891752477</v>
      </c>
      <c r="AU159" s="13">
        <f t="shared" si="127"/>
        <v>0.0294725891752477</v>
      </c>
      <c r="AV159" s="13">
        <f t="shared" si="127"/>
        <v>0.0294725891752477</v>
      </c>
      <c r="AW159" s="13">
        <f t="shared" si="127"/>
        <v>0.0294725891752477</v>
      </c>
      <c r="AX159" s="13">
        <f t="shared" si="127"/>
        <v>0.0294725891752477</v>
      </c>
      <c r="AY159" s="13">
        <f t="shared" si="127"/>
        <v>0.0294725891752477</v>
      </c>
      <c r="AZ159" s="13">
        <f t="shared" si="127"/>
        <v>0.0294725891752477</v>
      </c>
      <c r="BA159" s="13">
        <f t="shared" si="152"/>
        <v>0.0294725891752477</v>
      </c>
      <c r="BB159" s="13">
        <f t="shared" si="152"/>
        <v>0.0294725891752477</v>
      </c>
      <c r="BC159" s="13">
        <f t="shared" si="152"/>
        <v>0.0294725891752477</v>
      </c>
      <c r="BD159" s="13">
        <f t="shared" si="152"/>
        <v>0.0294725891752477</v>
      </c>
      <c r="BE159" s="13">
        <f t="shared" si="152"/>
        <v>0.0294725891752477</v>
      </c>
      <c r="BF159" s="13">
        <f t="shared" si="152"/>
        <v>0.0294725891752477</v>
      </c>
      <c r="BG159" s="13">
        <f t="shared" si="152"/>
        <v>0.0294725891752477</v>
      </c>
      <c r="BH159" s="13">
        <f t="shared" si="152"/>
        <v>0.0294725891752477</v>
      </c>
      <c r="BI159" s="13">
        <f t="shared" si="152"/>
        <v>0.0294725891752477</v>
      </c>
      <c r="BJ159" s="13">
        <f t="shared" si="152"/>
        <v>0.0294725891752477</v>
      </c>
      <c r="BK159" s="13">
        <f t="shared" si="152"/>
        <v>0.0294725891752477</v>
      </c>
      <c r="BL159" s="13">
        <f t="shared" si="152"/>
        <v>0.0294725891752477</v>
      </c>
      <c r="BM159" s="13">
        <f t="shared" si="152"/>
        <v>0.0294725891752477</v>
      </c>
      <c r="BN159" s="13">
        <f t="shared" si="152"/>
        <v>0.0294725891752477</v>
      </c>
    </row>
    <row r="160" spans="4:66">
      <c r="D160" s="14" t="s">
        <v>23</v>
      </c>
      <c r="E160" s="13">
        <f t="shared" si="119"/>
        <v>7.25756019016678e-5</v>
      </c>
      <c r="F160" s="13">
        <f t="shared" si="119"/>
        <v>8.77348339845522e-5</v>
      </c>
      <c r="G160" s="13">
        <f t="shared" ref="G160:S160" si="205">G127*G93</f>
        <v>0.000522626443564112</v>
      </c>
      <c r="H160" s="13">
        <f t="shared" si="205"/>
        <v>0.000819218916142664</v>
      </c>
      <c r="I160" s="13">
        <f t="shared" si="205"/>
        <v>0.000196465618663589</v>
      </c>
      <c r="J160" s="13">
        <f t="shared" si="205"/>
        <v>0.000166019593873213</v>
      </c>
      <c r="K160" s="13">
        <f t="shared" si="205"/>
        <v>0.000233594412294633</v>
      </c>
      <c r="L160" s="13">
        <f t="shared" si="205"/>
        <v>0.000337067961248084</v>
      </c>
      <c r="M160" s="13">
        <f t="shared" si="205"/>
        <v>7.69357715712457e-5</v>
      </c>
      <c r="N160" s="13">
        <f t="shared" si="205"/>
        <v>0.000144805400805014</v>
      </c>
      <c r="O160" s="13">
        <f t="shared" si="205"/>
        <v>0.000153097748443452</v>
      </c>
      <c r="P160" s="13">
        <f t="shared" si="205"/>
        <v>0.00101966635162169</v>
      </c>
      <c r="Q160" s="13">
        <f t="shared" si="205"/>
        <v>0.000213517643589352</v>
      </c>
      <c r="R160" s="13">
        <f t="shared" si="205"/>
        <v>0.00136468692170096</v>
      </c>
      <c r="S160" s="13">
        <f t="shared" si="205"/>
        <v>0.000219398564655352</v>
      </c>
      <c r="T160" s="13">
        <f t="shared" ref="T160:AC160" si="206">T127*T93</f>
        <v>0.000836851980087434</v>
      </c>
      <c r="U160" s="13">
        <f t="shared" si="206"/>
        <v>0.000593347575863488</v>
      </c>
      <c r="V160" s="13">
        <f t="shared" si="206"/>
        <v>0.00128092415515186</v>
      </c>
      <c r="W160" s="13">
        <f t="shared" si="206"/>
        <v>0.000344233220580868</v>
      </c>
      <c r="X160" s="13">
        <f t="shared" si="206"/>
        <v>0.004396312019611</v>
      </c>
      <c r="Y160" s="13">
        <f t="shared" si="206"/>
        <v>0.00111236956270643</v>
      </c>
      <c r="Z160" s="13">
        <f t="shared" si="206"/>
        <v>0.00145872917022243</v>
      </c>
      <c r="AA160" s="13">
        <f t="shared" si="206"/>
        <v>0.00235942457702695</v>
      </c>
      <c r="AB160" s="13">
        <f t="shared" si="206"/>
        <v>0</v>
      </c>
      <c r="AC160" s="13">
        <f t="shared" si="206"/>
        <v>0.0112242304515109</v>
      </c>
      <c r="AD160" s="13">
        <f t="shared" ref="AD160" si="207">AD127*AD93</f>
        <v>0.00149441886639613</v>
      </c>
      <c r="AE160" s="13">
        <f t="shared" si="191"/>
        <v>0.000705651977908417</v>
      </c>
      <c r="AF160" s="13">
        <f t="shared" si="191"/>
        <v>0.00705795586134432</v>
      </c>
      <c r="AG160" s="13">
        <f t="shared" si="191"/>
        <v>0.000856101949344261</v>
      </c>
      <c r="AH160" s="13">
        <f t="shared" si="191"/>
        <v>0.000612554816430145</v>
      </c>
      <c r="AI160" s="13">
        <f t="shared" ref="AI160" si="208">AI127*AI93</f>
        <v>0.00033271673755064</v>
      </c>
      <c r="AJ160" s="13">
        <f t="shared" si="126"/>
        <v>0.0402932347057949</v>
      </c>
      <c r="AK160" s="13">
        <f t="shared" si="127"/>
        <v>0.0402932347057949</v>
      </c>
      <c r="AL160" s="13">
        <f t="shared" si="127"/>
        <v>0.0402932347057949</v>
      </c>
      <c r="AM160" s="13">
        <f t="shared" si="127"/>
        <v>0.0402932347057949</v>
      </c>
      <c r="AN160" s="13">
        <f t="shared" si="127"/>
        <v>0.0402932347057949</v>
      </c>
      <c r="AO160" s="13">
        <f t="shared" si="127"/>
        <v>0.0402932347057949</v>
      </c>
      <c r="AP160" s="13">
        <f t="shared" si="127"/>
        <v>0.0402932347057949</v>
      </c>
      <c r="AQ160" s="13">
        <f t="shared" si="127"/>
        <v>0.0402932347057949</v>
      </c>
      <c r="AR160" s="13">
        <f t="shared" si="127"/>
        <v>0.0402932347057949</v>
      </c>
      <c r="AS160" s="13">
        <f t="shared" si="127"/>
        <v>0.0402932347057949</v>
      </c>
      <c r="AT160" s="13">
        <f t="shared" si="127"/>
        <v>0.0402932347057949</v>
      </c>
      <c r="AU160" s="13">
        <f t="shared" si="127"/>
        <v>0.0402932347057949</v>
      </c>
      <c r="AV160" s="13">
        <f t="shared" si="127"/>
        <v>0.0402932347057949</v>
      </c>
      <c r="AW160" s="13">
        <f t="shared" si="127"/>
        <v>0.0402932347057949</v>
      </c>
      <c r="AX160" s="13">
        <f t="shared" si="127"/>
        <v>0.0402932347057949</v>
      </c>
      <c r="AY160" s="13">
        <f t="shared" si="127"/>
        <v>0.0402932347057949</v>
      </c>
      <c r="AZ160" s="13">
        <f t="shared" si="127"/>
        <v>0.0402932347057949</v>
      </c>
      <c r="BA160" s="13">
        <f t="shared" si="152"/>
        <v>0.0402932347057949</v>
      </c>
      <c r="BB160" s="13">
        <f t="shared" si="152"/>
        <v>0.0402932347057949</v>
      </c>
      <c r="BC160" s="13">
        <f t="shared" si="152"/>
        <v>0.0402932347057949</v>
      </c>
      <c r="BD160" s="13">
        <f t="shared" si="152"/>
        <v>0.0402932347057949</v>
      </c>
      <c r="BE160" s="13">
        <f t="shared" si="152"/>
        <v>0.0402932347057949</v>
      </c>
      <c r="BF160" s="13">
        <f t="shared" si="152"/>
        <v>0.0402932347057949</v>
      </c>
      <c r="BG160" s="13">
        <f t="shared" si="152"/>
        <v>0.0402932347057949</v>
      </c>
      <c r="BH160" s="13">
        <f t="shared" si="152"/>
        <v>0.0402932347057949</v>
      </c>
      <c r="BI160" s="13">
        <f t="shared" si="152"/>
        <v>0.0402932347057949</v>
      </c>
      <c r="BJ160" s="13">
        <f t="shared" si="152"/>
        <v>0.0402932347057949</v>
      </c>
      <c r="BK160" s="13">
        <f t="shared" si="152"/>
        <v>0.0402932347057949</v>
      </c>
      <c r="BL160" s="13">
        <f t="shared" si="152"/>
        <v>0.0402932347057949</v>
      </c>
      <c r="BM160" s="13">
        <f t="shared" si="152"/>
        <v>0.0402932347057949</v>
      </c>
      <c r="BN160" s="13">
        <f t="shared" si="152"/>
        <v>0.0402932347057949</v>
      </c>
    </row>
    <row r="161" spans="4:66">
      <c r="D161" s="14" t="s">
        <v>24</v>
      </c>
      <c r="E161" s="13">
        <f t="shared" si="119"/>
        <v>7.37988119379559e-5</v>
      </c>
      <c r="F161" s="13">
        <f t="shared" si="119"/>
        <v>8.91388174114823e-5</v>
      </c>
      <c r="G161" s="13">
        <f t="shared" ref="G161:S161" si="209">G128*G94</f>
        <v>0.000604254326506528</v>
      </c>
      <c r="H161" s="13">
        <f t="shared" si="209"/>
        <v>0.00102833021307436</v>
      </c>
      <c r="I161" s="13">
        <f t="shared" si="209"/>
        <v>0.000213897146115553</v>
      </c>
      <c r="J161" s="13">
        <f t="shared" si="209"/>
        <v>0.000183783262956234</v>
      </c>
      <c r="K161" s="13">
        <f t="shared" si="209"/>
        <v>0.000276721467009555</v>
      </c>
      <c r="L161" s="13">
        <f t="shared" si="209"/>
        <v>0.000439425413753825</v>
      </c>
      <c r="M161" s="13">
        <f t="shared" si="209"/>
        <v>7.32280728420983e-5</v>
      </c>
      <c r="N161" s="13">
        <f t="shared" si="209"/>
        <v>0.000135763302403572</v>
      </c>
      <c r="O161" s="13">
        <f t="shared" si="209"/>
        <v>0.000145605563458947</v>
      </c>
      <c r="P161" s="13">
        <f t="shared" si="209"/>
        <v>0.00119773290447801</v>
      </c>
      <c r="Q161" s="13">
        <f t="shared" si="209"/>
        <v>0.000202623610612452</v>
      </c>
      <c r="R161" s="13">
        <f t="shared" si="209"/>
        <v>0.00150771821505627</v>
      </c>
      <c r="S161" s="13">
        <f t="shared" si="209"/>
        <v>0.000223047254684906</v>
      </c>
      <c r="T161" s="13">
        <f t="shared" ref="T161:AC161" si="210">T128*T94</f>
        <v>0.00092974039188013</v>
      </c>
      <c r="U161" s="13">
        <f t="shared" si="210"/>
        <v>0.000533972173235412</v>
      </c>
      <c r="V161" s="13">
        <f t="shared" si="210"/>
        <v>0.00109931381502376</v>
      </c>
      <c r="W161" s="13">
        <f t="shared" si="210"/>
        <v>0.000299347567192757</v>
      </c>
      <c r="X161" s="13">
        <f t="shared" si="210"/>
        <v>0.00650356500236325</v>
      </c>
      <c r="Y161" s="13">
        <f t="shared" si="210"/>
        <v>0.00133417525308615</v>
      </c>
      <c r="Z161" s="13">
        <f t="shared" si="210"/>
        <v>0.00107741009995902</v>
      </c>
      <c r="AA161" s="13">
        <f t="shared" si="210"/>
        <v>0.00306044194984264</v>
      </c>
      <c r="AB161" s="13">
        <f t="shared" si="210"/>
        <v>0.0132907211404819</v>
      </c>
      <c r="AC161" s="13">
        <f t="shared" si="210"/>
        <v>0</v>
      </c>
      <c r="AD161" s="13">
        <f t="shared" ref="AD161" si="211">AD128*AD94</f>
        <v>0.00431786604310769</v>
      </c>
      <c r="AE161" s="13">
        <f t="shared" si="191"/>
        <v>0.000731405288648375</v>
      </c>
      <c r="AF161" s="13">
        <f t="shared" si="191"/>
        <v>0.00286816217180186</v>
      </c>
      <c r="AG161" s="13">
        <f t="shared" si="191"/>
        <v>0.00123752847999054</v>
      </c>
      <c r="AH161" s="13">
        <f t="shared" si="191"/>
        <v>0.000765532030330168</v>
      </c>
      <c r="AI161" s="13">
        <f t="shared" ref="AI161:AI162" si="212">AI128*AI94</f>
        <v>0.000499104149678562</v>
      </c>
      <c r="AJ161" s="13">
        <f t="shared" si="126"/>
        <v>0.044943353938924</v>
      </c>
      <c r="AK161" s="13">
        <f t="shared" si="127"/>
        <v>0.044943353938924</v>
      </c>
      <c r="AL161" s="13">
        <f t="shared" si="127"/>
        <v>0.044943353938924</v>
      </c>
      <c r="AM161" s="13">
        <f t="shared" si="127"/>
        <v>0.044943353938924</v>
      </c>
      <c r="AN161" s="13">
        <f t="shared" si="127"/>
        <v>0.044943353938924</v>
      </c>
      <c r="AO161" s="13">
        <f t="shared" si="127"/>
        <v>0.044943353938924</v>
      </c>
      <c r="AP161" s="13">
        <f t="shared" si="127"/>
        <v>0.044943353938924</v>
      </c>
      <c r="AQ161" s="13">
        <f t="shared" si="127"/>
        <v>0.044943353938924</v>
      </c>
      <c r="AR161" s="13">
        <f t="shared" ref="AR161:BG167" si="213">$AJ161</f>
        <v>0.044943353938924</v>
      </c>
      <c r="AS161" s="13">
        <f t="shared" si="213"/>
        <v>0.044943353938924</v>
      </c>
      <c r="AT161" s="13">
        <f t="shared" si="213"/>
        <v>0.044943353938924</v>
      </c>
      <c r="AU161" s="13">
        <f t="shared" si="213"/>
        <v>0.044943353938924</v>
      </c>
      <c r="AV161" s="13">
        <f t="shared" si="213"/>
        <v>0.044943353938924</v>
      </c>
      <c r="AW161" s="13">
        <f t="shared" si="213"/>
        <v>0.044943353938924</v>
      </c>
      <c r="AX161" s="13">
        <f t="shared" si="213"/>
        <v>0.044943353938924</v>
      </c>
      <c r="AY161" s="13">
        <f t="shared" si="213"/>
        <v>0.044943353938924</v>
      </c>
      <c r="AZ161" s="13">
        <f t="shared" si="213"/>
        <v>0.044943353938924</v>
      </c>
      <c r="BA161" s="13">
        <f t="shared" si="213"/>
        <v>0.044943353938924</v>
      </c>
      <c r="BB161" s="13">
        <f t="shared" si="213"/>
        <v>0.044943353938924</v>
      </c>
      <c r="BC161" s="13">
        <f t="shared" si="213"/>
        <v>0.044943353938924</v>
      </c>
      <c r="BD161" s="13">
        <f t="shared" si="213"/>
        <v>0.044943353938924</v>
      </c>
      <c r="BE161" s="13">
        <f t="shared" si="213"/>
        <v>0.044943353938924</v>
      </c>
      <c r="BF161" s="13">
        <f t="shared" si="213"/>
        <v>0.044943353938924</v>
      </c>
      <c r="BG161" s="13">
        <f t="shared" si="213"/>
        <v>0.044943353938924</v>
      </c>
      <c r="BH161" s="13">
        <f t="shared" si="152"/>
        <v>0.044943353938924</v>
      </c>
      <c r="BI161" s="13">
        <f t="shared" si="152"/>
        <v>0.044943353938924</v>
      </c>
      <c r="BJ161" s="13">
        <f t="shared" si="152"/>
        <v>0.044943353938924</v>
      </c>
      <c r="BK161" s="13">
        <f t="shared" si="152"/>
        <v>0.044943353938924</v>
      </c>
      <c r="BL161" s="13">
        <f t="shared" si="152"/>
        <v>0.044943353938924</v>
      </c>
      <c r="BM161" s="13">
        <f t="shared" si="152"/>
        <v>0.044943353938924</v>
      </c>
      <c r="BN161" s="13">
        <f t="shared" si="152"/>
        <v>0.044943353938924</v>
      </c>
    </row>
    <row r="162" spans="4:66">
      <c r="D162" s="14" t="s">
        <v>25</v>
      </c>
      <c r="E162" s="13">
        <f t="shared" ref="E162:E167" si="214">E129*E95</f>
        <v>6.48637188713494e-5</v>
      </c>
      <c r="F162" s="13">
        <f t="shared" ref="F162:AH167" si="215">F129*F95</f>
        <v>7.75983985310387e-5</v>
      </c>
      <c r="G162" s="13">
        <f t="shared" si="215"/>
        <v>0.000629381201136406</v>
      </c>
      <c r="H162" s="13">
        <f t="shared" si="215"/>
        <v>0.00125174647647194</v>
      </c>
      <c r="I162" s="13">
        <f t="shared" si="215"/>
        <v>0.000210855027458738</v>
      </c>
      <c r="J162" s="13">
        <f t="shared" si="215"/>
        <v>0.000177864319736835</v>
      </c>
      <c r="K162" s="13">
        <f t="shared" si="215"/>
        <v>0.000295848857175386</v>
      </c>
      <c r="L162" s="13">
        <f t="shared" si="215"/>
        <v>0.000550856370766242</v>
      </c>
      <c r="M162" s="13">
        <f t="shared" si="215"/>
        <v>5.39626185176312e-5</v>
      </c>
      <c r="N162" s="13">
        <f t="shared" si="215"/>
        <v>9.97864450326619e-5</v>
      </c>
      <c r="O162" s="13">
        <f t="shared" si="215"/>
        <v>0.000106050588747897</v>
      </c>
      <c r="P162" s="13">
        <f t="shared" si="215"/>
        <v>0.00128446408359489</v>
      </c>
      <c r="Q162" s="13">
        <f t="shared" si="215"/>
        <v>0.0001383422426448</v>
      </c>
      <c r="R162" s="13">
        <f t="shared" si="215"/>
        <v>0.00148177345772894</v>
      </c>
      <c r="S162" s="13">
        <f t="shared" si="215"/>
        <v>0.0001895541654922</v>
      </c>
      <c r="T162" s="13">
        <f t="shared" si="215"/>
        <v>0.000911163656692349</v>
      </c>
      <c r="U162" s="13">
        <f t="shared" si="215"/>
        <v>0.000378674936150983</v>
      </c>
      <c r="V162" s="13">
        <f t="shared" si="215"/>
        <v>0.000759547207948854</v>
      </c>
      <c r="W162" s="13">
        <f t="shared" si="215"/>
        <v>0.000162354140710045</v>
      </c>
      <c r="X162" s="13">
        <f t="shared" si="215"/>
        <v>0.0123214366147425</v>
      </c>
      <c r="Y162" s="13">
        <f t="shared" si="215"/>
        <v>0.000831707978387568</v>
      </c>
      <c r="Z162" s="13">
        <f t="shared" si="215"/>
        <v>0.000569793518710813</v>
      </c>
      <c r="AA162" s="13">
        <f t="shared" si="215"/>
        <v>0.00248128281653003</v>
      </c>
      <c r="AB162" s="13">
        <f t="shared" si="215"/>
        <v>0.00186661130885684</v>
      </c>
      <c r="AC162" s="13">
        <f t="shared" si="215"/>
        <v>0.0045546891728414</v>
      </c>
      <c r="AD162" s="13">
        <f t="shared" si="215"/>
        <v>0</v>
      </c>
      <c r="AE162" s="13">
        <f t="shared" si="215"/>
        <v>0.000626311511802475</v>
      </c>
      <c r="AF162" s="13">
        <f t="shared" si="215"/>
        <v>0.001620533926892</v>
      </c>
      <c r="AG162" s="13">
        <f t="shared" si="215"/>
        <v>0.00189400070212306</v>
      </c>
      <c r="AH162" s="13">
        <f t="shared" si="215"/>
        <v>0.000920715875615943</v>
      </c>
      <c r="AI162" s="13">
        <f t="shared" si="212"/>
        <v>0.00105953458322246</v>
      </c>
      <c r="AJ162" s="13">
        <f t="shared" si="126"/>
        <v>0.0375713059231343</v>
      </c>
      <c r="AK162" s="13">
        <f t="shared" ref="AK162:AZ167" si="216">$AJ162</f>
        <v>0.0375713059231343</v>
      </c>
      <c r="AL162" s="13">
        <f t="shared" si="216"/>
        <v>0.0375713059231343</v>
      </c>
      <c r="AM162" s="13">
        <f t="shared" si="216"/>
        <v>0.0375713059231343</v>
      </c>
      <c r="AN162" s="13">
        <f t="shared" si="216"/>
        <v>0.0375713059231343</v>
      </c>
      <c r="AO162" s="13">
        <f t="shared" si="216"/>
        <v>0.0375713059231343</v>
      </c>
      <c r="AP162" s="13">
        <f t="shared" si="216"/>
        <v>0.0375713059231343</v>
      </c>
      <c r="AQ162" s="13">
        <f t="shared" si="216"/>
        <v>0.0375713059231343</v>
      </c>
      <c r="AR162" s="13">
        <f t="shared" si="216"/>
        <v>0.0375713059231343</v>
      </c>
      <c r="AS162" s="13">
        <f t="shared" si="216"/>
        <v>0.0375713059231343</v>
      </c>
      <c r="AT162" s="13">
        <f t="shared" si="216"/>
        <v>0.0375713059231343</v>
      </c>
      <c r="AU162" s="13">
        <f t="shared" si="216"/>
        <v>0.0375713059231343</v>
      </c>
      <c r="AV162" s="13">
        <f t="shared" si="216"/>
        <v>0.0375713059231343</v>
      </c>
      <c r="AW162" s="13">
        <f t="shared" si="216"/>
        <v>0.0375713059231343</v>
      </c>
      <c r="AX162" s="13">
        <f t="shared" si="216"/>
        <v>0.0375713059231343</v>
      </c>
      <c r="AY162" s="13">
        <f t="shared" si="216"/>
        <v>0.0375713059231343</v>
      </c>
      <c r="AZ162" s="13">
        <f t="shared" si="216"/>
        <v>0.0375713059231343</v>
      </c>
      <c r="BA162" s="13">
        <f t="shared" si="213"/>
        <v>0.0375713059231343</v>
      </c>
      <c r="BB162" s="13">
        <f t="shared" si="213"/>
        <v>0.0375713059231343</v>
      </c>
      <c r="BC162" s="13">
        <f t="shared" si="213"/>
        <v>0.0375713059231343</v>
      </c>
      <c r="BD162" s="13">
        <f t="shared" si="213"/>
        <v>0.0375713059231343</v>
      </c>
      <c r="BE162" s="13">
        <f t="shared" si="213"/>
        <v>0.0375713059231343</v>
      </c>
      <c r="BF162" s="13">
        <f t="shared" si="213"/>
        <v>0.0375713059231343</v>
      </c>
      <c r="BG162" s="13">
        <f t="shared" si="213"/>
        <v>0.0375713059231343</v>
      </c>
      <c r="BH162" s="13">
        <f t="shared" si="152"/>
        <v>0.0375713059231343</v>
      </c>
      <c r="BI162" s="13">
        <f t="shared" si="152"/>
        <v>0.0375713059231343</v>
      </c>
      <c r="BJ162" s="13">
        <f t="shared" si="152"/>
        <v>0.0375713059231343</v>
      </c>
      <c r="BK162" s="13">
        <f t="shared" si="152"/>
        <v>0.0375713059231343</v>
      </c>
      <c r="BL162" s="13">
        <f t="shared" si="152"/>
        <v>0.0375713059231343</v>
      </c>
      <c r="BM162" s="13">
        <f t="shared" si="152"/>
        <v>0.0375713059231343</v>
      </c>
      <c r="BN162" s="13">
        <f t="shared" si="152"/>
        <v>0.0375713059231343</v>
      </c>
    </row>
    <row r="163" spans="4:66">
      <c r="D163" s="14" t="s">
        <v>26</v>
      </c>
      <c r="E163" s="13">
        <f t="shared" si="214"/>
        <v>0.000100331918325939</v>
      </c>
      <c r="F163" s="13">
        <f t="shared" ref="F163:AC163" si="217">F130*F96</f>
        <v>0.000124012875327301</v>
      </c>
      <c r="G163" s="13">
        <f t="shared" si="217"/>
        <v>0.00285440628533997</v>
      </c>
      <c r="H163" s="13">
        <f t="shared" si="217"/>
        <v>0.00166796060133477</v>
      </c>
      <c r="I163" s="13">
        <f t="shared" si="217"/>
        <v>0.000512261886838445</v>
      </c>
      <c r="J163" s="13">
        <f t="shared" si="217"/>
        <v>0.000362382704451042</v>
      </c>
      <c r="K163" s="13">
        <f t="shared" si="217"/>
        <v>0.00360293544936249</v>
      </c>
      <c r="L163" s="13">
        <f t="shared" si="217"/>
        <v>0.000577958790757367</v>
      </c>
      <c r="M163" s="13">
        <f t="shared" si="217"/>
        <v>6.8740481508713e-5</v>
      </c>
      <c r="N163" s="13">
        <f t="shared" si="217"/>
        <v>0.000168981121058743</v>
      </c>
      <c r="O163" s="13">
        <f t="shared" si="217"/>
        <v>0.000161729530357302</v>
      </c>
      <c r="P163" s="13">
        <f t="shared" si="217"/>
        <v>0.000890082913408965</v>
      </c>
      <c r="Q163" s="13">
        <f t="shared" si="217"/>
        <v>0.000204037445315412</v>
      </c>
      <c r="R163" s="13">
        <f t="shared" si="217"/>
        <v>0.000790331698452194</v>
      </c>
      <c r="S163" s="13">
        <f t="shared" si="217"/>
        <v>0.00049801430810866</v>
      </c>
      <c r="T163" s="13">
        <f t="shared" si="217"/>
        <v>0.0025086457182217</v>
      </c>
      <c r="U163" s="13">
        <f t="shared" si="217"/>
        <v>0.00258970855319441</v>
      </c>
      <c r="V163" s="13">
        <f t="shared" si="217"/>
        <v>0.00204387232140957</v>
      </c>
      <c r="W163" s="13">
        <f t="shared" si="217"/>
        <v>0.000202709057340159</v>
      </c>
      <c r="X163" s="13">
        <f t="shared" si="217"/>
        <v>0.000407226081802074</v>
      </c>
      <c r="Y163" s="13">
        <f t="shared" si="217"/>
        <v>0.000788867502814644</v>
      </c>
      <c r="Z163" s="13">
        <f t="shared" si="217"/>
        <v>0.00338090035583753</v>
      </c>
      <c r="AA163" s="13">
        <f t="shared" si="217"/>
        <v>0.00129798299088581</v>
      </c>
      <c r="AB163" s="13">
        <f t="shared" si="217"/>
        <v>0.000410224861182062</v>
      </c>
      <c r="AC163" s="13">
        <f t="shared" si="217"/>
        <v>0.000359085227376586</v>
      </c>
      <c r="AD163" s="13">
        <f t="shared" si="215"/>
        <v>0.000291501139520551</v>
      </c>
      <c r="AE163" s="13">
        <f t="shared" ref="AE163:AH164" si="218">AE130*AE96</f>
        <v>0</v>
      </c>
      <c r="AF163" s="13">
        <f t="shared" si="218"/>
        <v>0.000671964860934168</v>
      </c>
      <c r="AG163" s="13">
        <f t="shared" si="218"/>
        <v>0.00136160230900609</v>
      </c>
      <c r="AH163" s="13">
        <f t="shared" si="218"/>
        <v>0.00325218154938786</v>
      </c>
      <c r="AI163" s="13">
        <f t="shared" ref="AI163" si="219">AI130*AI96</f>
        <v>0.000670032529659403</v>
      </c>
      <c r="AJ163" s="13">
        <f t="shared" si="126"/>
        <v>0.0328206730685199</v>
      </c>
      <c r="AK163" s="13">
        <f t="shared" si="216"/>
        <v>0.0328206730685199</v>
      </c>
      <c r="AL163" s="13">
        <f t="shared" si="216"/>
        <v>0.0328206730685199</v>
      </c>
      <c r="AM163" s="13">
        <f t="shared" si="216"/>
        <v>0.0328206730685199</v>
      </c>
      <c r="AN163" s="13">
        <f t="shared" si="216"/>
        <v>0.0328206730685199</v>
      </c>
      <c r="AO163" s="13">
        <f t="shared" si="216"/>
        <v>0.0328206730685199</v>
      </c>
      <c r="AP163" s="13">
        <f t="shared" si="216"/>
        <v>0.0328206730685199</v>
      </c>
      <c r="AQ163" s="13">
        <f t="shared" si="216"/>
        <v>0.0328206730685199</v>
      </c>
      <c r="AR163" s="13">
        <f t="shared" si="216"/>
        <v>0.0328206730685199</v>
      </c>
      <c r="AS163" s="13">
        <f t="shared" si="216"/>
        <v>0.0328206730685199</v>
      </c>
      <c r="AT163" s="13">
        <f t="shared" si="216"/>
        <v>0.0328206730685199</v>
      </c>
      <c r="AU163" s="13">
        <f t="shared" si="216"/>
        <v>0.0328206730685199</v>
      </c>
      <c r="AV163" s="13">
        <f t="shared" si="216"/>
        <v>0.0328206730685199</v>
      </c>
      <c r="AW163" s="13">
        <f t="shared" si="216"/>
        <v>0.0328206730685199</v>
      </c>
      <c r="AX163" s="13">
        <f t="shared" si="216"/>
        <v>0.0328206730685199</v>
      </c>
      <c r="AY163" s="13">
        <f t="shared" si="216"/>
        <v>0.0328206730685199</v>
      </c>
      <c r="AZ163" s="13">
        <f t="shared" si="216"/>
        <v>0.0328206730685199</v>
      </c>
      <c r="BA163" s="13">
        <f t="shared" si="213"/>
        <v>0.0328206730685199</v>
      </c>
      <c r="BB163" s="13">
        <f t="shared" si="213"/>
        <v>0.0328206730685199</v>
      </c>
      <c r="BC163" s="13">
        <f t="shared" si="213"/>
        <v>0.0328206730685199</v>
      </c>
      <c r="BD163" s="13">
        <f t="shared" si="213"/>
        <v>0.0328206730685199</v>
      </c>
      <c r="BE163" s="13">
        <f t="shared" si="213"/>
        <v>0.0328206730685199</v>
      </c>
      <c r="BF163" s="13">
        <f t="shared" si="213"/>
        <v>0.0328206730685199</v>
      </c>
      <c r="BG163" s="13">
        <f t="shared" si="213"/>
        <v>0.0328206730685199</v>
      </c>
      <c r="BH163" s="13">
        <f t="shared" si="152"/>
        <v>0.0328206730685199</v>
      </c>
      <c r="BI163" s="13">
        <f t="shared" si="152"/>
        <v>0.0328206730685199</v>
      </c>
      <c r="BJ163" s="13">
        <f t="shared" si="152"/>
        <v>0.0328206730685199</v>
      </c>
      <c r="BK163" s="13">
        <f t="shared" si="152"/>
        <v>0.0328206730685199</v>
      </c>
      <c r="BL163" s="13">
        <f t="shared" si="152"/>
        <v>0.0328206730685199</v>
      </c>
      <c r="BM163" s="13">
        <f t="shared" si="152"/>
        <v>0.0328206730685199</v>
      </c>
      <c r="BN163" s="13">
        <f t="shared" si="152"/>
        <v>0.0328206730685199</v>
      </c>
    </row>
    <row r="164" spans="4:66">
      <c r="D164" s="14" t="s">
        <v>27</v>
      </c>
      <c r="E164" s="13">
        <f t="shared" si="214"/>
        <v>0.000111753454674012</v>
      </c>
      <c r="F164" s="13">
        <f t="shared" ref="F164:AC164" si="220">F131*F97</f>
        <v>0.000127973453338155</v>
      </c>
      <c r="G164" s="13">
        <f t="shared" si="220"/>
        <v>0.00077439217399646</v>
      </c>
      <c r="H164" s="13">
        <f t="shared" si="220"/>
        <v>0.00130490820852552</v>
      </c>
      <c r="I164" s="13">
        <f t="shared" si="220"/>
        <v>0.000390619341114543</v>
      </c>
      <c r="J164" s="13">
        <f t="shared" si="220"/>
        <v>0.000213842943252221</v>
      </c>
      <c r="K164" s="13">
        <f t="shared" si="220"/>
        <v>0.000293498838274827</v>
      </c>
      <c r="L164" s="13">
        <f t="shared" si="220"/>
        <v>0.00040953507553245</v>
      </c>
      <c r="M164" s="13">
        <f t="shared" si="220"/>
        <v>7.23570328945273e-5</v>
      </c>
      <c r="N164" s="13">
        <f t="shared" si="220"/>
        <v>0.000139006054489975</v>
      </c>
      <c r="O164" s="13">
        <f t="shared" si="220"/>
        <v>0.000133856473989257</v>
      </c>
      <c r="P164" s="13">
        <f t="shared" si="220"/>
        <v>0.000831396799464195</v>
      </c>
      <c r="Q164" s="13">
        <f t="shared" si="220"/>
        <v>0.000151626446428237</v>
      </c>
      <c r="R164" s="13">
        <f t="shared" si="220"/>
        <v>0.000827733130040344</v>
      </c>
      <c r="S164" s="13">
        <f t="shared" si="220"/>
        <v>0.000279845823963012</v>
      </c>
      <c r="T164" s="13">
        <f t="shared" si="220"/>
        <v>0.000982773679461281</v>
      </c>
      <c r="U164" s="13">
        <f t="shared" si="220"/>
        <v>0.000445798085107378</v>
      </c>
      <c r="V164" s="13">
        <f t="shared" si="220"/>
        <v>0.000649285886583066</v>
      </c>
      <c r="W164" s="13">
        <f t="shared" si="220"/>
        <v>0.000160302693202969</v>
      </c>
      <c r="X164" s="13">
        <f t="shared" si="220"/>
        <v>0.00110627823900481</v>
      </c>
      <c r="Y164" s="13">
        <f t="shared" si="220"/>
        <v>0.000452883971173889</v>
      </c>
      <c r="Z164" s="13">
        <f t="shared" si="220"/>
        <v>0.000684970988316367</v>
      </c>
      <c r="AA164" s="13">
        <f t="shared" si="220"/>
        <v>0.00176802613048248</v>
      </c>
      <c r="AB164" s="13">
        <f t="shared" si="220"/>
        <v>0.00756306826699346</v>
      </c>
      <c r="AC164" s="13">
        <f t="shared" si="220"/>
        <v>0.00259555845998995</v>
      </c>
      <c r="AD164" s="13">
        <f t="shared" si="215"/>
        <v>0.00139025882058987</v>
      </c>
      <c r="AE164" s="13">
        <f t="shared" si="218"/>
        <v>0.00123860900177337</v>
      </c>
      <c r="AF164" s="13">
        <f t="shared" si="218"/>
        <v>0</v>
      </c>
      <c r="AG164" s="13">
        <f t="shared" si="218"/>
        <v>0.00526962235621735</v>
      </c>
      <c r="AH164" s="13">
        <f t="shared" si="218"/>
        <v>0.00230922418210928</v>
      </c>
      <c r="AI164" s="13">
        <f t="shared" ref="AI164" si="221">AI131*AI97</f>
        <v>0.000514052657285357</v>
      </c>
      <c r="AJ164" s="13">
        <f t="shared" si="126"/>
        <v>0.0331930586682686</v>
      </c>
      <c r="AK164" s="13">
        <f t="shared" si="216"/>
        <v>0.0331930586682686</v>
      </c>
      <c r="AL164" s="13">
        <f t="shared" si="216"/>
        <v>0.0331930586682686</v>
      </c>
      <c r="AM164" s="13">
        <f t="shared" si="216"/>
        <v>0.0331930586682686</v>
      </c>
      <c r="AN164" s="13">
        <f t="shared" si="216"/>
        <v>0.0331930586682686</v>
      </c>
      <c r="AO164" s="13">
        <f t="shared" si="216"/>
        <v>0.0331930586682686</v>
      </c>
      <c r="AP164" s="13">
        <f t="shared" si="216"/>
        <v>0.0331930586682686</v>
      </c>
      <c r="AQ164" s="13">
        <f t="shared" si="216"/>
        <v>0.0331930586682686</v>
      </c>
      <c r="AR164" s="13">
        <f t="shared" si="216"/>
        <v>0.0331930586682686</v>
      </c>
      <c r="AS164" s="13">
        <f t="shared" si="216"/>
        <v>0.0331930586682686</v>
      </c>
      <c r="AT164" s="13">
        <f t="shared" si="216"/>
        <v>0.0331930586682686</v>
      </c>
      <c r="AU164" s="13">
        <f t="shared" si="216"/>
        <v>0.0331930586682686</v>
      </c>
      <c r="AV164" s="13">
        <f t="shared" si="216"/>
        <v>0.0331930586682686</v>
      </c>
      <c r="AW164" s="13">
        <f t="shared" si="216"/>
        <v>0.0331930586682686</v>
      </c>
      <c r="AX164" s="13">
        <f t="shared" si="216"/>
        <v>0.0331930586682686</v>
      </c>
      <c r="AY164" s="13">
        <f t="shared" si="216"/>
        <v>0.0331930586682686</v>
      </c>
      <c r="AZ164" s="13">
        <f t="shared" si="216"/>
        <v>0.0331930586682686</v>
      </c>
      <c r="BA164" s="13">
        <f t="shared" si="213"/>
        <v>0.0331930586682686</v>
      </c>
      <c r="BB164" s="13">
        <f t="shared" si="213"/>
        <v>0.0331930586682686</v>
      </c>
      <c r="BC164" s="13">
        <f t="shared" si="213"/>
        <v>0.0331930586682686</v>
      </c>
      <c r="BD164" s="13">
        <f t="shared" si="213"/>
        <v>0.0331930586682686</v>
      </c>
      <c r="BE164" s="13">
        <f t="shared" si="213"/>
        <v>0.0331930586682686</v>
      </c>
      <c r="BF164" s="13">
        <f t="shared" si="213"/>
        <v>0.0331930586682686</v>
      </c>
      <c r="BG164" s="13">
        <f t="shared" si="213"/>
        <v>0.0331930586682686</v>
      </c>
      <c r="BH164" s="13">
        <f t="shared" si="152"/>
        <v>0.0331930586682686</v>
      </c>
      <c r="BI164" s="13">
        <f t="shared" si="152"/>
        <v>0.0331930586682686</v>
      </c>
      <c r="BJ164" s="13">
        <f t="shared" si="152"/>
        <v>0.0331930586682686</v>
      </c>
      <c r="BK164" s="13">
        <f t="shared" si="152"/>
        <v>0.0331930586682686</v>
      </c>
      <c r="BL164" s="13">
        <f t="shared" si="152"/>
        <v>0.0331930586682686</v>
      </c>
      <c r="BM164" s="13">
        <f t="shared" si="152"/>
        <v>0.0331930586682686</v>
      </c>
      <c r="BN164" s="13">
        <f t="shared" si="152"/>
        <v>0.0331930586682686</v>
      </c>
    </row>
    <row r="165" spans="4:66">
      <c r="D165" s="14" t="s">
        <v>28</v>
      </c>
      <c r="E165" s="13">
        <f t="shared" si="214"/>
        <v>4.0554222499541e-5</v>
      </c>
      <c r="F165" s="13">
        <f t="shared" ref="F165:S165" si="222">F132*F98</f>
        <v>4.80464799042515e-5</v>
      </c>
      <c r="G165" s="13">
        <f t="shared" si="222"/>
        <v>0.00104968817536232</v>
      </c>
      <c r="H165" s="13">
        <f t="shared" si="222"/>
        <v>0.00558960792232764</v>
      </c>
      <c r="I165" s="13">
        <f t="shared" si="222"/>
        <v>0.000181852461108751</v>
      </c>
      <c r="J165" s="13">
        <f t="shared" si="222"/>
        <v>0.00011595647944182</v>
      </c>
      <c r="K165" s="13">
        <f t="shared" si="222"/>
        <v>0.000247595855048458</v>
      </c>
      <c r="L165" s="13">
        <f t="shared" si="222"/>
        <v>0.00153812319694941</v>
      </c>
      <c r="M165" s="13">
        <f t="shared" si="222"/>
        <v>2.6616748214937e-5</v>
      </c>
      <c r="N165" s="13">
        <f t="shared" si="222"/>
        <v>5.50501631180601e-5</v>
      </c>
      <c r="O165" s="13">
        <f t="shared" si="222"/>
        <v>5.55266682477357e-5</v>
      </c>
      <c r="P165" s="13">
        <f t="shared" si="222"/>
        <v>0.00171837815923959</v>
      </c>
      <c r="Q165" s="13">
        <f t="shared" si="222"/>
        <v>6.90428298230259e-5</v>
      </c>
      <c r="R165" s="13">
        <f t="shared" si="222"/>
        <v>0.00134936347992274</v>
      </c>
      <c r="S165" s="13">
        <f t="shared" si="222"/>
        <v>0.0001324188615135</v>
      </c>
      <c r="T165" s="13">
        <f t="shared" ref="T165:AI165" si="223">T132*T98</f>
        <v>0.00350047405733176</v>
      </c>
      <c r="U165" s="13">
        <f t="shared" si="223"/>
        <v>0.000295368174642419</v>
      </c>
      <c r="V165" s="13">
        <f t="shared" si="223"/>
        <v>0.00108614120844577</v>
      </c>
      <c r="W165" s="13">
        <f t="shared" si="223"/>
        <v>7.3085232473662e-5</v>
      </c>
      <c r="X165" s="13">
        <f t="shared" si="223"/>
        <v>0.000475525893943813</v>
      </c>
      <c r="Y165" s="13">
        <f t="shared" si="223"/>
        <v>0.00123162459664503</v>
      </c>
      <c r="Z165" s="13">
        <f t="shared" si="223"/>
        <v>0.000457029585715226</v>
      </c>
      <c r="AA165" s="13">
        <f t="shared" si="223"/>
        <v>0.00415503129685347</v>
      </c>
      <c r="AB165" s="13">
        <f t="shared" si="223"/>
        <v>0.000325931010074512</v>
      </c>
      <c r="AC165" s="13">
        <f t="shared" si="223"/>
        <v>0.000397890369758722</v>
      </c>
      <c r="AD165" s="13">
        <f t="shared" si="215"/>
        <v>0.000577296309649461</v>
      </c>
      <c r="AE165" s="13">
        <f t="shared" si="223"/>
        <v>0.000891700606990096</v>
      </c>
      <c r="AF165" s="13">
        <f t="shared" si="223"/>
        <v>0.00187223606603485</v>
      </c>
      <c r="AG165" s="13">
        <f t="shared" si="223"/>
        <v>0</v>
      </c>
      <c r="AH165" s="13">
        <f t="shared" si="223"/>
        <v>0.00308879621776496</v>
      </c>
      <c r="AI165" s="13">
        <f t="shared" si="223"/>
        <v>0.00128442313159722</v>
      </c>
      <c r="AJ165" s="13">
        <f t="shared" si="126"/>
        <v>0.0319303754606428</v>
      </c>
      <c r="AK165" s="13">
        <f t="shared" si="216"/>
        <v>0.0319303754606428</v>
      </c>
      <c r="AL165" s="13">
        <f t="shared" si="216"/>
        <v>0.0319303754606428</v>
      </c>
      <c r="AM165" s="13">
        <f t="shared" si="216"/>
        <v>0.0319303754606428</v>
      </c>
      <c r="AN165" s="13">
        <f t="shared" si="216"/>
        <v>0.0319303754606428</v>
      </c>
      <c r="AO165" s="13">
        <f t="shared" si="216"/>
        <v>0.0319303754606428</v>
      </c>
      <c r="AP165" s="13">
        <f t="shared" si="216"/>
        <v>0.0319303754606428</v>
      </c>
      <c r="AQ165" s="13">
        <f t="shared" si="216"/>
        <v>0.0319303754606428</v>
      </c>
      <c r="AR165" s="13">
        <f t="shared" si="216"/>
        <v>0.0319303754606428</v>
      </c>
      <c r="AS165" s="13">
        <f t="shared" si="216"/>
        <v>0.0319303754606428</v>
      </c>
      <c r="AT165" s="13">
        <f t="shared" si="216"/>
        <v>0.0319303754606428</v>
      </c>
      <c r="AU165" s="13">
        <f t="shared" si="216"/>
        <v>0.0319303754606428</v>
      </c>
      <c r="AV165" s="13">
        <f t="shared" si="216"/>
        <v>0.0319303754606428</v>
      </c>
      <c r="AW165" s="13">
        <f t="shared" si="216"/>
        <v>0.0319303754606428</v>
      </c>
      <c r="AX165" s="13">
        <f t="shared" si="216"/>
        <v>0.0319303754606428</v>
      </c>
      <c r="AY165" s="13">
        <f t="shared" si="216"/>
        <v>0.0319303754606428</v>
      </c>
      <c r="AZ165" s="13">
        <f t="shared" si="216"/>
        <v>0.0319303754606428</v>
      </c>
      <c r="BA165" s="13">
        <f t="shared" si="213"/>
        <v>0.0319303754606428</v>
      </c>
      <c r="BB165" s="13">
        <f t="shared" si="213"/>
        <v>0.0319303754606428</v>
      </c>
      <c r="BC165" s="13">
        <f t="shared" si="213"/>
        <v>0.0319303754606428</v>
      </c>
      <c r="BD165" s="13">
        <f t="shared" si="213"/>
        <v>0.0319303754606428</v>
      </c>
      <c r="BE165" s="13">
        <f t="shared" si="213"/>
        <v>0.0319303754606428</v>
      </c>
      <c r="BF165" s="13">
        <f t="shared" si="213"/>
        <v>0.0319303754606428</v>
      </c>
      <c r="BG165" s="13">
        <f t="shared" si="213"/>
        <v>0.0319303754606428</v>
      </c>
      <c r="BH165" s="13">
        <f t="shared" si="152"/>
        <v>0.0319303754606428</v>
      </c>
      <c r="BI165" s="13">
        <f t="shared" si="152"/>
        <v>0.0319303754606428</v>
      </c>
      <c r="BJ165" s="13">
        <f t="shared" si="152"/>
        <v>0.0319303754606428</v>
      </c>
      <c r="BK165" s="13">
        <f t="shared" si="152"/>
        <v>0.0319303754606428</v>
      </c>
      <c r="BL165" s="13">
        <f t="shared" si="152"/>
        <v>0.0319303754606428</v>
      </c>
      <c r="BM165" s="13">
        <f t="shared" si="152"/>
        <v>0.0319303754606428</v>
      </c>
      <c r="BN165" s="13">
        <f t="shared" si="152"/>
        <v>0.0319303754606428</v>
      </c>
    </row>
    <row r="166" spans="4:66">
      <c r="D166" s="14" t="s">
        <v>29</v>
      </c>
      <c r="E166" s="13">
        <f t="shared" si="214"/>
        <v>3.34112775088642e-5</v>
      </c>
      <c r="F166" s="13">
        <f t="shared" ref="F166:S166" si="224">F133*F99</f>
        <v>3.87805999361079e-5</v>
      </c>
      <c r="G166" s="13">
        <f t="shared" si="224"/>
        <v>0.00558548746349988</v>
      </c>
      <c r="H166" s="13">
        <f t="shared" si="224"/>
        <v>0.00108323849164693</v>
      </c>
      <c r="I166" s="13">
        <f t="shared" si="224"/>
        <v>0.000206344134868052</v>
      </c>
      <c r="J166" s="13">
        <f t="shared" si="224"/>
        <v>9.42378438163939e-5</v>
      </c>
      <c r="K166" s="13">
        <f t="shared" si="224"/>
        <v>0.000263038278593643</v>
      </c>
      <c r="L166" s="13">
        <f t="shared" si="224"/>
        <v>0.000680554178530187</v>
      </c>
      <c r="M166" s="13">
        <f t="shared" si="224"/>
        <v>1.7386662767588e-5</v>
      </c>
      <c r="N166" s="13">
        <f t="shared" si="224"/>
        <v>3.81237549397981e-5</v>
      </c>
      <c r="O166" s="13">
        <f t="shared" si="224"/>
        <v>3.71941613672696e-5</v>
      </c>
      <c r="P166" s="13">
        <f t="shared" si="224"/>
        <v>0.000388364769272467</v>
      </c>
      <c r="Q166" s="13">
        <f t="shared" si="224"/>
        <v>4.45268182433066e-5</v>
      </c>
      <c r="R166" s="13">
        <f t="shared" si="224"/>
        <v>0.000320667588887232</v>
      </c>
      <c r="S166" s="13">
        <f t="shared" si="224"/>
        <v>0.000112421764591618</v>
      </c>
      <c r="T166" s="13">
        <f t="shared" ref="T166:AC166" si="225">T133*T99</f>
        <v>0.00154167773358524</v>
      </c>
      <c r="U166" s="13">
        <f t="shared" si="225"/>
        <v>0.000252940008128532</v>
      </c>
      <c r="V166" s="13">
        <f t="shared" si="225"/>
        <v>0.0117150126869318</v>
      </c>
      <c r="W166" s="13">
        <f t="shared" si="225"/>
        <v>4.31403985218265e-5</v>
      </c>
      <c r="X166" s="13">
        <f t="shared" si="225"/>
        <v>0.000151532171257812</v>
      </c>
      <c r="Y166" s="13">
        <f t="shared" si="225"/>
        <v>0.000862752173902227</v>
      </c>
      <c r="Z166" s="13">
        <f t="shared" si="225"/>
        <v>0.000307383929857881</v>
      </c>
      <c r="AA166" s="13">
        <f t="shared" si="225"/>
        <v>0.000561474611213048</v>
      </c>
      <c r="AB166" s="13">
        <f t="shared" si="225"/>
        <v>0.000121900608543113</v>
      </c>
      <c r="AC166" s="13">
        <f t="shared" si="225"/>
        <v>0.000128656671104777</v>
      </c>
      <c r="AD166" s="13">
        <f t="shared" si="215"/>
        <v>0.000146691515477924</v>
      </c>
      <c r="AE166" s="13">
        <f t="shared" ref="AE166:AH167" si="226">AE133*AE99</f>
        <v>0.00111327968125485</v>
      </c>
      <c r="AF166" s="13">
        <f t="shared" si="226"/>
        <v>0.000428852483055913</v>
      </c>
      <c r="AG166" s="13">
        <f t="shared" si="226"/>
        <v>0.00161454433408111</v>
      </c>
      <c r="AH166" s="13">
        <f t="shared" si="226"/>
        <v>0</v>
      </c>
      <c r="AI166" s="13">
        <f t="shared" ref="AI166" si="227">AI133*AI99</f>
        <v>0.00200747731514957</v>
      </c>
      <c r="AJ166" s="13">
        <f t="shared" si="126"/>
        <v>0.029941094110535</v>
      </c>
      <c r="AK166" s="13">
        <f t="shared" si="216"/>
        <v>0.029941094110535</v>
      </c>
      <c r="AL166" s="13">
        <f t="shared" si="216"/>
        <v>0.029941094110535</v>
      </c>
      <c r="AM166" s="13">
        <f t="shared" si="216"/>
        <v>0.029941094110535</v>
      </c>
      <c r="AN166" s="13">
        <f t="shared" si="216"/>
        <v>0.029941094110535</v>
      </c>
      <c r="AO166" s="13">
        <f t="shared" si="216"/>
        <v>0.029941094110535</v>
      </c>
      <c r="AP166" s="13">
        <f t="shared" si="216"/>
        <v>0.029941094110535</v>
      </c>
      <c r="AQ166" s="13">
        <f t="shared" si="216"/>
        <v>0.029941094110535</v>
      </c>
      <c r="AR166" s="13">
        <f t="shared" si="216"/>
        <v>0.029941094110535</v>
      </c>
      <c r="AS166" s="13">
        <f t="shared" si="216"/>
        <v>0.029941094110535</v>
      </c>
      <c r="AT166" s="13">
        <f t="shared" si="216"/>
        <v>0.029941094110535</v>
      </c>
      <c r="AU166" s="13">
        <f t="shared" si="216"/>
        <v>0.029941094110535</v>
      </c>
      <c r="AV166" s="13">
        <f t="shared" si="216"/>
        <v>0.029941094110535</v>
      </c>
      <c r="AW166" s="13">
        <f t="shared" si="216"/>
        <v>0.029941094110535</v>
      </c>
      <c r="AX166" s="13">
        <f t="shared" si="216"/>
        <v>0.029941094110535</v>
      </c>
      <c r="AY166" s="13">
        <f t="shared" si="216"/>
        <v>0.029941094110535</v>
      </c>
      <c r="AZ166" s="13">
        <f t="shared" si="216"/>
        <v>0.029941094110535</v>
      </c>
      <c r="BA166" s="13">
        <f t="shared" si="213"/>
        <v>0.029941094110535</v>
      </c>
      <c r="BB166" s="13">
        <f t="shared" si="213"/>
        <v>0.029941094110535</v>
      </c>
      <c r="BC166" s="13">
        <f t="shared" si="213"/>
        <v>0.029941094110535</v>
      </c>
      <c r="BD166" s="13">
        <f t="shared" si="213"/>
        <v>0.029941094110535</v>
      </c>
      <c r="BE166" s="13">
        <f t="shared" si="213"/>
        <v>0.029941094110535</v>
      </c>
      <c r="BF166" s="13">
        <f t="shared" si="213"/>
        <v>0.029941094110535</v>
      </c>
      <c r="BG166" s="13">
        <f t="shared" si="213"/>
        <v>0.029941094110535</v>
      </c>
      <c r="BH166" s="13">
        <f t="shared" si="152"/>
        <v>0.029941094110535</v>
      </c>
      <c r="BI166" s="13">
        <f t="shared" si="152"/>
        <v>0.029941094110535</v>
      </c>
      <c r="BJ166" s="13">
        <f t="shared" si="152"/>
        <v>0.029941094110535</v>
      </c>
      <c r="BK166" s="13">
        <f t="shared" si="152"/>
        <v>0.029941094110535</v>
      </c>
      <c r="BL166" s="13">
        <f t="shared" si="152"/>
        <v>0.029941094110535</v>
      </c>
      <c r="BM166" s="13">
        <f t="shared" si="152"/>
        <v>0.029941094110535</v>
      </c>
      <c r="BN166" s="13">
        <f t="shared" si="152"/>
        <v>0.029941094110535</v>
      </c>
    </row>
    <row r="167" spans="4:66">
      <c r="D167" s="14" t="s">
        <v>30</v>
      </c>
      <c r="E167" s="13">
        <f t="shared" si="214"/>
        <v>4.12996072366946e-5</v>
      </c>
      <c r="F167" s="13">
        <f t="shared" ref="F167:S167" si="228">F134*F100</f>
        <v>4.98378572253876e-5</v>
      </c>
      <c r="G167" s="13">
        <f t="shared" si="228"/>
        <v>0.00267852696368218</v>
      </c>
      <c r="H167" s="13">
        <f t="shared" si="228"/>
        <v>0.00112158420839164</v>
      </c>
      <c r="I167" s="13">
        <f t="shared" si="228"/>
        <v>0.000175629478137387</v>
      </c>
      <c r="J167" s="13">
        <f t="shared" si="228"/>
        <v>0.000158833369510391</v>
      </c>
      <c r="K167" s="13">
        <f t="shared" si="228"/>
        <v>0.000447639461471148</v>
      </c>
      <c r="L167" s="13">
        <f t="shared" si="228"/>
        <v>0.00223813774132969</v>
      </c>
      <c r="M167" s="13">
        <f t="shared" si="228"/>
        <v>2.88090619031588e-5</v>
      </c>
      <c r="N167" s="13">
        <f t="shared" si="228"/>
        <v>5.66396720693819e-5</v>
      </c>
      <c r="O167" s="13">
        <f t="shared" si="228"/>
        <v>6.06047887747389e-5</v>
      </c>
      <c r="P167" s="13">
        <f t="shared" si="228"/>
        <v>0.000667103676791063</v>
      </c>
      <c r="Q167" s="13">
        <f t="shared" si="228"/>
        <v>7.87837601777793e-5</v>
      </c>
      <c r="R167" s="13">
        <f t="shared" si="228"/>
        <v>0.000589378352338175</v>
      </c>
      <c r="S167" s="13">
        <f t="shared" si="228"/>
        <v>0.000139225634475149</v>
      </c>
      <c r="T167" s="13">
        <f t="shared" ref="T167:AC167" si="229">T134*T100</f>
        <v>0.00258859377545889</v>
      </c>
      <c r="U167" s="13">
        <f t="shared" si="229"/>
        <v>0.000330274521547251</v>
      </c>
      <c r="V167" s="13">
        <f t="shared" si="229"/>
        <v>0.00528485002053462</v>
      </c>
      <c r="W167" s="13">
        <f t="shared" si="229"/>
        <v>8.02580949496484e-5</v>
      </c>
      <c r="X167" s="13">
        <f t="shared" si="229"/>
        <v>0.000330758708522269</v>
      </c>
      <c r="Y167" s="13">
        <f t="shared" si="229"/>
        <v>0.00386690158478537</v>
      </c>
      <c r="Z167" s="13">
        <f t="shared" si="229"/>
        <v>0.000408127185655131</v>
      </c>
      <c r="AA167" s="13">
        <f t="shared" si="229"/>
        <v>0.000982557439747607</v>
      </c>
      <c r="AB167" s="13">
        <f t="shared" si="229"/>
        <v>0.000227267329172054</v>
      </c>
      <c r="AC167" s="13">
        <f t="shared" si="229"/>
        <v>0.000287913194978658</v>
      </c>
      <c r="AD167" s="13">
        <f t="shared" si="215"/>
        <v>0.000579423286283809</v>
      </c>
      <c r="AE167" s="13">
        <f t="shared" si="226"/>
        <v>0.000787275676294965</v>
      </c>
      <c r="AF167" s="13">
        <f t="shared" si="226"/>
        <v>0.00032768071705129</v>
      </c>
      <c r="AG167" s="13">
        <f t="shared" si="226"/>
        <v>0.0023044658729115</v>
      </c>
      <c r="AH167" s="13">
        <f t="shared" si="226"/>
        <v>0.00689052148137369</v>
      </c>
      <c r="AI167" s="13">
        <f t="shared" ref="AI167" si="230">AI134*AI100</f>
        <v>0</v>
      </c>
      <c r="AJ167" s="13">
        <f t="shared" si="126"/>
        <v>0.0338089025227807</v>
      </c>
      <c r="AK167" s="13">
        <f t="shared" si="216"/>
        <v>0.0338089025227807</v>
      </c>
      <c r="AL167" s="13">
        <f t="shared" si="216"/>
        <v>0.0338089025227807</v>
      </c>
      <c r="AM167" s="13">
        <f t="shared" si="216"/>
        <v>0.0338089025227807</v>
      </c>
      <c r="AN167" s="13">
        <f t="shared" si="216"/>
        <v>0.0338089025227807</v>
      </c>
      <c r="AO167" s="13">
        <f t="shared" si="216"/>
        <v>0.0338089025227807</v>
      </c>
      <c r="AP167" s="13">
        <f t="shared" si="216"/>
        <v>0.0338089025227807</v>
      </c>
      <c r="AQ167" s="13">
        <f t="shared" si="216"/>
        <v>0.0338089025227807</v>
      </c>
      <c r="AR167" s="13">
        <f t="shared" si="216"/>
        <v>0.0338089025227807</v>
      </c>
      <c r="AS167" s="13">
        <f t="shared" si="216"/>
        <v>0.0338089025227807</v>
      </c>
      <c r="AT167" s="13">
        <f t="shared" si="216"/>
        <v>0.0338089025227807</v>
      </c>
      <c r="AU167" s="13">
        <f t="shared" si="216"/>
        <v>0.0338089025227807</v>
      </c>
      <c r="AV167" s="13">
        <f t="shared" si="216"/>
        <v>0.0338089025227807</v>
      </c>
      <c r="AW167" s="13">
        <f t="shared" si="216"/>
        <v>0.0338089025227807</v>
      </c>
      <c r="AX167" s="13">
        <f t="shared" si="216"/>
        <v>0.0338089025227807</v>
      </c>
      <c r="AY167" s="13">
        <f t="shared" si="216"/>
        <v>0.0338089025227807</v>
      </c>
      <c r="AZ167" s="13">
        <f t="shared" si="216"/>
        <v>0.0338089025227807</v>
      </c>
      <c r="BA167" s="13">
        <f t="shared" si="213"/>
        <v>0.0338089025227807</v>
      </c>
      <c r="BB167" s="13">
        <f t="shared" si="213"/>
        <v>0.0338089025227807</v>
      </c>
      <c r="BC167" s="13">
        <f t="shared" si="213"/>
        <v>0.0338089025227807</v>
      </c>
      <c r="BD167" s="13">
        <f t="shared" si="213"/>
        <v>0.0338089025227807</v>
      </c>
      <c r="BE167" s="13">
        <f t="shared" si="213"/>
        <v>0.0338089025227807</v>
      </c>
      <c r="BF167" s="13">
        <f t="shared" si="213"/>
        <v>0.0338089025227807</v>
      </c>
      <c r="BG167" s="13">
        <f t="shared" si="213"/>
        <v>0.0338089025227807</v>
      </c>
      <c r="BH167" s="13">
        <f t="shared" si="152"/>
        <v>0.0338089025227807</v>
      </c>
      <c r="BI167" s="13">
        <f t="shared" si="152"/>
        <v>0.0338089025227807</v>
      </c>
      <c r="BJ167" s="13">
        <f t="shared" si="152"/>
        <v>0.0338089025227807</v>
      </c>
      <c r="BK167" s="13">
        <f t="shared" ref="BK167:BN167" si="231">$AJ167</f>
        <v>0.0338089025227807</v>
      </c>
      <c r="BL167" s="13">
        <f t="shared" si="231"/>
        <v>0.0338089025227807</v>
      </c>
      <c r="BM167" s="13">
        <f t="shared" si="231"/>
        <v>0.0338089025227807</v>
      </c>
      <c r="BN167" s="13">
        <f t="shared" si="231"/>
        <v>0.0338089025227807</v>
      </c>
    </row>
    <row r="169" spans="2:35">
      <c r="B169" s="16" t="s">
        <v>41</v>
      </c>
      <c r="C169" s="16"/>
      <c r="E169" s="14" t="s">
        <v>0</v>
      </c>
      <c r="F169" s="14" t="s">
        <v>1</v>
      </c>
      <c r="G169" s="14" t="s">
        <v>2</v>
      </c>
      <c r="H169" s="14" t="s">
        <v>3</v>
      </c>
      <c r="I169" s="14" t="s">
        <v>4</v>
      </c>
      <c r="J169" s="14" t="s">
        <v>5</v>
      </c>
      <c r="K169" s="14" t="s">
        <v>6</v>
      </c>
      <c r="L169" s="14" t="s">
        <v>7</v>
      </c>
      <c r="M169" s="14" t="s">
        <v>8</v>
      </c>
      <c r="N169" s="14" t="s">
        <v>9</v>
      </c>
      <c r="O169" s="14" t="s">
        <v>10</v>
      </c>
      <c r="P169" s="14" t="s">
        <v>11</v>
      </c>
      <c r="Q169" s="14" t="s">
        <v>12</v>
      </c>
      <c r="R169" s="14" t="s">
        <v>13</v>
      </c>
      <c r="S169" s="14" t="s">
        <v>14</v>
      </c>
      <c r="T169" s="14" t="s">
        <v>15</v>
      </c>
      <c r="U169" s="14" t="s">
        <v>16</v>
      </c>
      <c r="V169" s="14" t="s">
        <v>17</v>
      </c>
      <c r="W169" s="14" t="s">
        <v>18</v>
      </c>
      <c r="X169" s="14" t="s">
        <v>19</v>
      </c>
      <c r="Y169" s="14" t="s">
        <v>20</v>
      </c>
      <c r="Z169" s="14" t="s">
        <v>21</v>
      </c>
      <c r="AA169" s="14" t="s">
        <v>22</v>
      </c>
      <c r="AB169" s="14" t="s">
        <v>23</v>
      </c>
      <c r="AC169" s="14" t="s">
        <v>24</v>
      </c>
      <c r="AD169" s="14" t="s">
        <v>25</v>
      </c>
      <c r="AE169" s="14" t="s">
        <v>26</v>
      </c>
      <c r="AF169" s="14" t="s">
        <v>27</v>
      </c>
      <c r="AG169" s="14" t="s">
        <v>28</v>
      </c>
      <c r="AH169" s="14" t="s">
        <v>29</v>
      </c>
      <c r="AI169" s="14" t="s">
        <v>30</v>
      </c>
    </row>
    <row r="170" spans="2:35">
      <c r="B170" s="23" t="s">
        <v>42</v>
      </c>
      <c r="D170" s="14" t="s">
        <v>0</v>
      </c>
      <c r="E170" s="13">
        <f t="shared" ref="E170:E197" si="232">E137/AJ137</f>
        <v>0</v>
      </c>
      <c r="F170" s="13">
        <f>F137/AK137</f>
        <v>0.49812425520267</v>
      </c>
      <c r="G170" s="13">
        <f t="shared" ref="G170:G194" si="233">G137/AL137</f>
        <v>0.0408992773633465</v>
      </c>
      <c r="H170" s="13">
        <f t="shared" ref="H170:H194" si="234">H137/AM137</f>
        <v>0.0227348734484381</v>
      </c>
      <c r="I170" s="13">
        <f t="shared" ref="I170:I194" si="235">I137/AN137</f>
        <v>0.0317314988734515</v>
      </c>
      <c r="J170" s="13">
        <f t="shared" ref="J170:J194" si="236">J137/AO137</f>
        <v>0.0194834573802489</v>
      </c>
      <c r="K170" s="13">
        <f t="shared" ref="K170:K194" si="237">K137/AP137</f>
        <v>0.0120023029032058</v>
      </c>
      <c r="L170" s="13">
        <f t="shared" ref="L170:L194" si="238">L137/AQ137</f>
        <v>0.00898715637101207</v>
      </c>
      <c r="M170" s="13">
        <f t="shared" ref="M170:M194" si="239">M137/AR137</f>
        <v>0.139952422351022</v>
      </c>
      <c r="N170" s="13">
        <f t="shared" ref="N170:N194" si="240">N137/AS137</f>
        <v>0.0274763688362662</v>
      </c>
      <c r="O170" s="13">
        <f t="shared" ref="O170:O194" si="241">O137/AT137</f>
        <v>0.0178858373535313</v>
      </c>
      <c r="P170" s="13">
        <f t="shared" ref="P170:P194" si="242">P137/AU137</f>
        <v>0.0102077441099178</v>
      </c>
      <c r="Q170" s="13">
        <f t="shared" ref="Q170:Q194" si="243">Q137/AV137</f>
        <v>0.00998966850888549</v>
      </c>
      <c r="R170" s="13">
        <f t="shared" ref="R170:R194" si="244">R137/AW137</f>
        <v>0.00733936548692392</v>
      </c>
      <c r="S170" s="13">
        <f t="shared" ref="S170:S194" si="245">S137/AX137</f>
        <v>0.037197306048921</v>
      </c>
      <c r="T170" s="13">
        <f t="shared" ref="T170:T194" si="246">T137/AY137</f>
        <v>0.0152953089885361</v>
      </c>
      <c r="U170" s="13">
        <f t="shared" ref="U170:U194" si="247">U137/AZ137</f>
        <v>0.0103929299564271</v>
      </c>
      <c r="V170" s="13">
        <f t="shared" ref="V170:V194" si="248">V137/BA137</f>
        <v>0.00737207394213759</v>
      </c>
      <c r="W170" s="13">
        <f t="shared" ref="W170:W194" si="249">W137/BB137</f>
        <v>0.00840353638683781</v>
      </c>
      <c r="X170" s="13">
        <f t="shared" ref="X170:X194" si="250">X137/BC137</f>
        <v>0.0042768307299009</v>
      </c>
      <c r="Y170" s="13">
        <f t="shared" ref="Y170:Y194" si="251">Y137/BD137</f>
        <v>0.00425099340017176</v>
      </c>
      <c r="Z170" s="13">
        <f t="shared" ref="Z170:Z194" si="252">Z137/BE137</f>
        <v>0.0076051247164632</v>
      </c>
      <c r="AA170" s="13">
        <f t="shared" ref="AA170:AA194" si="253">AA137/BF137</f>
        <v>0.00609769662191425</v>
      </c>
      <c r="AB170" s="13">
        <f t="shared" ref="AB170:AB194" si="254">AB137/BG137</f>
        <v>0.00475250126312438</v>
      </c>
      <c r="AC170" s="13">
        <f t="shared" ref="AC170:AC194" si="255">AC137/BH137</f>
        <v>0.00408121048669135</v>
      </c>
      <c r="AD170" s="13">
        <f t="shared" ref="AD170:AE185" si="256">AD137/BI137</f>
        <v>0.00340057132539772</v>
      </c>
      <c r="AE170" s="13">
        <f t="shared" si="256"/>
        <v>0.0113015834728243</v>
      </c>
      <c r="AF170" s="13">
        <f t="shared" ref="AF170:AF193" si="257">AF137/BJ137</f>
        <v>0.00682925720799241</v>
      </c>
      <c r="AG170" s="13">
        <f t="shared" ref="AG170:AG193" si="258">AG137/BK137</f>
        <v>0.00697537366923753</v>
      </c>
      <c r="AH170" s="13">
        <f t="shared" ref="AH170:AH193" si="259">AH137/BL137</f>
        <v>0.0109942032511863</v>
      </c>
      <c r="AI170" s="13">
        <f t="shared" ref="AI170:AI193" si="260">AI137/BM137</f>
        <v>0.0039592703433164</v>
      </c>
    </row>
    <row r="171" spans="4:35">
      <c r="D171" s="14" t="s">
        <v>1</v>
      </c>
      <c r="E171" s="13">
        <f t="shared" si="232"/>
        <v>0.479813600760749</v>
      </c>
      <c r="F171" s="13">
        <f t="shared" ref="F170:F194" si="261">F138/AK138</f>
        <v>0</v>
      </c>
      <c r="G171" s="13">
        <f t="shared" si="233"/>
        <v>0.0439885518492227</v>
      </c>
      <c r="H171" s="13">
        <f t="shared" si="234"/>
        <v>0.0245907808350961</v>
      </c>
      <c r="I171" s="13">
        <f t="shared" si="235"/>
        <v>0.0350748168419636</v>
      </c>
      <c r="J171" s="13">
        <f t="shared" si="236"/>
        <v>0.0270759744370999</v>
      </c>
      <c r="K171" s="13">
        <f t="shared" si="237"/>
        <v>0.0152291713811252</v>
      </c>
      <c r="L171" s="13">
        <f t="shared" si="238"/>
        <v>0.0109422439736952</v>
      </c>
      <c r="M171" s="13">
        <f t="shared" si="239"/>
        <v>0.0363190420195265</v>
      </c>
      <c r="N171" s="13">
        <f t="shared" si="240"/>
        <v>0.0571861404628485</v>
      </c>
      <c r="O171" s="13">
        <f t="shared" si="241"/>
        <v>0.0315896809376972</v>
      </c>
      <c r="P171" s="13">
        <f t="shared" si="242"/>
        <v>0.013078290701545</v>
      </c>
      <c r="Q171" s="13">
        <f t="shared" si="243"/>
        <v>0.0148151804408596</v>
      </c>
      <c r="R171" s="13">
        <f t="shared" si="244"/>
        <v>0.0091140866960215</v>
      </c>
      <c r="S171" s="13">
        <f t="shared" si="245"/>
        <v>0.0606467477025215</v>
      </c>
      <c r="T171" s="13">
        <f t="shared" si="246"/>
        <v>0.0187969247096434</v>
      </c>
      <c r="U171" s="13">
        <f t="shared" si="247"/>
        <v>0.0134435863861336</v>
      </c>
      <c r="V171" s="13">
        <f t="shared" si="248"/>
        <v>0.00913204437336887</v>
      </c>
      <c r="W171" s="13">
        <f t="shared" si="249"/>
        <v>0.0122924395271434</v>
      </c>
      <c r="X171" s="13">
        <f t="shared" si="250"/>
        <v>0.00509232264246356</v>
      </c>
      <c r="Y171" s="13">
        <f t="shared" si="251"/>
        <v>0.00519267156739007</v>
      </c>
      <c r="Z171" s="13">
        <f t="shared" si="252"/>
        <v>0.00939393093469989</v>
      </c>
      <c r="AA171" s="13">
        <f t="shared" si="253"/>
        <v>0.00714785489811006</v>
      </c>
      <c r="AB171" s="13">
        <f t="shared" si="254"/>
        <v>0.00553399188784461</v>
      </c>
      <c r="AC171" s="13">
        <f t="shared" si="255"/>
        <v>0.00474833505769034</v>
      </c>
      <c r="AD171" s="13">
        <f t="shared" si="256"/>
        <v>0.00391866075044067</v>
      </c>
      <c r="AE171" s="13">
        <f t="shared" ref="AE171:AE193" si="262">AE138/BI138</f>
        <v>0.0134555614220432</v>
      </c>
      <c r="AF171" s="13">
        <f t="shared" si="257"/>
        <v>0.00753298784314875</v>
      </c>
      <c r="AG171" s="13">
        <f t="shared" si="258"/>
        <v>0.00796027071897069</v>
      </c>
      <c r="AH171" s="13">
        <f t="shared" si="259"/>
        <v>0.0122919297125509</v>
      </c>
      <c r="AI171" s="13">
        <f t="shared" si="260"/>
        <v>0.00460217852838674</v>
      </c>
    </row>
    <row r="172" spans="4:35">
      <c r="D172" s="14" t="s">
        <v>2</v>
      </c>
      <c r="E172" s="13">
        <f t="shared" si="232"/>
        <v>0.00577629083801498</v>
      </c>
      <c r="F172" s="13">
        <f t="shared" si="261"/>
        <v>0.00644968073464362</v>
      </c>
      <c r="G172" s="13">
        <f t="shared" si="233"/>
        <v>0</v>
      </c>
      <c r="H172" s="13">
        <f t="shared" si="234"/>
        <v>0.132347441552456</v>
      </c>
      <c r="I172" s="13">
        <f t="shared" si="235"/>
        <v>0.0136876042290921</v>
      </c>
      <c r="J172" s="13">
        <f t="shared" si="236"/>
        <v>0.00795166044227589</v>
      </c>
      <c r="K172" s="13">
        <f t="shared" si="237"/>
        <v>0.0212268004276695</v>
      </c>
      <c r="L172" s="13">
        <f t="shared" si="238"/>
        <v>0.0342799443539999</v>
      </c>
      <c r="M172" s="13">
        <f t="shared" si="239"/>
        <v>0.00129897390895139</v>
      </c>
      <c r="N172" s="13">
        <f t="shared" si="240"/>
        <v>0.00307863248299326</v>
      </c>
      <c r="O172" s="13">
        <f t="shared" si="241"/>
        <v>0.00268055641398486</v>
      </c>
      <c r="P172" s="13">
        <f t="shared" si="242"/>
        <v>0.0261954351016436</v>
      </c>
      <c r="Q172" s="13">
        <f t="shared" si="243"/>
        <v>0.0027402866609763</v>
      </c>
      <c r="R172" s="13">
        <f t="shared" si="244"/>
        <v>0.017426434780265</v>
      </c>
      <c r="S172" s="13">
        <f t="shared" si="245"/>
        <v>0.0175926143229273</v>
      </c>
      <c r="T172" s="13">
        <f t="shared" si="246"/>
        <v>0.105594918137477</v>
      </c>
      <c r="U172" s="13">
        <f t="shared" si="247"/>
        <v>0.0170431335249079</v>
      </c>
      <c r="V172" s="13">
        <f t="shared" si="248"/>
        <v>0.131283411997761</v>
      </c>
      <c r="W172" s="13">
        <f t="shared" si="249"/>
        <v>0.00222906028901752</v>
      </c>
      <c r="X172" s="13">
        <f t="shared" si="250"/>
        <v>0.00639080996095236</v>
      </c>
      <c r="Y172" s="13">
        <f t="shared" si="251"/>
        <v>0.02804048305561</v>
      </c>
      <c r="Z172" s="13">
        <f t="shared" si="252"/>
        <v>0.0126445531749522</v>
      </c>
      <c r="AA172" s="13">
        <f t="shared" si="253"/>
        <v>0.0163935040874294</v>
      </c>
      <c r="AB172" s="13">
        <f t="shared" si="254"/>
        <v>0.00483344067067104</v>
      </c>
      <c r="AC172" s="13">
        <f t="shared" si="255"/>
        <v>0.00471946543358358</v>
      </c>
      <c r="AD172" s="13">
        <f t="shared" si="256"/>
        <v>0.00466012137145052</v>
      </c>
      <c r="AE172" s="13">
        <f t="shared" si="262"/>
        <v>0.0454097789096045</v>
      </c>
      <c r="AF172" s="13">
        <f t="shared" si="257"/>
        <v>0.00668354512889827</v>
      </c>
      <c r="AG172" s="13">
        <f t="shared" si="258"/>
        <v>0.0254991157461447</v>
      </c>
      <c r="AH172" s="13">
        <f t="shared" si="259"/>
        <v>0.259576384257724</v>
      </c>
      <c r="AI172" s="13">
        <f t="shared" si="260"/>
        <v>0.0362659180039226</v>
      </c>
    </row>
    <row r="173" spans="4:35">
      <c r="D173" s="14" t="s">
        <v>3</v>
      </c>
      <c r="E173" s="13">
        <f t="shared" si="232"/>
        <v>0.00291897826754791</v>
      </c>
      <c r="F173" s="13">
        <f t="shared" si="261"/>
        <v>0.00327774961288455</v>
      </c>
      <c r="G173" s="13">
        <f t="shared" si="233"/>
        <v>0.120315187837828</v>
      </c>
      <c r="H173" s="13">
        <f t="shared" si="234"/>
        <v>0</v>
      </c>
      <c r="I173" s="13">
        <f t="shared" si="235"/>
        <v>0.0112921372441989</v>
      </c>
      <c r="J173" s="13">
        <f t="shared" si="236"/>
        <v>0.00466418432111051</v>
      </c>
      <c r="K173" s="13">
        <f t="shared" si="237"/>
        <v>0.00845558220413963</v>
      </c>
      <c r="L173" s="13">
        <f t="shared" si="238"/>
        <v>0.0325119484356356</v>
      </c>
      <c r="M173" s="13">
        <f t="shared" si="239"/>
        <v>0.00102752937287443</v>
      </c>
      <c r="N173" s="13">
        <f t="shared" si="240"/>
        <v>0.00235307046560804</v>
      </c>
      <c r="O173" s="13">
        <f t="shared" si="241"/>
        <v>0.00205514067733051</v>
      </c>
      <c r="P173" s="13">
        <f t="shared" si="242"/>
        <v>0.142402519249407</v>
      </c>
      <c r="Q173" s="13">
        <f t="shared" si="243"/>
        <v>0.00211063731069184</v>
      </c>
      <c r="R173" s="13">
        <f t="shared" si="244"/>
        <v>0.0737938208613005</v>
      </c>
      <c r="S173" s="13">
        <f t="shared" si="245"/>
        <v>0.00904964989550482</v>
      </c>
      <c r="T173" s="13">
        <f t="shared" si="246"/>
        <v>0.139912905203335</v>
      </c>
      <c r="U173" s="13">
        <f t="shared" si="247"/>
        <v>0.0100669784330546</v>
      </c>
      <c r="V173" s="13">
        <f t="shared" si="248"/>
        <v>0.0248917082186173</v>
      </c>
      <c r="W173" s="13">
        <f t="shared" si="249"/>
        <v>0.00181495349064094</v>
      </c>
      <c r="X173" s="13">
        <f t="shared" si="250"/>
        <v>0.0119808035486142</v>
      </c>
      <c r="Y173" s="13">
        <f t="shared" si="251"/>
        <v>0.0191552017363097</v>
      </c>
      <c r="Z173" s="13">
        <f t="shared" si="252"/>
        <v>0.00808645395740464</v>
      </c>
      <c r="AA173" s="13">
        <f t="shared" si="253"/>
        <v>0.127878421740592</v>
      </c>
      <c r="AB173" s="13">
        <f t="shared" si="254"/>
        <v>0.0068876312363323</v>
      </c>
      <c r="AC173" s="13">
        <f t="shared" si="255"/>
        <v>0.0073014739477237</v>
      </c>
      <c r="AD173" s="13">
        <f t="shared" si="256"/>
        <v>0.00842567574686132</v>
      </c>
      <c r="AE173" s="13">
        <f t="shared" si="262"/>
        <v>0.0241226096740368</v>
      </c>
      <c r="AF173" s="13">
        <f t="shared" si="257"/>
        <v>0.0102383694220142</v>
      </c>
      <c r="AG173" s="13">
        <f t="shared" si="258"/>
        <v>0.123438621848953</v>
      </c>
      <c r="AH173" s="13">
        <f t="shared" si="259"/>
        <v>0.0457649596983336</v>
      </c>
      <c r="AI173" s="13">
        <f t="shared" si="260"/>
        <v>0.0138050963411157</v>
      </c>
    </row>
    <row r="174" spans="4:35">
      <c r="D174" s="14" t="s">
        <v>4</v>
      </c>
      <c r="E174" s="13">
        <f t="shared" si="232"/>
        <v>0.0126394851637867</v>
      </c>
      <c r="F174" s="13">
        <f t="shared" si="261"/>
        <v>0.0145043858486839</v>
      </c>
      <c r="G174" s="13">
        <f t="shared" si="233"/>
        <v>0.0386040455562722</v>
      </c>
      <c r="H174" s="13">
        <f t="shared" si="234"/>
        <v>0.0350329431955671</v>
      </c>
      <c r="I174" s="13">
        <f t="shared" si="235"/>
        <v>0</v>
      </c>
      <c r="J174" s="13">
        <f t="shared" si="236"/>
        <v>0.0557307745295696</v>
      </c>
      <c r="K174" s="13">
        <f t="shared" si="237"/>
        <v>0.0153500941907791</v>
      </c>
      <c r="L174" s="13">
        <f t="shared" si="238"/>
        <v>0.00961174628616717</v>
      </c>
      <c r="M174" s="13">
        <f t="shared" si="239"/>
        <v>0.00359086567175603</v>
      </c>
      <c r="N174" s="13">
        <f t="shared" si="240"/>
        <v>0.0110067925274615</v>
      </c>
      <c r="O174" s="13">
        <f t="shared" si="241"/>
        <v>0.0121570609843471</v>
      </c>
      <c r="P174" s="13">
        <f t="shared" si="242"/>
        <v>0.0101637275964062</v>
      </c>
      <c r="Q174" s="13">
        <f t="shared" si="243"/>
        <v>0.0260222613449902</v>
      </c>
      <c r="R174" s="13">
        <f t="shared" si="244"/>
        <v>0.00805517010229625</v>
      </c>
      <c r="S174" s="13">
        <f t="shared" si="245"/>
        <v>0.550702772885695</v>
      </c>
      <c r="T174" s="13">
        <f t="shared" si="246"/>
        <v>0.0184397945203762</v>
      </c>
      <c r="U174" s="13">
        <f t="shared" si="247"/>
        <v>0.0189811158871551</v>
      </c>
      <c r="V174" s="13">
        <f t="shared" si="248"/>
        <v>0.0100071578578261</v>
      </c>
      <c r="W174" s="13">
        <f t="shared" si="249"/>
        <v>0.0202126163437881</v>
      </c>
      <c r="X174" s="13">
        <f t="shared" si="250"/>
        <v>0.00491652938803264</v>
      </c>
      <c r="Y174" s="13">
        <f t="shared" si="251"/>
        <v>0.00575686811760236</v>
      </c>
      <c r="Z174" s="13">
        <f t="shared" si="252"/>
        <v>0.0167650294944001</v>
      </c>
      <c r="AA174" s="13">
        <f t="shared" si="253"/>
        <v>0.0088048218436727</v>
      </c>
      <c r="AB174" s="13">
        <f t="shared" si="254"/>
        <v>0.00512456436503732</v>
      </c>
      <c r="AC174" s="13">
        <f t="shared" si="255"/>
        <v>0.00471176271477527</v>
      </c>
      <c r="AD174" s="13">
        <f t="shared" si="256"/>
        <v>0.00440324450310209</v>
      </c>
      <c r="AE174" s="13">
        <f t="shared" si="262"/>
        <v>0.0229842863358326</v>
      </c>
      <c r="AF174" s="13">
        <f t="shared" si="257"/>
        <v>0.00950834766154765</v>
      </c>
      <c r="AG174" s="13">
        <f t="shared" si="258"/>
        <v>0.012459177656307</v>
      </c>
      <c r="AH174" s="13">
        <f t="shared" si="259"/>
        <v>0.0270459104947417</v>
      </c>
      <c r="AI174" s="13">
        <f t="shared" si="260"/>
        <v>0.00670664693202495</v>
      </c>
    </row>
    <row r="175" spans="4:35">
      <c r="D175" s="14" t="s">
        <v>5</v>
      </c>
      <c r="E175" s="13">
        <f t="shared" si="232"/>
        <v>0.0144292164584151</v>
      </c>
      <c r="F175" s="13">
        <f t="shared" si="261"/>
        <v>0.020817374403898</v>
      </c>
      <c r="G175" s="13">
        <f t="shared" si="233"/>
        <v>0.0416966468643695</v>
      </c>
      <c r="H175" s="13">
        <f t="shared" si="234"/>
        <v>0.0269038297998622</v>
      </c>
      <c r="I175" s="13">
        <f t="shared" si="235"/>
        <v>0.103617474753048</v>
      </c>
      <c r="J175" s="13">
        <f t="shared" si="236"/>
        <v>0</v>
      </c>
      <c r="K175" s="13">
        <f t="shared" si="237"/>
        <v>0.18049306976174</v>
      </c>
      <c r="L175" s="13">
        <f t="shared" si="238"/>
        <v>0.0610560752942767</v>
      </c>
      <c r="M175" s="13">
        <f t="shared" si="239"/>
        <v>0.00720909744622579</v>
      </c>
      <c r="N175" s="13">
        <f t="shared" si="240"/>
        <v>0.0166934214103786</v>
      </c>
      <c r="O175" s="13">
        <f t="shared" si="241"/>
        <v>0.0186904360779854</v>
      </c>
      <c r="P175" s="13">
        <f t="shared" si="242"/>
        <v>0.0216345507855379</v>
      </c>
      <c r="Q175" s="13">
        <f t="shared" si="243"/>
        <v>0.0265924205743251</v>
      </c>
      <c r="R175" s="13">
        <f t="shared" si="244"/>
        <v>0.0162299430555036</v>
      </c>
      <c r="S175" s="13">
        <f t="shared" si="245"/>
        <v>0.156271432497138</v>
      </c>
      <c r="T175" s="13">
        <f t="shared" si="246"/>
        <v>0.0264726314579836</v>
      </c>
      <c r="U175" s="13">
        <f t="shared" si="247"/>
        <v>0.0452926432805275</v>
      </c>
      <c r="V175" s="13">
        <f t="shared" si="248"/>
        <v>0.0192327479801962</v>
      </c>
      <c r="W175" s="13">
        <f t="shared" si="249"/>
        <v>0.0190066755767342</v>
      </c>
      <c r="X175" s="13">
        <f t="shared" si="250"/>
        <v>0.00887978306418452</v>
      </c>
      <c r="Y175" s="13">
        <f t="shared" si="251"/>
        <v>0.011877125981763</v>
      </c>
      <c r="Z175" s="13">
        <f t="shared" si="252"/>
        <v>0.0327929591638381</v>
      </c>
      <c r="AA175" s="13">
        <f t="shared" si="253"/>
        <v>0.0127049305409625</v>
      </c>
      <c r="AB175" s="13">
        <f t="shared" si="254"/>
        <v>0.00805133068551578</v>
      </c>
      <c r="AC175" s="13">
        <f t="shared" si="255"/>
        <v>0.00752700672594138</v>
      </c>
      <c r="AD175" s="13">
        <f t="shared" si="256"/>
        <v>0.006905825529163</v>
      </c>
      <c r="AE175" s="13">
        <f t="shared" si="262"/>
        <v>0.0302304328455899</v>
      </c>
      <c r="AF175" s="13">
        <f t="shared" si="257"/>
        <v>0.00967796747198485</v>
      </c>
      <c r="AG175" s="13">
        <f t="shared" si="258"/>
        <v>0.0147707702136326</v>
      </c>
      <c r="AH175" s="13">
        <f t="shared" si="259"/>
        <v>0.0229653328044107</v>
      </c>
      <c r="AI175" s="13">
        <f t="shared" si="260"/>
        <v>0.0112768474948687</v>
      </c>
    </row>
    <row r="176" spans="4:35">
      <c r="D176" s="14" t="s">
        <v>6</v>
      </c>
      <c r="E176" s="13">
        <f t="shared" si="232"/>
        <v>0.00509529053516003</v>
      </c>
      <c r="F176" s="13">
        <f t="shared" si="261"/>
        <v>0.00671190466013752</v>
      </c>
      <c r="G176" s="13">
        <f t="shared" si="233"/>
        <v>0.0638051140338958</v>
      </c>
      <c r="H176" s="13">
        <f t="shared" si="234"/>
        <v>0.0279582230484672</v>
      </c>
      <c r="I176" s="13">
        <f t="shared" si="235"/>
        <v>0.0163597482767631</v>
      </c>
      <c r="J176" s="13">
        <f t="shared" si="236"/>
        <v>0.103463741250709</v>
      </c>
      <c r="K176" s="13">
        <f t="shared" si="237"/>
        <v>0</v>
      </c>
      <c r="L176" s="13">
        <f t="shared" si="238"/>
        <v>0.199533996349497</v>
      </c>
      <c r="M176" s="13">
        <f t="shared" si="239"/>
        <v>0.00289954085074479</v>
      </c>
      <c r="N176" s="13">
        <f t="shared" si="240"/>
        <v>0.00559640493808846</v>
      </c>
      <c r="O176" s="13">
        <f t="shared" si="241"/>
        <v>0.00601192037256438</v>
      </c>
      <c r="P176" s="13">
        <f t="shared" si="242"/>
        <v>0.0215361931223658</v>
      </c>
      <c r="Q176" s="13">
        <f t="shared" si="243"/>
        <v>0.00687580125260212</v>
      </c>
      <c r="R176" s="13">
        <f t="shared" si="244"/>
        <v>0.0165460736415088</v>
      </c>
      <c r="S176" s="13">
        <f t="shared" si="245"/>
        <v>0.0193457147001445</v>
      </c>
      <c r="T176" s="13">
        <f t="shared" si="246"/>
        <v>0.0317203509541761</v>
      </c>
      <c r="U176" s="13">
        <f t="shared" si="247"/>
        <v>0.0655884538499497</v>
      </c>
      <c r="V176" s="13">
        <f t="shared" si="248"/>
        <v>0.0295415827323934</v>
      </c>
      <c r="W176" s="13">
        <f t="shared" si="249"/>
        <v>0.00524213064757655</v>
      </c>
      <c r="X176" s="13">
        <f t="shared" si="250"/>
        <v>0.00830530527593041</v>
      </c>
      <c r="Y176" s="13">
        <f t="shared" si="251"/>
        <v>0.0168394321254459</v>
      </c>
      <c r="Z176" s="13">
        <f t="shared" si="252"/>
        <v>0.0545408037021354</v>
      </c>
      <c r="AA176" s="13">
        <f t="shared" si="253"/>
        <v>0.0139608929613453</v>
      </c>
      <c r="AB176" s="13">
        <f t="shared" si="254"/>
        <v>0.00649379260732244</v>
      </c>
      <c r="AC176" s="13">
        <f t="shared" si="255"/>
        <v>0.00649661072472441</v>
      </c>
      <c r="AD176" s="13">
        <f t="shared" si="256"/>
        <v>0.00658452285486231</v>
      </c>
      <c r="AE176" s="13">
        <f t="shared" si="262"/>
        <v>0.172290381315874</v>
      </c>
      <c r="AF176" s="13">
        <f t="shared" si="257"/>
        <v>0.0076141822646077</v>
      </c>
      <c r="AG176" s="13">
        <f t="shared" si="258"/>
        <v>0.0180791970296866</v>
      </c>
      <c r="AH176" s="13">
        <f t="shared" si="259"/>
        <v>0.0367446405629212</v>
      </c>
      <c r="AI176" s="13">
        <f t="shared" si="260"/>
        <v>0.0182180533583999</v>
      </c>
    </row>
    <row r="177" spans="4:35">
      <c r="D177" s="14" t="s">
        <v>7</v>
      </c>
      <c r="E177" s="13">
        <f t="shared" si="232"/>
        <v>0.00113841972588304</v>
      </c>
      <c r="F177" s="13">
        <f t="shared" si="261"/>
        <v>0.00143896967950106</v>
      </c>
      <c r="G177" s="13">
        <f t="shared" si="233"/>
        <v>0.0307458713117654</v>
      </c>
      <c r="H177" s="13">
        <f t="shared" si="234"/>
        <v>0.0320763387360771</v>
      </c>
      <c r="I177" s="13">
        <f t="shared" si="235"/>
        <v>0.00305663523580557</v>
      </c>
      <c r="J177" s="13">
        <f t="shared" si="236"/>
        <v>0.0104431682684623</v>
      </c>
      <c r="K177" s="13">
        <f t="shared" si="237"/>
        <v>0.0595377811337728</v>
      </c>
      <c r="L177" s="13">
        <f t="shared" si="238"/>
        <v>0</v>
      </c>
      <c r="M177" s="13">
        <f t="shared" si="239"/>
        <v>0.00068398246290185</v>
      </c>
      <c r="N177" s="13">
        <f t="shared" si="240"/>
        <v>0.00122537880177296</v>
      </c>
      <c r="O177" s="13">
        <f t="shared" si="241"/>
        <v>0.00129896173861964</v>
      </c>
      <c r="P177" s="13">
        <f t="shared" si="242"/>
        <v>0.0190072870461112</v>
      </c>
      <c r="Q177" s="13">
        <f t="shared" si="243"/>
        <v>0.00141529400681396</v>
      </c>
      <c r="R177" s="13">
        <f t="shared" si="244"/>
        <v>0.0137368007314726</v>
      </c>
      <c r="S177" s="13">
        <f t="shared" si="245"/>
        <v>0.00331309274842157</v>
      </c>
      <c r="T177" s="13">
        <f t="shared" si="246"/>
        <v>0.60168284701951</v>
      </c>
      <c r="U177" s="13">
        <f t="shared" si="247"/>
        <v>0.00494827576660785</v>
      </c>
      <c r="V177" s="13">
        <f t="shared" si="248"/>
        <v>0.0251249256984113</v>
      </c>
      <c r="W177" s="13">
        <f t="shared" si="249"/>
        <v>0.00111345646065355</v>
      </c>
      <c r="X177" s="13">
        <f t="shared" si="250"/>
        <v>0.00466652210449653</v>
      </c>
      <c r="Y177" s="13">
        <f t="shared" si="251"/>
        <v>0.0556092100107637</v>
      </c>
      <c r="Z177" s="13">
        <f t="shared" si="252"/>
        <v>0.00405390527249474</v>
      </c>
      <c r="AA177" s="13">
        <f t="shared" si="253"/>
        <v>0.0136752894297845</v>
      </c>
      <c r="AB177" s="13">
        <f t="shared" si="254"/>
        <v>0.00279594859881085</v>
      </c>
      <c r="AC177" s="13">
        <f t="shared" si="255"/>
        <v>0.0030782572289541</v>
      </c>
      <c r="AD177" s="13">
        <f t="shared" si="256"/>
        <v>0.00365820917222789</v>
      </c>
      <c r="AE177" s="13">
        <f t="shared" si="262"/>
        <v>0.00824664252081868</v>
      </c>
      <c r="AF177" s="13">
        <f t="shared" si="257"/>
        <v>0.0031701786010869</v>
      </c>
      <c r="AG177" s="13">
        <f t="shared" si="258"/>
        <v>0.0335121764581155</v>
      </c>
      <c r="AH177" s="13">
        <f t="shared" si="259"/>
        <v>0.0283670058973858</v>
      </c>
      <c r="AI177" s="13">
        <f t="shared" si="260"/>
        <v>0.027179168132497</v>
      </c>
    </row>
    <row r="178" spans="4:35">
      <c r="D178" s="14" t="s">
        <v>8</v>
      </c>
      <c r="E178" s="13">
        <f t="shared" si="232"/>
        <v>0.2372909191916</v>
      </c>
      <c r="F178" s="13">
        <f t="shared" si="261"/>
        <v>0.0639293396769513</v>
      </c>
      <c r="G178" s="13">
        <f t="shared" si="233"/>
        <v>0.0155943655192654</v>
      </c>
      <c r="H178" s="13">
        <f t="shared" si="234"/>
        <v>0.013569274364798</v>
      </c>
      <c r="I178" s="13">
        <f t="shared" si="235"/>
        <v>0.0152848457591797</v>
      </c>
      <c r="J178" s="13">
        <f t="shared" si="236"/>
        <v>0.0165045950144352</v>
      </c>
      <c r="K178" s="13">
        <f t="shared" si="237"/>
        <v>0.0115804533349291</v>
      </c>
      <c r="L178" s="13">
        <f t="shared" si="238"/>
        <v>0.00915515183692907</v>
      </c>
      <c r="M178" s="13">
        <f t="shared" si="239"/>
        <v>0</v>
      </c>
      <c r="N178" s="13">
        <f t="shared" si="240"/>
        <v>0.120611861457713</v>
      </c>
      <c r="O178" s="13">
        <f t="shared" si="241"/>
        <v>0.18673670340002</v>
      </c>
      <c r="P178" s="13">
        <f t="shared" si="242"/>
        <v>0.0371062478826295</v>
      </c>
      <c r="Q178" s="13">
        <f t="shared" si="243"/>
        <v>0.0388461481564681</v>
      </c>
      <c r="R178" s="13">
        <f t="shared" si="244"/>
        <v>0.0230000482825194</v>
      </c>
      <c r="S178" s="13">
        <f t="shared" si="245"/>
        <v>0.0291743654247564</v>
      </c>
      <c r="T178" s="13">
        <f t="shared" si="246"/>
        <v>0.0182998105386903</v>
      </c>
      <c r="U178" s="13">
        <f t="shared" si="247"/>
        <v>0.0248742020336773</v>
      </c>
      <c r="V178" s="13">
        <f t="shared" si="248"/>
        <v>0.0170216222477012</v>
      </c>
      <c r="W178" s="13">
        <f t="shared" si="249"/>
        <v>0.0198109993968044</v>
      </c>
      <c r="X178" s="13">
        <f t="shared" si="250"/>
        <v>0.00865854980426759</v>
      </c>
      <c r="Y178" s="13">
        <f t="shared" si="251"/>
        <v>0.00915074585487657</v>
      </c>
      <c r="Z178" s="13">
        <f t="shared" si="252"/>
        <v>0.0119486883738359</v>
      </c>
      <c r="AA178" s="13">
        <f t="shared" si="253"/>
        <v>0.00887521982345089</v>
      </c>
      <c r="AB178" s="13">
        <f t="shared" si="254"/>
        <v>0.00854202045542616</v>
      </c>
      <c r="AC178" s="13">
        <f t="shared" si="255"/>
        <v>0.0068662233644749</v>
      </c>
      <c r="AD178" s="13">
        <f t="shared" si="256"/>
        <v>0.00479671326265675</v>
      </c>
      <c r="AE178" s="13">
        <f t="shared" si="262"/>
        <v>0.0131284498611323</v>
      </c>
      <c r="AF178" s="13">
        <f t="shared" si="257"/>
        <v>0.00749711134189073</v>
      </c>
      <c r="AG178" s="13">
        <f t="shared" si="258"/>
        <v>0.00776224047777112</v>
      </c>
      <c r="AH178" s="13">
        <f t="shared" si="259"/>
        <v>0.00970035457988975</v>
      </c>
      <c r="AI178" s="13">
        <f t="shared" si="260"/>
        <v>0.00468272928126066</v>
      </c>
    </row>
    <row r="179" spans="4:35">
      <c r="D179" s="14" t="s">
        <v>9</v>
      </c>
      <c r="E179" s="13">
        <f t="shared" si="232"/>
        <v>0.0218847695363359</v>
      </c>
      <c r="F179" s="13">
        <f t="shared" si="261"/>
        <v>0.0472866515180725</v>
      </c>
      <c r="G179" s="13">
        <f t="shared" si="233"/>
        <v>0.0173622925600785</v>
      </c>
      <c r="H179" s="13">
        <f t="shared" si="234"/>
        <v>0.0145975258256596</v>
      </c>
      <c r="I179" s="13">
        <f t="shared" si="235"/>
        <v>0.0220092185393033</v>
      </c>
      <c r="J179" s="13">
        <f t="shared" si="236"/>
        <v>0.0179535888024028</v>
      </c>
      <c r="K179" s="13">
        <f t="shared" si="237"/>
        <v>0.0104999541165729</v>
      </c>
      <c r="L179" s="13">
        <f t="shared" si="238"/>
        <v>0.00770500436042651</v>
      </c>
      <c r="M179" s="13">
        <f t="shared" si="239"/>
        <v>0.0566593986978289</v>
      </c>
      <c r="N179" s="13">
        <f t="shared" si="240"/>
        <v>0</v>
      </c>
      <c r="O179" s="13">
        <f t="shared" si="241"/>
        <v>0.363752895274108</v>
      </c>
      <c r="P179" s="13">
        <f t="shared" si="242"/>
        <v>0.0885279717923234</v>
      </c>
      <c r="Q179" s="13">
        <f t="shared" si="243"/>
        <v>0.0511842442232432</v>
      </c>
      <c r="R179" s="13">
        <f t="shared" si="244"/>
        <v>0.0240623315609977</v>
      </c>
      <c r="S179" s="13">
        <f t="shared" si="245"/>
        <v>0.0477787060239091</v>
      </c>
      <c r="T179" s="13">
        <f t="shared" si="246"/>
        <v>0.0232309791148997</v>
      </c>
      <c r="U179" s="13">
        <f t="shared" si="247"/>
        <v>0.0353764205125184</v>
      </c>
      <c r="V179" s="13">
        <f t="shared" si="248"/>
        <v>0.0183679288460758</v>
      </c>
      <c r="W179" s="13">
        <f t="shared" si="249"/>
        <v>0.0324445000917087</v>
      </c>
      <c r="X179" s="13">
        <f t="shared" si="250"/>
        <v>0.00753799413138044</v>
      </c>
      <c r="Y179" s="13">
        <f t="shared" si="251"/>
        <v>0.00814374242297206</v>
      </c>
      <c r="Z179" s="13">
        <f t="shared" si="252"/>
        <v>0.0135081130029232</v>
      </c>
      <c r="AA179" s="13">
        <f t="shared" si="253"/>
        <v>0.008641004468718</v>
      </c>
      <c r="AB179" s="13">
        <f t="shared" si="254"/>
        <v>0.00755264365627551</v>
      </c>
      <c r="AC179" s="13">
        <f t="shared" si="255"/>
        <v>0.00598004782189775</v>
      </c>
      <c r="AD179" s="13">
        <f t="shared" si="256"/>
        <v>0.00416681514890803</v>
      </c>
      <c r="AE179" s="13">
        <f t="shared" si="262"/>
        <v>0.0151607612299065</v>
      </c>
      <c r="AF179" s="13">
        <f t="shared" si="257"/>
        <v>0.00676595131910129</v>
      </c>
      <c r="AG179" s="13">
        <f t="shared" si="258"/>
        <v>0.00754175896321686</v>
      </c>
      <c r="AH179" s="13">
        <f t="shared" si="259"/>
        <v>0.00999192094104649</v>
      </c>
      <c r="AI179" s="13">
        <f t="shared" si="260"/>
        <v>0.00432486549718887</v>
      </c>
    </row>
    <row r="180" spans="4:35">
      <c r="D180" s="14" t="s">
        <v>10</v>
      </c>
      <c r="E180" s="13">
        <f t="shared" si="232"/>
        <v>0.0136382191574609</v>
      </c>
      <c r="F180" s="13">
        <f t="shared" si="261"/>
        <v>0.0250068369499911</v>
      </c>
      <c r="G180" s="13">
        <f t="shared" si="233"/>
        <v>0.0144723788327352</v>
      </c>
      <c r="H180" s="13">
        <f t="shared" si="234"/>
        <v>0.0122053889222581</v>
      </c>
      <c r="I180" s="13">
        <f t="shared" si="235"/>
        <v>0.0232722399274328</v>
      </c>
      <c r="J180" s="13">
        <f t="shared" si="236"/>
        <v>0.0192438117359545</v>
      </c>
      <c r="K180" s="13">
        <f t="shared" si="237"/>
        <v>0.0107983459714469</v>
      </c>
      <c r="L180" s="13">
        <f t="shared" si="238"/>
        <v>0.00781924160834666</v>
      </c>
      <c r="M180" s="13">
        <f t="shared" si="239"/>
        <v>0.0839802912795637</v>
      </c>
      <c r="N180" s="13">
        <f t="shared" si="240"/>
        <v>0.348234830145426</v>
      </c>
      <c r="O180" s="13">
        <f t="shared" si="241"/>
        <v>0</v>
      </c>
      <c r="P180" s="13">
        <f t="shared" si="242"/>
        <v>0.0410056178040296</v>
      </c>
      <c r="Q180" s="13">
        <f t="shared" si="243"/>
        <v>0.110204681912045</v>
      </c>
      <c r="R180" s="13">
        <f t="shared" si="244"/>
        <v>0.026775171521255</v>
      </c>
      <c r="S180" s="13">
        <f t="shared" si="245"/>
        <v>0.0411816223359899</v>
      </c>
      <c r="T180" s="13">
        <f t="shared" si="246"/>
        <v>0.0176141775521307</v>
      </c>
      <c r="U180" s="13">
        <f t="shared" si="247"/>
        <v>0.0320461947276171</v>
      </c>
      <c r="V180" s="13">
        <f t="shared" si="248"/>
        <v>0.0190431112738976</v>
      </c>
      <c r="W180" s="13">
        <f t="shared" si="249"/>
        <v>0.0542762397387075</v>
      </c>
      <c r="X180" s="13">
        <f t="shared" si="250"/>
        <v>0.00820976548669766</v>
      </c>
      <c r="Y180" s="13">
        <f t="shared" si="251"/>
        <v>0.00940311667358903</v>
      </c>
      <c r="Z180" s="13">
        <f t="shared" si="252"/>
        <v>0.0138797353731106</v>
      </c>
      <c r="AA180" s="13">
        <f t="shared" si="253"/>
        <v>0.00849141963173641</v>
      </c>
      <c r="AB180" s="13">
        <f t="shared" si="254"/>
        <v>0.00764449474118552</v>
      </c>
      <c r="AC180" s="13">
        <f t="shared" si="255"/>
        <v>0.00613996620496898</v>
      </c>
      <c r="AD180" s="13">
        <f t="shared" si="256"/>
        <v>0.00423946950243641</v>
      </c>
      <c r="AE180" s="13">
        <f t="shared" si="262"/>
        <v>0.0138911401939283</v>
      </c>
      <c r="AF180" s="13">
        <f t="shared" si="257"/>
        <v>0.0062373523878824</v>
      </c>
      <c r="AG180" s="13">
        <f t="shared" si="258"/>
        <v>0.00728251522601637</v>
      </c>
      <c r="AH180" s="13">
        <f t="shared" si="259"/>
        <v>0.00933241061046302</v>
      </c>
      <c r="AI180" s="13">
        <f t="shared" si="260"/>
        <v>0.00443021257169724</v>
      </c>
    </row>
    <row r="181" spans="4:35">
      <c r="D181" s="14" t="s">
        <v>11</v>
      </c>
      <c r="E181" s="13">
        <f t="shared" si="232"/>
        <v>0.00078941138377209</v>
      </c>
      <c r="F181" s="13">
        <f t="shared" si="261"/>
        <v>0.00105000104670957</v>
      </c>
      <c r="G181" s="13">
        <f t="shared" si="233"/>
        <v>0.0143438524600868</v>
      </c>
      <c r="H181" s="13">
        <f t="shared" si="234"/>
        <v>0.0857734665191233</v>
      </c>
      <c r="I181" s="13">
        <f t="shared" si="235"/>
        <v>0.00197327598113692</v>
      </c>
      <c r="J181" s="13">
        <f t="shared" si="236"/>
        <v>0.00225914845083203</v>
      </c>
      <c r="K181" s="13">
        <f t="shared" si="237"/>
        <v>0.00392317948608593</v>
      </c>
      <c r="L181" s="13">
        <f t="shared" si="238"/>
        <v>0.0116041578991876</v>
      </c>
      <c r="M181" s="13">
        <f t="shared" si="239"/>
        <v>0.00169246600041334</v>
      </c>
      <c r="N181" s="13">
        <f t="shared" si="240"/>
        <v>0.00859550673508025</v>
      </c>
      <c r="O181" s="13">
        <f t="shared" si="241"/>
        <v>0.00415880523527221</v>
      </c>
      <c r="P181" s="13">
        <f t="shared" si="242"/>
        <v>0</v>
      </c>
      <c r="Q181" s="13">
        <f t="shared" si="243"/>
        <v>0.00277423252037707</v>
      </c>
      <c r="R181" s="13">
        <f t="shared" si="244"/>
        <v>0.391936399678104</v>
      </c>
      <c r="S181" s="13">
        <f t="shared" si="245"/>
        <v>0.00421076572114808</v>
      </c>
      <c r="T181" s="13">
        <f t="shared" si="246"/>
        <v>0.0435071778761445</v>
      </c>
      <c r="U181" s="13">
        <f t="shared" si="247"/>
        <v>0.0147080383895135</v>
      </c>
      <c r="V181" s="13">
        <f t="shared" si="248"/>
        <v>0.0219994074142589</v>
      </c>
      <c r="W181" s="13">
        <f t="shared" si="249"/>
        <v>0.00168356542293199</v>
      </c>
      <c r="X181" s="13">
        <f t="shared" si="250"/>
        <v>0.0112972269179039</v>
      </c>
      <c r="Y181" s="13">
        <f t="shared" si="251"/>
        <v>0.0116881531004279</v>
      </c>
      <c r="Z181" s="13">
        <f t="shared" si="252"/>
        <v>0.0045113805482799</v>
      </c>
      <c r="AA181" s="13">
        <f t="shared" si="253"/>
        <v>0.290657905889291</v>
      </c>
      <c r="AB181" s="13">
        <f t="shared" si="254"/>
        <v>0.00516372723206986</v>
      </c>
      <c r="AC181" s="13">
        <f t="shared" si="255"/>
        <v>0.00512239676729552</v>
      </c>
      <c r="AD181" s="13">
        <f t="shared" si="256"/>
        <v>0.00520769593647154</v>
      </c>
      <c r="AE181" s="13">
        <f t="shared" si="262"/>
        <v>0.00775361540990326</v>
      </c>
      <c r="AF181" s="13">
        <f t="shared" si="257"/>
        <v>0.00392911256326409</v>
      </c>
      <c r="AG181" s="13">
        <f t="shared" si="258"/>
        <v>0.0228572381134308</v>
      </c>
      <c r="AH181" s="13">
        <f t="shared" si="259"/>
        <v>0.00988289351716947</v>
      </c>
      <c r="AI181" s="13">
        <f t="shared" si="260"/>
        <v>0.00494579578431405</v>
      </c>
    </row>
    <row r="182" spans="4:35">
      <c r="D182" s="14" t="s">
        <v>12</v>
      </c>
      <c r="E182" s="13">
        <f t="shared" si="232"/>
        <v>0.00527929174476074</v>
      </c>
      <c r="F182" s="13">
        <f t="shared" si="261"/>
        <v>0.0081282427624726</v>
      </c>
      <c r="G182" s="13">
        <f t="shared" si="233"/>
        <v>0.0102538548388929</v>
      </c>
      <c r="H182" s="13">
        <f t="shared" si="234"/>
        <v>0.00868760119119247</v>
      </c>
      <c r="I182" s="13">
        <f t="shared" si="235"/>
        <v>0.0345247722495049</v>
      </c>
      <c r="J182" s="13">
        <f t="shared" si="236"/>
        <v>0.0189760464046341</v>
      </c>
      <c r="K182" s="13">
        <f t="shared" si="237"/>
        <v>0.00855940410298292</v>
      </c>
      <c r="L182" s="13">
        <f t="shared" si="238"/>
        <v>0.00590460893088304</v>
      </c>
      <c r="M182" s="13">
        <f t="shared" si="239"/>
        <v>0.0121079842940058</v>
      </c>
      <c r="N182" s="13">
        <f t="shared" si="240"/>
        <v>0.0339608256852497</v>
      </c>
      <c r="O182" s="13">
        <f t="shared" si="241"/>
        <v>0.0763794001177498</v>
      </c>
      <c r="P182" s="13">
        <f t="shared" si="242"/>
        <v>0.0189580573876463</v>
      </c>
      <c r="Q182" s="13">
        <f t="shared" si="243"/>
        <v>0</v>
      </c>
      <c r="R182" s="13">
        <f t="shared" si="244"/>
        <v>0.0269666736448056</v>
      </c>
      <c r="S182" s="13">
        <f t="shared" si="245"/>
        <v>0.0461402802210375</v>
      </c>
      <c r="T182" s="13">
        <f t="shared" si="246"/>
        <v>0.012177649307214</v>
      </c>
      <c r="U182" s="13">
        <f t="shared" si="247"/>
        <v>0.0286760608601783</v>
      </c>
      <c r="V182" s="13">
        <f t="shared" si="248"/>
        <v>0.0203301731175175</v>
      </c>
      <c r="W182" s="13">
        <f t="shared" si="249"/>
        <v>0.527971370037095</v>
      </c>
      <c r="X182" s="13">
        <f t="shared" si="250"/>
        <v>0.00917376142091483</v>
      </c>
      <c r="Y182" s="13">
        <f t="shared" si="251"/>
        <v>0.0118939049436105</v>
      </c>
      <c r="Z182" s="13">
        <f t="shared" si="252"/>
        <v>0.014943286744576</v>
      </c>
      <c r="AA182" s="13">
        <f t="shared" si="253"/>
        <v>0.00780965379204299</v>
      </c>
      <c r="AB182" s="13">
        <f t="shared" si="254"/>
        <v>0.0073890728458338</v>
      </c>
      <c r="AC182" s="13">
        <f t="shared" si="255"/>
        <v>0.00592180713733661</v>
      </c>
      <c r="AD182" s="13">
        <f t="shared" si="256"/>
        <v>0.00383291722977933</v>
      </c>
      <c r="AE182" s="13">
        <f t="shared" si="262"/>
        <v>0.0121460382352888</v>
      </c>
      <c r="AF182" s="13">
        <f t="shared" si="257"/>
        <v>0.00489679648337624</v>
      </c>
      <c r="AG182" s="13">
        <f t="shared" si="258"/>
        <v>0.0062758790750527</v>
      </c>
      <c r="AH182" s="13">
        <f t="shared" si="259"/>
        <v>0.00774313673348793</v>
      </c>
      <c r="AI182" s="13">
        <f t="shared" si="260"/>
        <v>0.00399144846087691</v>
      </c>
    </row>
    <row r="183" spans="4:35">
      <c r="D183" s="14" t="s">
        <v>13</v>
      </c>
      <c r="E183" s="13">
        <f t="shared" si="232"/>
        <v>0.000755484665340244</v>
      </c>
      <c r="F183" s="13">
        <f t="shared" si="261"/>
        <v>0.000973969660701576</v>
      </c>
      <c r="G183" s="13">
        <f t="shared" si="233"/>
        <v>0.0127011272215744</v>
      </c>
      <c r="H183" s="13">
        <f t="shared" si="234"/>
        <v>0.0591628130358741</v>
      </c>
      <c r="I183" s="13">
        <f t="shared" si="235"/>
        <v>0.00208162769191335</v>
      </c>
      <c r="J183" s="13">
        <f t="shared" si="236"/>
        <v>0.00225583542112139</v>
      </c>
      <c r="K183" s="13">
        <f t="shared" si="237"/>
        <v>0.00401197041124032</v>
      </c>
      <c r="L183" s="13">
        <f t="shared" si="238"/>
        <v>0.0111627866020036</v>
      </c>
      <c r="M183" s="13">
        <f t="shared" si="239"/>
        <v>0.00139635288641168</v>
      </c>
      <c r="N183" s="13">
        <f t="shared" si="240"/>
        <v>0.00310972657536999</v>
      </c>
      <c r="O183" s="13">
        <f t="shared" si="241"/>
        <v>0.00361452316127502</v>
      </c>
      <c r="P183" s="13">
        <f t="shared" si="242"/>
        <v>0.521685933501278</v>
      </c>
      <c r="Q183" s="13">
        <f t="shared" si="243"/>
        <v>0.00525254681556302</v>
      </c>
      <c r="R183" s="13">
        <f t="shared" si="244"/>
        <v>0</v>
      </c>
      <c r="S183" s="13">
        <f t="shared" si="245"/>
        <v>0.00333003262446622</v>
      </c>
      <c r="T183" s="13">
        <f t="shared" si="246"/>
        <v>0.0346359493083668</v>
      </c>
      <c r="U183" s="13">
        <f t="shared" si="247"/>
        <v>0.0234281526446561</v>
      </c>
      <c r="V183" s="13">
        <f t="shared" si="248"/>
        <v>0.05377632920051</v>
      </c>
      <c r="W183" s="13">
        <f t="shared" si="249"/>
        <v>0.00353439692018451</v>
      </c>
      <c r="X183" s="13">
        <f t="shared" si="250"/>
        <v>0.0226934075904859</v>
      </c>
      <c r="Y183" s="13">
        <f t="shared" si="251"/>
        <v>0.0188603469878802</v>
      </c>
      <c r="Z183" s="13">
        <f t="shared" si="252"/>
        <v>0.00683225058473452</v>
      </c>
      <c r="AA183" s="13">
        <f t="shared" si="253"/>
        <v>0.124027486178338</v>
      </c>
      <c r="AB183" s="13">
        <f t="shared" si="254"/>
        <v>0.00919881241029832</v>
      </c>
      <c r="AC183" s="13">
        <f t="shared" si="255"/>
        <v>0.0085827595057675</v>
      </c>
      <c r="AD183" s="13">
        <f t="shared" si="256"/>
        <v>0.00799648253674565</v>
      </c>
      <c r="AE183" s="13">
        <f t="shared" si="262"/>
        <v>0.00916382359214261</v>
      </c>
      <c r="AF183" s="13">
        <f t="shared" si="257"/>
        <v>0.00520678911948912</v>
      </c>
      <c r="AG183" s="13">
        <f t="shared" si="258"/>
        <v>0.0238906237243341</v>
      </c>
      <c r="AH183" s="13">
        <f t="shared" si="259"/>
        <v>0.0108615769799944</v>
      </c>
      <c r="AI183" s="13">
        <f t="shared" si="260"/>
        <v>0.00581608244193997</v>
      </c>
    </row>
    <row r="184" spans="4:35">
      <c r="D184" s="14" t="s">
        <v>14</v>
      </c>
      <c r="E184" s="13">
        <f t="shared" si="232"/>
        <v>0.0132417644075356</v>
      </c>
      <c r="F184" s="13">
        <f t="shared" si="261"/>
        <v>0.0224133627414287</v>
      </c>
      <c r="G184" s="13">
        <f t="shared" si="233"/>
        <v>0.0443436393464884</v>
      </c>
      <c r="H184" s="13">
        <f t="shared" si="234"/>
        <v>0.025091569419527</v>
      </c>
      <c r="I184" s="13">
        <f t="shared" si="235"/>
        <v>0.492167389677887</v>
      </c>
      <c r="J184" s="13">
        <f t="shared" si="236"/>
        <v>0.0751168278199879</v>
      </c>
      <c r="K184" s="13">
        <f t="shared" si="237"/>
        <v>0.0162223877516707</v>
      </c>
      <c r="L184" s="13">
        <f t="shared" si="238"/>
        <v>0.00931081823787765</v>
      </c>
      <c r="M184" s="13">
        <f t="shared" si="239"/>
        <v>0.00612540894483709</v>
      </c>
      <c r="N184" s="13">
        <f t="shared" si="240"/>
        <v>0.0213543380049173</v>
      </c>
      <c r="O184" s="13">
        <f t="shared" si="241"/>
        <v>0.0192260218907549</v>
      </c>
      <c r="P184" s="13">
        <f t="shared" si="242"/>
        <v>0.0193830375564322</v>
      </c>
      <c r="Q184" s="13">
        <f t="shared" si="243"/>
        <v>0.0310806441481579</v>
      </c>
      <c r="R184" s="13">
        <f t="shared" si="244"/>
        <v>0.011516372900579</v>
      </c>
      <c r="S184" s="13">
        <f t="shared" si="245"/>
        <v>0</v>
      </c>
      <c r="T184" s="13">
        <f t="shared" si="246"/>
        <v>0.0302178349976126</v>
      </c>
      <c r="U184" s="13">
        <f t="shared" si="247"/>
        <v>0.0288236685297291</v>
      </c>
      <c r="V184" s="13">
        <f t="shared" si="248"/>
        <v>0.012692254428476</v>
      </c>
      <c r="W184" s="13">
        <f t="shared" si="249"/>
        <v>0.0207477578509825</v>
      </c>
      <c r="X184" s="13">
        <f t="shared" si="250"/>
        <v>0.00517925064574999</v>
      </c>
      <c r="Y184" s="13">
        <f t="shared" si="251"/>
        <v>0.00627218274767376</v>
      </c>
      <c r="Z184" s="13">
        <f t="shared" si="252"/>
        <v>0.0166370908486059</v>
      </c>
      <c r="AA184" s="13">
        <f t="shared" si="253"/>
        <v>0.0077068433805313</v>
      </c>
      <c r="AB184" s="13">
        <f t="shared" si="254"/>
        <v>0.00511445951870612</v>
      </c>
      <c r="AC184" s="13">
        <f t="shared" si="255"/>
        <v>0.00439107519881527</v>
      </c>
      <c r="AD184" s="13">
        <f t="shared" si="256"/>
        <v>0.00353767347305086</v>
      </c>
      <c r="AE184" s="13">
        <f t="shared" si="262"/>
        <v>0.0199699220786094</v>
      </c>
      <c r="AF184" s="13">
        <f t="shared" si="257"/>
        <v>0.0060878747875672</v>
      </c>
      <c r="AG184" s="13">
        <f t="shared" si="258"/>
        <v>0.00810803503345821</v>
      </c>
      <c r="AH184" s="13">
        <f t="shared" si="259"/>
        <v>0.0131690803224529</v>
      </c>
      <c r="AI184" s="13">
        <f t="shared" si="260"/>
        <v>0.00475141330989776</v>
      </c>
    </row>
    <row r="185" spans="4:35">
      <c r="D185" s="14" t="s">
        <v>15</v>
      </c>
      <c r="E185" s="13">
        <f t="shared" si="232"/>
        <v>0.00130971164372347</v>
      </c>
      <c r="F185" s="13">
        <f t="shared" si="261"/>
        <v>0.00167097276214429</v>
      </c>
      <c r="G185" s="13">
        <f t="shared" si="233"/>
        <v>0.0640216752705602</v>
      </c>
      <c r="H185" s="13">
        <f t="shared" si="234"/>
        <v>0.0933118688924689</v>
      </c>
      <c r="I185" s="13">
        <f t="shared" si="235"/>
        <v>0.00396400974543726</v>
      </c>
      <c r="J185" s="13">
        <f t="shared" si="236"/>
        <v>0.00306082024120698</v>
      </c>
      <c r="K185" s="13">
        <f t="shared" si="237"/>
        <v>0.00639810035347524</v>
      </c>
      <c r="L185" s="13">
        <f t="shared" si="238"/>
        <v>0.406728823273232</v>
      </c>
      <c r="M185" s="13">
        <f t="shared" si="239"/>
        <v>0.000924194390695926</v>
      </c>
      <c r="N185" s="13">
        <f t="shared" si="240"/>
        <v>0.00249748166272991</v>
      </c>
      <c r="O185" s="13">
        <f t="shared" si="241"/>
        <v>0.0019780233572491</v>
      </c>
      <c r="P185" s="13">
        <f t="shared" si="242"/>
        <v>0.0481731157651832</v>
      </c>
      <c r="Q185" s="13">
        <f t="shared" si="243"/>
        <v>0.00197313277788753</v>
      </c>
      <c r="R185" s="13">
        <f t="shared" si="244"/>
        <v>0.028812264356208</v>
      </c>
      <c r="S185" s="13">
        <f t="shared" si="245"/>
        <v>0.00726852703853612</v>
      </c>
      <c r="T185" s="13">
        <f t="shared" si="246"/>
        <v>0</v>
      </c>
      <c r="U185" s="13">
        <f t="shared" si="247"/>
        <v>0.0142074337191813</v>
      </c>
      <c r="V185" s="13">
        <f t="shared" si="248"/>
        <v>0.0515250553291849</v>
      </c>
      <c r="W185" s="13">
        <f t="shared" si="249"/>
        <v>0.00163552506360059</v>
      </c>
      <c r="X185" s="13">
        <f t="shared" si="250"/>
        <v>0.00682057870997124</v>
      </c>
      <c r="Y185" s="13">
        <f t="shared" si="251"/>
        <v>0.0621569264945345</v>
      </c>
      <c r="Z185" s="13">
        <f t="shared" si="252"/>
        <v>0.00794514863448071</v>
      </c>
      <c r="AA185" s="13">
        <f t="shared" si="253"/>
        <v>0.0248473873587708</v>
      </c>
      <c r="AB185" s="13">
        <f t="shared" si="254"/>
        <v>0.00469242863573181</v>
      </c>
      <c r="AC185" s="13">
        <f t="shared" si="255"/>
        <v>0.00440269657990756</v>
      </c>
      <c r="AD185" s="13">
        <f t="shared" si="256"/>
        <v>0.00409038197797727</v>
      </c>
      <c r="AE185" s="13">
        <f t="shared" si="262"/>
        <v>0.0241967449931462</v>
      </c>
      <c r="AF185" s="13">
        <f t="shared" si="257"/>
        <v>0.00514260849221151</v>
      </c>
      <c r="AG185" s="13">
        <f t="shared" si="258"/>
        <v>0.0515555821488012</v>
      </c>
      <c r="AH185" s="13">
        <f t="shared" si="259"/>
        <v>0.0434391895171389</v>
      </c>
      <c r="AI185" s="13">
        <f t="shared" si="260"/>
        <v>0.0212495908146232</v>
      </c>
    </row>
    <row r="186" spans="4:35">
      <c r="D186" s="14" t="s">
        <v>16</v>
      </c>
      <c r="E186" s="13">
        <f t="shared" si="232"/>
        <v>0.00129498109295885</v>
      </c>
      <c r="F186" s="13">
        <f t="shared" si="261"/>
        <v>0.00173902451636152</v>
      </c>
      <c r="G186" s="13">
        <f t="shared" si="233"/>
        <v>0.015036316426547</v>
      </c>
      <c r="H186" s="13">
        <f t="shared" si="234"/>
        <v>0.00976981286218572</v>
      </c>
      <c r="I186" s="13">
        <f t="shared" si="235"/>
        <v>0.00593756491195445</v>
      </c>
      <c r="J186" s="13">
        <f t="shared" si="236"/>
        <v>0.00762037549057911</v>
      </c>
      <c r="K186" s="13">
        <f t="shared" si="237"/>
        <v>0.0192507853122282</v>
      </c>
      <c r="L186" s="13">
        <f t="shared" si="238"/>
        <v>0.0048674243227785</v>
      </c>
      <c r="M186" s="13">
        <f t="shared" si="239"/>
        <v>0.0018279902958567</v>
      </c>
      <c r="N186" s="13">
        <f t="shared" si="240"/>
        <v>0.00553422325620845</v>
      </c>
      <c r="O186" s="13">
        <f t="shared" si="241"/>
        <v>0.00523664950185953</v>
      </c>
      <c r="P186" s="13">
        <f t="shared" si="242"/>
        <v>0.0236977204323087</v>
      </c>
      <c r="Q186" s="13">
        <f t="shared" si="243"/>
        <v>0.0067611463264472</v>
      </c>
      <c r="R186" s="13">
        <f t="shared" si="244"/>
        <v>0.0283593540163085</v>
      </c>
      <c r="S186" s="13">
        <f t="shared" si="245"/>
        <v>0.0100888185979282</v>
      </c>
      <c r="T186" s="13">
        <f t="shared" si="246"/>
        <v>0.0206739581227696</v>
      </c>
      <c r="U186" s="13">
        <f t="shared" si="247"/>
        <v>0</v>
      </c>
      <c r="V186" s="13">
        <f t="shared" si="248"/>
        <v>0.0400108817185793</v>
      </c>
      <c r="W186" s="13">
        <f t="shared" si="249"/>
        <v>0.00539586536562904</v>
      </c>
      <c r="X186" s="13">
        <f t="shared" si="250"/>
        <v>0.00539403737992763</v>
      </c>
      <c r="Y186" s="13">
        <f t="shared" si="251"/>
        <v>0.00841121450903979</v>
      </c>
      <c r="Z186" s="13">
        <f t="shared" si="252"/>
        <v>0.693943773070784</v>
      </c>
      <c r="AA186" s="13">
        <f t="shared" si="253"/>
        <v>0.00776515708611166</v>
      </c>
      <c r="AB186" s="13">
        <f t="shared" si="254"/>
        <v>0.00484134680875622</v>
      </c>
      <c r="AC186" s="13">
        <f t="shared" si="255"/>
        <v>0.00367945652824794</v>
      </c>
      <c r="AD186" s="13">
        <f t="shared" ref="AD186:AD200" si="263">AD153/BI153</f>
        <v>0.00247367153647442</v>
      </c>
      <c r="AE186" s="13">
        <f t="shared" si="262"/>
        <v>0.0363476635663265</v>
      </c>
      <c r="AF186" s="13">
        <f t="shared" si="257"/>
        <v>0.003394502541544</v>
      </c>
      <c r="AG186" s="13">
        <f t="shared" si="258"/>
        <v>0.00633024508125593</v>
      </c>
      <c r="AH186" s="13">
        <f t="shared" si="259"/>
        <v>0.0103708328693592</v>
      </c>
      <c r="AI186" s="13">
        <f t="shared" si="260"/>
        <v>0.00394520645268419</v>
      </c>
    </row>
    <row r="187" spans="4:35">
      <c r="D187" s="14" t="s">
        <v>17</v>
      </c>
      <c r="E187" s="13">
        <f t="shared" si="232"/>
        <v>0.000771557950487907</v>
      </c>
      <c r="F187" s="13">
        <f t="shared" si="261"/>
        <v>0.000992229229298046</v>
      </c>
      <c r="G187" s="13">
        <f t="shared" si="233"/>
        <v>0.0972871108410039</v>
      </c>
      <c r="H187" s="13">
        <f t="shared" si="234"/>
        <v>0.0202906168106881</v>
      </c>
      <c r="I187" s="13">
        <f t="shared" si="235"/>
        <v>0.00262936465919341</v>
      </c>
      <c r="J187" s="13">
        <f t="shared" si="236"/>
        <v>0.00271796266236499</v>
      </c>
      <c r="K187" s="13">
        <f t="shared" si="237"/>
        <v>0.00728296558957751</v>
      </c>
      <c r="L187" s="13">
        <f t="shared" si="238"/>
        <v>0.020758861922399</v>
      </c>
      <c r="M187" s="13">
        <f t="shared" si="239"/>
        <v>0.00105070093223246</v>
      </c>
      <c r="N187" s="13">
        <f t="shared" si="240"/>
        <v>0.00241355064699965</v>
      </c>
      <c r="O187" s="13">
        <f t="shared" si="241"/>
        <v>0.0026137761178732</v>
      </c>
      <c r="P187" s="13">
        <f t="shared" si="242"/>
        <v>0.0297725642053902</v>
      </c>
      <c r="Q187" s="13">
        <f t="shared" si="243"/>
        <v>0.00402620013848957</v>
      </c>
      <c r="R187" s="13">
        <f t="shared" si="244"/>
        <v>0.0546767741268102</v>
      </c>
      <c r="S187" s="13">
        <f t="shared" si="245"/>
        <v>0.00373149847767014</v>
      </c>
      <c r="T187" s="13">
        <f t="shared" si="246"/>
        <v>0.0629767002326396</v>
      </c>
      <c r="U187" s="13">
        <f t="shared" si="247"/>
        <v>0.0336071406022608</v>
      </c>
      <c r="V187" s="13">
        <f t="shared" si="248"/>
        <v>0</v>
      </c>
      <c r="W187" s="13">
        <f t="shared" si="249"/>
        <v>0.00476270772233749</v>
      </c>
      <c r="X187" s="13">
        <f t="shared" si="250"/>
        <v>0.0122334080959182</v>
      </c>
      <c r="Y187" s="13">
        <f t="shared" si="251"/>
        <v>0.0747315907503616</v>
      </c>
      <c r="Z187" s="13">
        <f t="shared" si="252"/>
        <v>0.0163976347103516</v>
      </c>
      <c r="AA187" s="13">
        <f t="shared" si="253"/>
        <v>0.0206883942140432</v>
      </c>
      <c r="AB187" s="13">
        <f t="shared" si="254"/>
        <v>0.00877877419472372</v>
      </c>
      <c r="AC187" s="13">
        <f t="shared" si="255"/>
        <v>0.00636268140477394</v>
      </c>
      <c r="AD187" s="13">
        <f t="shared" si="263"/>
        <v>0.00416757748907179</v>
      </c>
      <c r="AE187" s="13">
        <f t="shared" si="262"/>
        <v>0.0240953262893835</v>
      </c>
      <c r="AF187" s="13">
        <f t="shared" si="257"/>
        <v>0.00415266926182884</v>
      </c>
      <c r="AG187" s="13">
        <f t="shared" si="258"/>
        <v>0.0195522417129883</v>
      </c>
      <c r="AH187" s="13">
        <f t="shared" si="259"/>
        <v>0.403452407612862</v>
      </c>
      <c r="AI187" s="13">
        <f t="shared" si="260"/>
        <v>0.0530250113959775</v>
      </c>
    </row>
    <row r="188" spans="4:35">
      <c r="D188" s="14" t="s">
        <v>18</v>
      </c>
      <c r="E188" s="13">
        <f t="shared" si="232"/>
        <v>0.00478716969836916</v>
      </c>
      <c r="F188" s="13">
        <f t="shared" si="261"/>
        <v>0.00726975799150336</v>
      </c>
      <c r="G188" s="13">
        <f t="shared" si="233"/>
        <v>0.00899094074842391</v>
      </c>
      <c r="H188" s="13">
        <f t="shared" si="234"/>
        <v>0.00805274446405822</v>
      </c>
      <c r="I188" s="13">
        <f t="shared" si="235"/>
        <v>0.0289068303221929</v>
      </c>
      <c r="J188" s="13">
        <f t="shared" si="236"/>
        <v>0.0146199597576136</v>
      </c>
      <c r="K188" s="13">
        <f t="shared" si="237"/>
        <v>0.00703428902627973</v>
      </c>
      <c r="L188" s="13">
        <f t="shared" si="238"/>
        <v>0.00500737207916807</v>
      </c>
      <c r="M188" s="13">
        <f t="shared" si="239"/>
        <v>0.00665613963074118</v>
      </c>
      <c r="N188" s="13">
        <f t="shared" si="240"/>
        <v>0.0232046586943111</v>
      </c>
      <c r="O188" s="13">
        <f t="shared" si="241"/>
        <v>0.0405488089610447</v>
      </c>
      <c r="P188" s="13">
        <f t="shared" si="242"/>
        <v>0.0124014688074384</v>
      </c>
      <c r="Q188" s="13">
        <f t="shared" si="243"/>
        <v>0.569118266974344</v>
      </c>
      <c r="R188" s="13">
        <f t="shared" si="244"/>
        <v>0.0195598229717101</v>
      </c>
      <c r="S188" s="13">
        <f t="shared" si="245"/>
        <v>0.0332011815775188</v>
      </c>
      <c r="T188" s="13">
        <f t="shared" si="246"/>
        <v>0.0108806917806302</v>
      </c>
      <c r="U188" s="13">
        <f t="shared" si="247"/>
        <v>0.0246690494518044</v>
      </c>
      <c r="V188" s="13">
        <f t="shared" si="248"/>
        <v>0.0259233904029719</v>
      </c>
      <c r="W188" s="13">
        <f t="shared" si="249"/>
        <v>0</v>
      </c>
      <c r="X188" s="13">
        <f t="shared" si="250"/>
        <v>0.0221832832715746</v>
      </c>
      <c r="Y188" s="13">
        <f t="shared" si="251"/>
        <v>0.0308083348350554</v>
      </c>
      <c r="Z188" s="13">
        <f t="shared" si="252"/>
        <v>0.0203868540029302</v>
      </c>
      <c r="AA188" s="13">
        <f t="shared" si="253"/>
        <v>0.0104500665147175</v>
      </c>
      <c r="AB188" s="13">
        <f t="shared" si="254"/>
        <v>0.0128410670214331</v>
      </c>
      <c r="AC188" s="13">
        <f t="shared" si="255"/>
        <v>0.00943044300267535</v>
      </c>
      <c r="AD188" s="13">
        <f t="shared" si="263"/>
        <v>0.00484875400249985</v>
      </c>
      <c r="AE188" s="13">
        <f t="shared" si="262"/>
        <v>0.0130073873425904</v>
      </c>
      <c r="AF188" s="13">
        <f t="shared" si="257"/>
        <v>0.00558046089384854</v>
      </c>
      <c r="AG188" s="13">
        <f t="shared" si="258"/>
        <v>0.00716106752282822</v>
      </c>
      <c r="AH188" s="13">
        <f t="shared" si="259"/>
        <v>0.00808670444482523</v>
      </c>
      <c r="AI188" s="13">
        <f t="shared" si="260"/>
        <v>0.00438303380489836</v>
      </c>
    </row>
    <row r="189" spans="4:35">
      <c r="D189" s="14" t="s">
        <v>19</v>
      </c>
      <c r="E189" s="13">
        <f t="shared" si="232"/>
        <v>0.00140039874965249</v>
      </c>
      <c r="F189" s="13">
        <f t="shared" si="261"/>
        <v>0.00173105433406619</v>
      </c>
      <c r="G189" s="13">
        <f t="shared" si="233"/>
        <v>0.0148167222067957</v>
      </c>
      <c r="H189" s="13">
        <f t="shared" si="234"/>
        <v>0.0305546475834947</v>
      </c>
      <c r="I189" s="13">
        <f t="shared" si="235"/>
        <v>0.00404156431591585</v>
      </c>
      <c r="J189" s="13">
        <f t="shared" si="236"/>
        <v>0.00392604511386338</v>
      </c>
      <c r="K189" s="13">
        <f t="shared" si="237"/>
        <v>0.00640591074102526</v>
      </c>
      <c r="L189" s="13">
        <f t="shared" si="238"/>
        <v>0.0120626538540105</v>
      </c>
      <c r="M189" s="13">
        <f t="shared" si="239"/>
        <v>0.00167214568672332</v>
      </c>
      <c r="N189" s="13">
        <f t="shared" si="240"/>
        <v>0.00309886607465571</v>
      </c>
      <c r="O189" s="13">
        <f t="shared" si="241"/>
        <v>0.00352542935297931</v>
      </c>
      <c r="P189" s="13">
        <f t="shared" si="242"/>
        <v>0.0478330302117358</v>
      </c>
      <c r="Q189" s="13">
        <f t="shared" si="243"/>
        <v>0.00568397956922997</v>
      </c>
      <c r="R189" s="13">
        <f t="shared" si="244"/>
        <v>0.0721875375735887</v>
      </c>
      <c r="S189" s="13">
        <f t="shared" si="245"/>
        <v>0.0047638953480957</v>
      </c>
      <c r="T189" s="13">
        <f t="shared" si="246"/>
        <v>0.0260815527787111</v>
      </c>
      <c r="U189" s="13">
        <f t="shared" si="247"/>
        <v>0.0141748403716764</v>
      </c>
      <c r="V189" s="13">
        <f t="shared" si="248"/>
        <v>0.0382735060667369</v>
      </c>
      <c r="W189" s="13">
        <f t="shared" si="249"/>
        <v>0.0127508383339592</v>
      </c>
      <c r="X189" s="13">
        <f t="shared" si="250"/>
        <v>0</v>
      </c>
      <c r="Y189" s="13">
        <f t="shared" si="251"/>
        <v>0.0987034681135079</v>
      </c>
      <c r="Z189" s="13">
        <f t="shared" si="252"/>
        <v>0.0187799156226952</v>
      </c>
      <c r="AA189" s="13">
        <f t="shared" si="253"/>
        <v>0.0633385973993987</v>
      </c>
      <c r="AB189" s="13">
        <f t="shared" si="254"/>
        <v>0.0942648444259039</v>
      </c>
      <c r="AC189" s="13">
        <f t="shared" si="255"/>
        <v>0.117766226998154</v>
      </c>
      <c r="AD189" s="13">
        <f t="shared" si="263"/>
        <v>0.21151493750545</v>
      </c>
      <c r="AE189" s="13">
        <f t="shared" si="262"/>
        <v>0.0150198439034062</v>
      </c>
      <c r="AF189" s="13">
        <f t="shared" si="257"/>
        <v>0.0221363765793908</v>
      </c>
      <c r="AG189" s="13">
        <f t="shared" si="258"/>
        <v>0.0267815199471217</v>
      </c>
      <c r="AH189" s="13">
        <f t="shared" si="259"/>
        <v>0.0163269543528523</v>
      </c>
      <c r="AI189" s="13">
        <f t="shared" si="260"/>
        <v>0.0103826968852027</v>
      </c>
    </row>
    <row r="190" spans="4:35">
      <c r="D190" s="14" t="s">
        <v>20</v>
      </c>
      <c r="E190" s="13">
        <f t="shared" si="232"/>
        <v>0.000933104251462163</v>
      </c>
      <c r="F190" s="13">
        <f t="shared" si="261"/>
        <v>0.00118330235061793</v>
      </c>
      <c r="G190" s="13">
        <f t="shared" si="233"/>
        <v>0.0435804601162196</v>
      </c>
      <c r="H190" s="13">
        <f t="shared" si="234"/>
        <v>0.0327482537738224</v>
      </c>
      <c r="I190" s="13">
        <f t="shared" si="235"/>
        <v>0.00317239473502676</v>
      </c>
      <c r="J190" s="13">
        <f t="shared" si="236"/>
        <v>0.00352025705823353</v>
      </c>
      <c r="K190" s="13">
        <f t="shared" si="237"/>
        <v>0.00870688502186712</v>
      </c>
      <c r="L190" s="13">
        <f t="shared" si="238"/>
        <v>0.0963621206176091</v>
      </c>
      <c r="M190" s="13">
        <f t="shared" si="239"/>
        <v>0.00118466493086898</v>
      </c>
      <c r="N190" s="13">
        <f t="shared" si="240"/>
        <v>0.00224430112189406</v>
      </c>
      <c r="O190" s="13">
        <f t="shared" si="241"/>
        <v>0.00270684367034192</v>
      </c>
      <c r="P190" s="13">
        <f t="shared" si="242"/>
        <v>0.0331750830544896</v>
      </c>
      <c r="Q190" s="13">
        <f t="shared" si="243"/>
        <v>0.00494014407779924</v>
      </c>
      <c r="R190" s="13">
        <f t="shared" si="244"/>
        <v>0.0402181674282525</v>
      </c>
      <c r="S190" s="13">
        <f t="shared" si="245"/>
        <v>0.00386744434122152</v>
      </c>
      <c r="T190" s="13">
        <f t="shared" si="246"/>
        <v>0.159335238695948</v>
      </c>
      <c r="U190" s="13">
        <f t="shared" si="247"/>
        <v>0.0148174345975998</v>
      </c>
      <c r="V190" s="13">
        <f t="shared" si="248"/>
        <v>0.156734678023481</v>
      </c>
      <c r="W190" s="13">
        <f t="shared" si="249"/>
        <v>0.0118711071550175</v>
      </c>
      <c r="X190" s="13">
        <f t="shared" si="250"/>
        <v>0.0661671604941778</v>
      </c>
      <c r="Y190" s="13">
        <f t="shared" si="251"/>
        <v>0</v>
      </c>
      <c r="Z190" s="13">
        <f t="shared" si="252"/>
        <v>0.0163218161685858</v>
      </c>
      <c r="AA190" s="13">
        <f t="shared" si="253"/>
        <v>0.038687220744362</v>
      </c>
      <c r="AB190" s="13">
        <f t="shared" si="254"/>
        <v>0.0159889678431943</v>
      </c>
      <c r="AC190" s="13">
        <f t="shared" si="255"/>
        <v>0.016195420999159</v>
      </c>
      <c r="AD190" s="13">
        <f t="shared" si="263"/>
        <v>0.0095710734425655</v>
      </c>
      <c r="AE190" s="13">
        <f t="shared" si="262"/>
        <v>0.0195049115111901</v>
      </c>
      <c r="AF190" s="13">
        <f t="shared" si="257"/>
        <v>0.00607490092899455</v>
      </c>
      <c r="AG190" s="13">
        <f t="shared" si="258"/>
        <v>0.0464996291326818</v>
      </c>
      <c r="AH190" s="13">
        <f t="shared" si="259"/>
        <v>0.0623155567802607</v>
      </c>
      <c r="AI190" s="13">
        <f t="shared" si="260"/>
        <v>0.0813714569330557</v>
      </c>
    </row>
    <row r="191" spans="4:35">
      <c r="D191" s="14" t="s">
        <v>21</v>
      </c>
      <c r="E191" s="13">
        <f t="shared" si="232"/>
        <v>0.000986335821079273</v>
      </c>
      <c r="F191" s="13">
        <f t="shared" si="261"/>
        <v>0.00126482652101204</v>
      </c>
      <c r="G191" s="13">
        <f t="shared" si="233"/>
        <v>0.0116115055796308</v>
      </c>
      <c r="H191" s="13">
        <f t="shared" si="234"/>
        <v>0.00816842381800041</v>
      </c>
      <c r="I191" s="13">
        <f t="shared" si="235"/>
        <v>0.00545863417294004</v>
      </c>
      <c r="J191" s="13">
        <f t="shared" si="236"/>
        <v>0.00574278227072622</v>
      </c>
      <c r="K191" s="13">
        <f t="shared" si="237"/>
        <v>0.0166623260656464</v>
      </c>
      <c r="L191" s="13">
        <f t="shared" si="238"/>
        <v>0.00415061018633866</v>
      </c>
      <c r="M191" s="13">
        <f t="shared" si="239"/>
        <v>0.000913982754338168</v>
      </c>
      <c r="N191" s="13">
        <f t="shared" si="240"/>
        <v>0.00219953314387878</v>
      </c>
      <c r="O191" s="13">
        <f t="shared" si="241"/>
        <v>0.00236075687758221</v>
      </c>
      <c r="P191" s="13">
        <f t="shared" si="242"/>
        <v>0.00756579061078643</v>
      </c>
      <c r="Q191" s="13">
        <f t="shared" si="243"/>
        <v>0.00366724571618925</v>
      </c>
      <c r="R191" s="13">
        <f t="shared" si="244"/>
        <v>0.00860825480409635</v>
      </c>
      <c r="S191" s="13">
        <f t="shared" si="245"/>
        <v>0.00606124005685325</v>
      </c>
      <c r="T191" s="13">
        <f t="shared" si="246"/>
        <v>0.0120338074418796</v>
      </c>
      <c r="U191" s="13">
        <f t="shared" si="247"/>
        <v>0.722299511528456</v>
      </c>
      <c r="V191" s="13">
        <f t="shared" si="248"/>
        <v>0.0203198643582763</v>
      </c>
      <c r="W191" s="13">
        <f t="shared" si="249"/>
        <v>0.00464143144476943</v>
      </c>
      <c r="X191" s="13">
        <f t="shared" si="250"/>
        <v>0.00743845002623787</v>
      </c>
      <c r="Y191" s="13">
        <f t="shared" si="251"/>
        <v>0.00964377812588786</v>
      </c>
      <c r="Z191" s="13">
        <f t="shared" si="252"/>
        <v>0</v>
      </c>
      <c r="AA191" s="13">
        <f t="shared" si="253"/>
        <v>0.0310027179516558</v>
      </c>
      <c r="AB191" s="13">
        <f t="shared" si="254"/>
        <v>0.0123886712257728</v>
      </c>
      <c r="AC191" s="13">
        <f t="shared" si="255"/>
        <v>0.00772750209358704</v>
      </c>
      <c r="AD191" s="13">
        <f t="shared" si="263"/>
        <v>0.00387423547936011</v>
      </c>
      <c r="AE191" s="13">
        <f t="shared" si="262"/>
        <v>0.0493913637436581</v>
      </c>
      <c r="AF191" s="13">
        <f t="shared" si="257"/>
        <v>0.00542879140965008</v>
      </c>
      <c r="AG191" s="13">
        <f t="shared" si="258"/>
        <v>0.0101951631107108</v>
      </c>
      <c r="AH191" s="13">
        <f t="shared" si="259"/>
        <v>0.0131180808744189</v>
      </c>
      <c r="AI191" s="13">
        <f t="shared" si="260"/>
        <v>0.00507438278658144</v>
      </c>
    </row>
    <row r="192" spans="4:35">
      <c r="D192" s="14" t="s">
        <v>22</v>
      </c>
      <c r="E192" s="13">
        <f t="shared" si="232"/>
        <v>0.000661955159832655</v>
      </c>
      <c r="F192" s="13">
        <f t="shared" si="261"/>
        <v>0.000805570625131667</v>
      </c>
      <c r="G192" s="13">
        <f t="shared" si="233"/>
        <v>0.0126008875108972</v>
      </c>
      <c r="H192" s="13">
        <f t="shared" si="234"/>
        <v>0.108123900884406</v>
      </c>
      <c r="I192" s="13">
        <f t="shared" si="235"/>
        <v>0.00239963138803581</v>
      </c>
      <c r="J192" s="13">
        <f t="shared" si="236"/>
        <v>0.00186233725443569</v>
      </c>
      <c r="K192" s="13">
        <f t="shared" si="237"/>
        <v>0.00357002770301309</v>
      </c>
      <c r="L192" s="13">
        <f t="shared" si="238"/>
        <v>0.0117197722243529</v>
      </c>
      <c r="M192" s="13">
        <f t="shared" si="239"/>
        <v>0.00056825226874677</v>
      </c>
      <c r="N192" s="13">
        <f t="shared" si="240"/>
        <v>0.00117772623214219</v>
      </c>
      <c r="O192" s="13">
        <f t="shared" si="241"/>
        <v>0.00120891196029883</v>
      </c>
      <c r="P192" s="13">
        <f t="shared" si="242"/>
        <v>0.408010451955907</v>
      </c>
      <c r="Q192" s="13">
        <f t="shared" si="243"/>
        <v>0.00160424226773701</v>
      </c>
      <c r="R192" s="13">
        <f t="shared" si="244"/>
        <v>0.130801752197954</v>
      </c>
      <c r="S192" s="13">
        <f t="shared" si="245"/>
        <v>0.00235020054735629</v>
      </c>
      <c r="T192" s="13">
        <f t="shared" si="246"/>
        <v>0.0315011243723146</v>
      </c>
      <c r="U192" s="13">
        <f t="shared" si="247"/>
        <v>0.00676530805963678</v>
      </c>
      <c r="V192" s="13">
        <f t="shared" si="248"/>
        <v>0.0214590589793539</v>
      </c>
      <c r="W192" s="13">
        <f t="shared" si="249"/>
        <v>0.00199143013786952</v>
      </c>
      <c r="X192" s="13">
        <f t="shared" si="250"/>
        <v>0.0209991418923628</v>
      </c>
      <c r="Y192" s="13">
        <f t="shared" si="251"/>
        <v>0.0191333295870643</v>
      </c>
      <c r="Z192" s="13">
        <f t="shared" si="252"/>
        <v>0.025950400363325</v>
      </c>
      <c r="AA192" s="13">
        <f t="shared" si="253"/>
        <v>0</v>
      </c>
      <c r="AB192" s="13">
        <f t="shared" si="254"/>
        <v>0.0167726024078073</v>
      </c>
      <c r="AC192" s="13">
        <f t="shared" si="255"/>
        <v>0.0183732730165432</v>
      </c>
      <c r="AD192" s="13">
        <f t="shared" si="263"/>
        <v>0.0141217679304984</v>
      </c>
      <c r="AE192" s="13">
        <f t="shared" si="262"/>
        <v>0.015872010463269</v>
      </c>
      <c r="AF192" s="13">
        <f t="shared" si="257"/>
        <v>0.0117290800462624</v>
      </c>
      <c r="AG192" s="13">
        <f t="shared" si="258"/>
        <v>0.0775833371010419</v>
      </c>
      <c r="AH192" s="13">
        <f t="shared" si="259"/>
        <v>0.0200568885693567</v>
      </c>
      <c r="AI192" s="13">
        <f t="shared" si="260"/>
        <v>0.0102256268930469</v>
      </c>
    </row>
    <row r="193" spans="4:35">
      <c r="D193" s="14" t="s">
        <v>23</v>
      </c>
      <c r="E193" s="13">
        <f t="shared" si="232"/>
        <v>0.00180118579289019</v>
      </c>
      <c r="F193" s="13">
        <f t="shared" si="261"/>
        <v>0.00217740855568328</v>
      </c>
      <c r="G193" s="13">
        <f t="shared" si="233"/>
        <v>0.012970575516712</v>
      </c>
      <c r="H193" s="13">
        <f t="shared" si="234"/>
        <v>0.0203314259111802</v>
      </c>
      <c r="I193" s="13">
        <f t="shared" si="235"/>
        <v>0.00487589591895768</v>
      </c>
      <c r="J193" s="13">
        <f t="shared" si="236"/>
        <v>0.00412028458587209</v>
      </c>
      <c r="K193" s="13">
        <f t="shared" si="237"/>
        <v>0.00579736062394212</v>
      </c>
      <c r="L193" s="13">
        <f t="shared" si="238"/>
        <v>0.0083653735846531</v>
      </c>
      <c r="M193" s="13">
        <f t="shared" si="239"/>
        <v>0.00190939675439314</v>
      </c>
      <c r="N193" s="13">
        <f t="shared" si="240"/>
        <v>0.00359378942550345</v>
      </c>
      <c r="O193" s="13">
        <f t="shared" si="241"/>
        <v>0.00379958942391473</v>
      </c>
      <c r="P193" s="13">
        <f t="shared" si="242"/>
        <v>0.0253061428070218</v>
      </c>
      <c r="Q193" s="13">
        <f t="shared" si="243"/>
        <v>0.00529909413201429</v>
      </c>
      <c r="R193" s="13">
        <f t="shared" si="244"/>
        <v>0.0338688847312796</v>
      </c>
      <c r="S193" s="13">
        <f t="shared" si="245"/>
        <v>0.00544504719606934</v>
      </c>
      <c r="T193" s="13">
        <f t="shared" si="246"/>
        <v>0.0207690443866767</v>
      </c>
      <c r="U193" s="13">
        <f t="shared" si="247"/>
        <v>0.0147257369679023</v>
      </c>
      <c r="V193" s="13">
        <f t="shared" si="248"/>
        <v>0.0317900551917625</v>
      </c>
      <c r="W193" s="13">
        <f t="shared" si="249"/>
        <v>0.00854320143553432</v>
      </c>
      <c r="X193" s="13">
        <f t="shared" si="250"/>
        <v>0.109107944589486</v>
      </c>
      <c r="Y193" s="13">
        <f t="shared" si="251"/>
        <v>0.0276068568539734</v>
      </c>
      <c r="Z193" s="13">
        <f t="shared" si="252"/>
        <v>0.0362028310924523</v>
      </c>
      <c r="AA193" s="13">
        <f t="shared" si="253"/>
        <v>0.0585563456062669</v>
      </c>
      <c r="AB193" s="13">
        <f t="shared" si="254"/>
        <v>0</v>
      </c>
      <c r="AC193" s="13">
        <f t="shared" si="255"/>
        <v>0.278563648053222</v>
      </c>
      <c r="AD193" s="13">
        <f t="shared" si="263"/>
        <v>0.0370885801874131</v>
      </c>
      <c r="AE193" s="13">
        <f t="shared" si="262"/>
        <v>0.0175129145887841</v>
      </c>
      <c r="AF193" s="13">
        <f t="shared" si="257"/>
        <v>0.175164786666514</v>
      </c>
      <c r="AG193" s="13">
        <f t="shared" si="258"/>
        <v>0.0212467913185719</v>
      </c>
      <c r="AH193" s="13">
        <f t="shared" si="259"/>
        <v>0.0152024234565126</v>
      </c>
      <c r="AI193" s="13">
        <f t="shared" si="260"/>
        <v>0.00825738464484187</v>
      </c>
    </row>
    <row r="194" spans="4:35">
      <c r="D194" s="14" t="s">
        <v>24</v>
      </c>
      <c r="E194" s="13">
        <f t="shared" si="232"/>
        <v>0.00164204060155914</v>
      </c>
      <c r="F194" s="13">
        <f t="shared" si="261"/>
        <v>0.00198335926447808</v>
      </c>
      <c r="G194" s="13">
        <f t="shared" si="233"/>
        <v>0.0134447982526556</v>
      </c>
      <c r="H194" s="13">
        <f t="shared" si="234"/>
        <v>0.0228805846237425</v>
      </c>
      <c r="I194" s="13">
        <f t="shared" si="235"/>
        <v>0.00475926087773133</v>
      </c>
      <c r="J194" s="13">
        <f t="shared" si="236"/>
        <v>0.00408922002585716</v>
      </c>
      <c r="K194" s="13">
        <f t="shared" si="237"/>
        <v>0.00615711652017798</v>
      </c>
      <c r="L194" s="13">
        <f t="shared" si="238"/>
        <v>0.00977731689430622</v>
      </c>
      <c r="M194" s="13">
        <f t="shared" si="239"/>
        <v>0.00162934152492518</v>
      </c>
      <c r="N194" s="13">
        <f t="shared" si="240"/>
        <v>0.00302076481848837</v>
      </c>
      <c r="O194" s="13">
        <f t="shared" si="241"/>
        <v>0.00323975739898759</v>
      </c>
      <c r="P194" s="13">
        <f t="shared" si="242"/>
        <v>0.0266498336129003</v>
      </c>
      <c r="Q194" s="13">
        <f t="shared" si="243"/>
        <v>0.0045084221103705</v>
      </c>
      <c r="R194" s="13">
        <f t="shared" si="244"/>
        <v>0.0335470783312076</v>
      </c>
      <c r="S194" s="13">
        <f t="shared" si="245"/>
        <v>0.004962852905638</v>
      </c>
      <c r="T194" s="13">
        <f t="shared" si="246"/>
        <v>0.0206869383434001</v>
      </c>
      <c r="U194" s="13">
        <f t="shared" si="247"/>
        <v>0.0118810041182297</v>
      </c>
      <c r="V194" s="13">
        <f t="shared" si="248"/>
        <v>0.0244599861531847</v>
      </c>
      <c r="W194" s="13">
        <f t="shared" si="249"/>
        <v>0.00666055247233122</v>
      </c>
      <c r="X194" s="13">
        <f t="shared" si="250"/>
        <v>0.14470582260508</v>
      </c>
      <c r="Y194" s="13">
        <f t="shared" si="251"/>
        <v>0.0296857073661934</v>
      </c>
      <c r="Z194" s="13">
        <f t="shared" si="252"/>
        <v>0.0239726234366748</v>
      </c>
      <c r="AA194" s="13">
        <f t="shared" si="253"/>
        <v>0.0680955398656194</v>
      </c>
      <c r="AB194" s="13">
        <f t="shared" si="254"/>
        <v>0.295721613445748</v>
      </c>
      <c r="AC194" s="13">
        <f t="shared" si="255"/>
        <v>0</v>
      </c>
      <c r="AD194" s="13">
        <f t="shared" si="263"/>
        <v>0.0960735162083248</v>
      </c>
      <c r="AE194" s="13">
        <f t="shared" ref="AE194:AI194" si="264">AE161/BI161</f>
        <v>0.0162739365122221</v>
      </c>
      <c r="AF194" s="13">
        <f t="shared" si="264"/>
        <v>0.06381727041777</v>
      </c>
      <c r="AG194" s="13">
        <f t="shared" si="264"/>
        <v>0.0275352943545844</v>
      </c>
      <c r="AH194" s="13">
        <f t="shared" si="264"/>
        <v>0.0170332643925616</v>
      </c>
      <c r="AI194" s="13">
        <f t="shared" si="264"/>
        <v>0.0111051825450504</v>
      </c>
    </row>
    <row r="195" spans="4:35">
      <c r="D195" s="14" t="s">
        <v>25</v>
      </c>
      <c r="E195" s="13">
        <f t="shared" si="232"/>
        <v>0.00172641640415831</v>
      </c>
      <c r="F195" s="13">
        <f t="shared" ref="F195:AI195" si="265">F162/AK162</f>
        <v>0.00206536335707346</v>
      </c>
      <c r="G195" s="13">
        <f t="shared" si="265"/>
        <v>0.0167516455888979</v>
      </c>
      <c r="H195" s="13">
        <f t="shared" si="265"/>
        <v>0.0333165549005095</v>
      </c>
      <c r="I195" s="13">
        <f t="shared" si="265"/>
        <v>0.00561212931725393</v>
      </c>
      <c r="J195" s="13">
        <f t="shared" si="265"/>
        <v>0.00473404677763187</v>
      </c>
      <c r="K195" s="13">
        <f t="shared" si="265"/>
        <v>0.00787432988836353</v>
      </c>
      <c r="L195" s="13">
        <f t="shared" si="265"/>
        <v>0.0146616242696812</v>
      </c>
      <c r="M195" s="13">
        <f t="shared" si="265"/>
        <v>0.00143627210158815</v>
      </c>
      <c r="N195" s="13">
        <f t="shared" si="265"/>
        <v>0.00265592165565954</v>
      </c>
      <c r="O195" s="13">
        <f t="shared" si="265"/>
        <v>0.00282264845850346</v>
      </c>
      <c r="P195" s="13">
        <f t="shared" si="265"/>
        <v>0.0341873685791686</v>
      </c>
      <c r="Q195" s="13">
        <f t="shared" si="265"/>
        <v>0.00368212494204565</v>
      </c>
      <c r="R195" s="13">
        <f t="shared" si="265"/>
        <v>0.0394389660226462</v>
      </c>
      <c r="S195" s="13">
        <f t="shared" si="265"/>
        <v>0.00504518437235059</v>
      </c>
      <c r="T195" s="13">
        <f t="shared" si="265"/>
        <v>0.0242515833374668</v>
      </c>
      <c r="U195" s="13">
        <f t="shared" si="265"/>
        <v>0.0100788334833423</v>
      </c>
      <c r="V195" s="13">
        <f t="shared" si="265"/>
        <v>0.0202161513763398</v>
      </c>
      <c r="W195" s="13">
        <f t="shared" si="265"/>
        <v>0.00432122697683704</v>
      </c>
      <c r="X195" s="13">
        <f t="shared" si="265"/>
        <v>0.327948052696131</v>
      </c>
      <c r="Y195" s="13">
        <f t="shared" si="265"/>
        <v>0.0221367865170598</v>
      </c>
      <c r="Z195" s="13">
        <f t="shared" si="265"/>
        <v>0.0151656564687033</v>
      </c>
      <c r="AA195" s="13">
        <f t="shared" si="265"/>
        <v>0.0660419635560817</v>
      </c>
      <c r="AB195" s="13">
        <f t="shared" si="265"/>
        <v>0.0496818319990173</v>
      </c>
      <c r="AC195" s="13">
        <f t="shared" si="265"/>
        <v>0.121227864215305</v>
      </c>
      <c r="AD195" s="13">
        <f t="shared" si="263"/>
        <v>0</v>
      </c>
      <c r="AE195" s="13">
        <f t="shared" si="265"/>
        <v>0.016669942564249</v>
      </c>
      <c r="AF195" s="13">
        <f t="shared" si="265"/>
        <v>0.043132222505318</v>
      </c>
      <c r="AG195" s="13">
        <f t="shared" si="265"/>
        <v>0.0504108296367958</v>
      </c>
      <c r="AH195" s="13">
        <f t="shared" si="265"/>
        <v>0.0245058257357251</v>
      </c>
      <c r="AI195" s="13">
        <f t="shared" si="265"/>
        <v>0.0282006322960964</v>
      </c>
    </row>
    <row r="196" spans="4:35">
      <c r="D196" s="14" t="s">
        <v>26</v>
      </c>
      <c r="E196" s="13">
        <f t="shared" si="232"/>
        <v>0.00305697321064915</v>
      </c>
      <c r="F196" s="13">
        <f t="shared" ref="F196:O200" si="266">F163/AK163</f>
        <v>0.00377849884639473</v>
      </c>
      <c r="G196" s="13">
        <f t="shared" si="266"/>
        <v>0.0869697668716546</v>
      </c>
      <c r="H196" s="13">
        <f t="shared" si="266"/>
        <v>0.050820426438317</v>
      </c>
      <c r="I196" s="13">
        <f t="shared" si="266"/>
        <v>0.0156079031581404</v>
      </c>
      <c r="J196" s="13">
        <f t="shared" si="266"/>
        <v>0.0110412941165007</v>
      </c>
      <c r="K196" s="13">
        <f t="shared" si="266"/>
        <v>0.109776403483275</v>
      </c>
      <c r="L196" s="13">
        <f t="shared" si="266"/>
        <v>0.0176095959260421</v>
      </c>
      <c r="M196" s="13">
        <f t="shared" si="266"/>
        <v>0.00209442631981383</v>
      </c>
      <c r="N196" s="13">
        <f t="shared" si="266"/>
        <v>0.00514861839383854</v>
      </c>
      <c r="O196" s="13">
        <f t="shared" si="266"/>
        <v>0.00492767256843448</v>
      </c>
      <c r="P196" s="13">
        <f t="shared" ref="P196:Y200" si="267">P163/AU163</f>
        <v>0.0271195813550421</v>
      </c>
      <c r="Q196" s="13">
        <f t="shared" si="267"/>
        <v>0.00621673555839156</v>
      </c>
      <c r="R196" s="13">
        <f t="shared" si="267"/>
        <v>0.0240803013637841</v>
      </c>
      <c r="S196" s="13">
        <f t="shared" si="267"/>
        <v>0.0151737993632535</v>
      </c>
      <c r="T196" s="13">
        <f t="shared" si="267"/>
        <v>0.0764349260292251</v>
      </c>
      <c r="U196" s="13">
        <f t="shared" si="267"/>
        <v>0.0789047972230143</v>
      </c>
      <c r="V196" s="13">
        <f t="shared" si="267"/>
        <v>0.0622739307369646</v>
      </c>
      <c r="W196" s="13">
        <f t="shared" si="267"/>
        <v>0.00617626143488776</v>
      </c>
      <c r="X196" s="13">
        <f t="shared" si="267"/>
        <v>0.0124076090990549</v>
      </c>
      <c r="Y196" s="13">
        <f t="shared" si="267"/>
        <v>0.0240356893707731</v>
      </c>
      <c r="Z196" s="13">
        <f t="shared" ref="Z196:AC200" si="268">Z163/BE163</f>
        <v>0.103011304758413</v>
      </c>
      <c r="AA196" s="13">
        <f t="shared" si="268"/>
        <v>0.0395477261595459</v>
      </c>
      <c r="AB196" s="13">
        <f t="shared" si="268"/>
        <v>0.0124989777121765</v>
      </c>
      <c r="AC196" s="13">
        <f t="shared" si="268"/>
        <v>0.0109408246024364</v>
      </c>
      <c r="AD196" s="13">
        <f t="shared" si="263"/>
        <v>0.00888163197969713</v>
      </c>
      <c r="AE196" s="13">
        <f t="shared" ref="AE196:AI200" si="269">AE163/BI163</f>
        <v>0</v>
      </c>
      <c r="AF196" s="13">
        <f t="shared" si="269"/>
        <v>0.0204738293919598</v>
      </c>
      <c r="AG196" s="13">
        <f t="shared" si="269"/>
        <v>0.0414861177942166</v>
      </c>
      <c r="AH196" s="13">
        <f t="shared" si="269"/>
        <v>0.0990894227732094</v>
      </c>
      <c r="AI196" s="13">
        <f t="shared" si="269"/>
        <v>0.0204149539608945</v>
      </c>
    </row>
    <row r="197" spans="4:35">
      <c r="D197" s="14" t="s">
        <v>27</v>
      </c>
      <c r="E197" s="13">
        <f t="shared" si="232"/>
        <v>0.00336677182391885</v>
      </c>
      <c r="F197" s="13">
        <f t="shared" si="266"/>
        <v>0.00385542816698881</v>
      </c>
      <c r="G197" s="13">
        <f t="shared" si="266"/>
        <v>0.0233299432190246</v>
      </c>
      <c r="H197" s="13">
        <f t="shared" si="266"/>
        <v>0.0393126834609239</v>
      </c>
      <c r="I197" s="13">
        <f t="shared" si="266"/>
        <v>0.011768103235631</v>
      </c>
      <c r="J197" s="13">
        <f t="shared" si="266"/>
        <v>0.00644239946036209</v>
      </c>
      <c r="K197" s="13">
        <f t="shared" si="266"/>
        <v>0.00884217514294341</v>
      </c>
      <c r="L197" s="13">
        <f t="shared" si="266"/>
        <v>0.0123379734186398</v>
      </c>
      <c r="M197" s="13">
        <f t="shared" si="266"/>
        <v>0.00217988446372669</v>
      </c>
      <c r="N197" s="13">
        <f t="shared" si="266"/>
        <v>0.00418780492268583</v>
      </c>
      <c r="O197" s="13">
        <f t="shared" si="266"/>
        <v>0.00403266464012908</v>
      </c>
      <c r="P197" s="13">
        <f t="shared" si="267"/>
        <v>0.0250473090706456</v>
      </c>
      <c r="Q197" s="13">
        <f t="shared" si="267"/>
        <v>0.00456801670323882</v>
      </c>
      <c r="R197" s="13">
        <f t="shared" si="267"/>
        <v>0.0249369345052744</v>
      </c>
      <c r="S197" s="13">
        <f t="shared" si="267"/>
        <v>0.0084308537745735</v>
      </c>
      <c r="T197" s="13">
        <f t="shared" si="267"/>
        <v>0.0296078071407375</v>
      </c>
      <c r="U197" s="13">
        <f t="shared" si="267"/>
        <v>0.0134304611564328</v>
      </c>
      <c r="V197" s="13">
        <f t="shared" si="267"/>
        <v>0.0195608935311454</v>
      </c>
      <c r="W197" s="13">
        <f t="shared" si="267"/>
        <v>0.00482940408731337</v>
      </c>
      <c r="X197" s="13">
        <f t="shared" si="267"/>
        <v>0.0333286019243045</v>
      </c>
      <c r="Y197" s="13">
        <f t="shared" si="267"/>
        <v>0.0136439360921815</v>
      </c>
      <c r="Z197" s="13">
        <f t="shared" si="268"/>
        <v>0.0206359707661161</v>
      </c>
      <c r="AA197" s="13">
        <f t="shared" si="268"/>
        <v>0.0532649355442694</v>
      </c>
      <c r="AB197" s="13">
        <f t="shared" si="268"/>
        <v>0.227850899267186</v>
      </c>
      <c r="AC197" s="13">
        <f t="shared" si="268"/>
        <v>0.078195820575921</v>
      </c>
      <c r="AD197" s="13">
        <f t="shared" si="263"/>
        <v>0.0418840226350971</v>
      </c>
      <c r="AE197" s="13">
        <f t="shared" si="269"/>
        <v>0.0373153017970422</v>
      </c>
      <c r="AF197" s="13">
        <f t="shared" si="269"/>
        <v>0</v>
      </c>
      <c r="AG197" s="13">
        <f t="shared" si="269"/>
        <v>0.158756757214873</v>
      </c>
      <c r="AH197" s="13">
        <f t="shared" si="269"/>
        <v>0.0695694905729437</v>
      </c>
      <c r="AI197" s="13">
        <f t="shared" si="269"/>
        <v>0.0154867516857304</v>
      </c>
    </row>
    <row r="198" spans="4:35">
      <c r="D198" s="14" t="s">
        <v>28</v>
      </c>
      <c r="E198" s="13">
        <f t="shared" ref="E198:E200" si="270">E165/AJ165</f>
        <v>0.00127008285729455</v>
      </c>
      <c r="F198" s="13">
        <f t="shared" si="266"/>
        <v>0.00150472643090193</v>
      </c>
      <c r="G198" s="13">
        <f t="shared" si="266"/>
        <v>0.0328742822537794</v>
      </c>
      <c r="H198" s="13">
        <f t="shared" si="266"/>
        <v>0.17505612889574</v>
      </c>
      <c r="I198" s="13">
        <f t="shared" si="266"/>
        <v>0.00569528101330664</v>
      </c>
      <c r="J198" s="13">
        <f t="shared" si="266"/>
        <v>0.00363154136990176</v>
      </c>
      <c r="K198" s="13">
        <f t="shared" si="266"/>
        <v>0.00775424189275957</v>
      </c>
      <c r="L198" s="13">
        <f t="shared" si="266"/>
        <v>0.0481711591160365</v>
      </c>
      <c r="M198" s="13">
        <f t="shared" si="266"/>
        <v>0.000833587072840552</v>
      </c>
      <c r="N198" s="13">
        <f t="shared" si="266"/>
        <v>0.00172406876912283</v>
      </c>
      <c r="O198" s="13">
        <f t="shared" si="266"/>
        <v>0.00173899202394841</v>
      </c>
      <c r="P198" s="13">
        <f t="shared" si="267"/>
        <v>0.0538164094361388</v>
      </c>
      <c r="Q198" s="13">
        <f t="shared" si="267"/>
        <v>0.00216229307757836</v>
      </c>
      <c r="R198" s="13">
        <f t="shared" si="267"/>
        <v>0.0422595556881553</v>
      </c>
      <c r="S198" s="13">
        <f t="shared" si="267"/>
        <v>0.00414711257237545</v>
      </c>
      <c r="T198" s="13">
        <f t="shared" si="267"/>
        <v>0.109628340000149</v>
      </c>
      <c r="U198" s="13">
        <f t="shared" si="267"/>
        <v>0.00925038213241459</v>
      </c>
      <c r="V198" s="13">
        <f t="shared" si="267"/>
        <v>0.0340159234827834</v>
      </c>
      <c r="W198" s="13">
        <f t="shared" si="267"/>
        <v>0.00228889361366097</v>
      </c>
      <c r="X198" s="13">
        <f t="shared" si="267"/>
        <v>0.0148925869828854</v>
      </c>
      <c r="Y198" s="13">
        <f t="shared" si="267"/>
        <v>0.0385721927436502</v>
      </c>
      <c r="Z198" s="13">
        <f t="shared" si="268"/>
        <v>0.0143133169943009</v>
      </c>
      <c r="AA198" s="13">
        <f t="shared" si="268"/>
        <v>0.130127855902444</v>
      </c>
      <c r="AB198" s="13">
        <f t="shared" si="268"/>
        <v>0.0102075533210141</v>
      </c>
      <c r="AC198" s="13">
        <f t="shared" si="268"/>
        <v>0.0124611866919373</v>
      </c>
      <c r="AD198" s="13">
        <f t="shared" si="263"/>
        <v>0.0180798472088446</v>
      </c>
      <c r="AE198" s="13">
        <f t="shared" si="269"/>
        <v>0.0279264053155029</v>
      </c>
      <c r="AF198" s="13">
        <f t="shared" si="269"/>
        <v>0.0586349530509768</v>
      </c>
      <c r="AG198" s="13">
        <f t="shared" si="269"/>
        <v>0</v>
      </c>
      <c r="AH198" s="13">
        <f t="shared" si="269"/>
        <v>0.0967353553851002</v>
      </c>
      <c r="AI198" s="13">
        <f t="shared" si="269"/>
        <v>0.0402257447044553</v>
      </c>
    </row>
    <row r="199" spans="4:35">
      <c r="D199" s="14" t="s">
        <v>29</v>
      </c>
      <c r="E199" s="13">
        <f t="shared" si="270"/>
        <v>0.00111590035372516</v>
      </c>
      <c r="F199" s="13">
        <f t="shared" si="266"/>
        <v>0.00129522988682176</v>
      </c>
      <c r="G199" s="13">
        <f t="shared" si="266"/>
        <v>0.186549210355496</v>
      </c>
      <c r="H199" s="13">
        <f t="shared" si="266"/>
        <v>0.0361789882376338</v>
      </c>
      <c r="I199" s="13">
        <f t="shared" si="266"/>
        <v>0.0068916698269703</v>
      </c>
      <c r="J199" s="13">
        <f t="shared" si="266"/>
        <v>0.00314744155535838</v>
      </c>
      <c r="K199" s="13">
        <f t="shared" si="266"/>
        <v>0.00878519260594059</v>
      </c>
      <c r="L199" s="13">
        <f t="shared" si="266"/>
        <v>0.0227297698613736</v>
      </c>
      <c r="M199" s="13">
        <f t="shared" si="266"/>
        <v>0.000580695638689783</v>
      </c>
      <c r="N199" s="13">
        <f t="shared" si="266"/>
        <v>0.00127329197787679</v>
      </c>
      <c r="O199" s="13">
        <f t="shared" si="266"/>
        <v>0.00124224456293942</v>
      </c>
      <c r="P199" s="13">
        <f t="shared" si="267"/>
        <v>0.012970961175925</v>
      </c>
      <c r="Q199" s="13">
        <f t="shared" si="267"/>
        <v>0.00148714733265674</v>
      </c>
      <c r="R199" s="13">
        <f t="shared" si="267"/>
        <v>0.0107099489318396</v>
      </c>
      <c r="S199" s="13">
        <f t="shared" si="267"/>
        <v>0.00375476474495505</v>
      </c>
      <c r="T199" s="13">
        <f t="shared" si="267"/>
        <v>0.0514903606359125</v>
      </c>
      <c r="U199" s="13">
        <f t="shared" si="267"/>
        <v>0.00844792134832285</v>
      </c>
      <c r="V199" s="13">
        <f t="shared" si="267"/>
        <v>0.391268690572326</v>
      </c>
      <c r="W199" s="13">
        <f t="shared" si="267"/>
        <v>0.00144084242087357</v>
      </c>
      <c r="X199" s="13">
        <f t="shared" si="267"/>
        <v>0.00506100981809127</v>
      </c>
      <c r="Y199" s="13">
        <f t="shared" si="267"/>
        <v>0.0288149848738715</v>
      </c>
      <c r="Z199" s="13">
        <f t="shared" si="268"/>
        <v>0.0102662891584087</v>
      </c>
      <c r="AA199" s="13">
        <f t="shared" si="268"/>
        <v>0.0187526417418223</v>
      </c>
      <c r="AB199" s="13">
        <f t="shared" si="268"/>
        <v>0.00407134783027924</v>
      </c>
      <c r="AC199" s="13">
        <f t="shared" si="268"/>
        <v>0.00429699297660296</v>
      </c>
      <c r="AD199" s="13">
        <f t="shared" si="263"/>
        <v>0.00489933717640297</v>
      </c>
      <c r="AE199" s="13">
        <f t="shared" si="269"/>
        <v>0.0371823313184516</v>
      </c>
      <c r="AF199" s="13">
        <f t="shared" si="269"/>
        <v>0.0143232068097678</v>
      </c>
      <c r="AG199" s="13">
        <f t="shared" si="269"/>
        <v>0.0539240258929958</v>
      </c>
      <c r="AH199" s="13">
        <f t="shared" si="269"/>
        <v>0</v>
      </c>
      <c r="AI199" s="13">
        <f t="shared" si="269"/>
        <v>0.0670475603776693</v>
      </c>
    </row>
    <row r="200" spans="4:35">
      <c r="D200" s="14" t="s">
        <v>30</v>
      </c>
      <c r="E200" s="13">
        <f t="shared" si="270"/>
        <v>0.00122156012632669</v>
      </c>
      <c r="F200" s="13">
        <f t="shared" si="266"/>
        <v>0.00147410455550299</v>
      </c>
      <c r="G200" s="13">
        <f t="shared" si="266"/>
        <v>0.07922549280851</v>
      </c>
      <c r="H200" s="13">
        <f t="shared" si="266"/>
        <v>0.0331742270437766</v>
      </c>
      <c r="I200" s="13">
        <f t="shared" si="266"/>
        <v>0.0051947701650193</v>
      </c>
      <c r="J200" s="13">
        <f t="shared" si="266"/>
        <v>0.00469797472436048</v>
      </c>
      <c r="K200" s="13">
        <f t="shared" si="266"/>
        <v>0.0132402837143124</v>
      </c>
      <c r="L200" s="13">
        <f t="shared" si="266"/>
        <v>0.066199656727148</v>
      </c>
      <c r="M200" s="13">
        <f t="shared" si="266"/>
        <v>0.00085211467257025</v>
      </c>
      <c r="N200" s="13">
        <f t="shared" si="266"/>
        <v>0.00167528869152785</v>
      </c>
      <c r="O200" s="13">
        <f t="shared" si="266"/>
        <v>0.0017925689464159</v>
      </c>
      <c r="P200" s="13">
        <f t="shared" si="267"/>
        <v>0.0197315981002803</v>
      </c>
      <c r="Q200" s="13">
        <f t="shared" si="267"/>
        <v>0.00233026671376553</v>
      </c>
      <c r="R200" s="13">
        <f t="shared" si="267"/>
        <v>0.0174326378071884</v>
      </c>
      <c r="S200" s="13">
        <f t="shared" si="267"/>
        <v>0.00411801697441488</v>
      </c>
      <c r="T200" s="13">
        <f t="shared" si="267"/>
        <v>0.076565448219287</v>
      </c>
      <c r="U200" s="13">
        <f t="shared" si="267"/>
        <v>0.00976886254514501</v>
      </c>
      <c r="V200" s="13">
        <f t="shared" si="267"/>
        <v>0.156315337860306</v>
      </c>
      <c r="W200" s="13">
        <f t="shared" si="267"/>
        <v>0.00237387459990959</v>
      </c>
      <c r="X200" s="13">
        <f t="shared" si="267"/>
        <v>0.00978318383151896</v>
      </c>
      <c r="Y200" s="13">
        <f t="shared" si="267"/>
        <v>0.11437524723495</v>
      </c>
      <c r="Z200" s="13">
        <f t="shared" si="268"/>
        <v>0.0120715892916113</v>
      </c>
      <c r="AA200" s="13">
        <f t="shared" si="268"/>
        <v>0.0290620921245684</v>
      </c>
      <c r="AB200" s="13">
        <f t="shared" si="268"/>
        <v>0.00672211495238331</v>
      </c>
      <c r="AC200" s="13">
        <f t="shared" si="268"/>
        <v>0.00851589887558934</v>
      </c>
      <c r="AD200" s="13">
        <f t="shared" si="263"/>
        <v>0.0171381867806383</v>
      </c>
      <c r="AE200" s="13">
        <f t="shared" si="269"/>
        <v>0.0232860465010508</v>
      </c>
      <c r="AF200" s="13">
        <f t="shared" si="269"/>
        <v>0.00969214297419137</v>
      </c>
      <c r="AG200" s="13">
        <f t="shared" si="269"/>
        <v>0.0681615107547112</v>
      </c>
      <c r="AH200" s="13">
        <f t="shared" si="269"/>
        <v>0.20380790168302</v>
      </c>
      <c r="AI200" s="13">
        <f t="shared" si="269"/>
        <v>0</v>
      </c>
    </row>
  </sheetData>
  <sheetProtection formatCells="0" insertHyperlinks="0" autoFilter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206"/>
  <sheetViews>
    <sheetView topLeftCell="A100" workbookViewId="0">
      <selection activeCell="C106" sqref="C106"/>
    </sheetView>
  </sheetViews>
  <sheetFormatPr defaultColWidth="9" defaultRowHeight="14"/>
  <cols>
    <col min="3" max="3" width="11.125" customWidth="1"/>
    <col min="5" max="6" width="10.6666666666667"/>
  </cols>
  <sheetData>
    <row r="1" spans="1:35">
      <c r="A1" s="12" t="s">
        <v>31</v>
      </c>
      <c r="B1" s="13"/>
      <c r="C1" s="13"/>
      <c r="D1" s="13"/>
      <c r="E1" s="14" t="s">
        <v>0</v>
      </c>
      <c r="F1" s="14" t="s">
        <v>1</v>
      </c>
      <c r="G1" s="14" t="s">
        <v>2</v>
      </c>
      <c r="H1" s="14" t="s">
        <v>3</v>
      </c>
      <c r="I1" s="14" t="s">
        <v>4</v>
      </c>
      <c r="J1" s="14" t="s">
        <v>5</v>
      </c>
      <c r="K1" s="14" t="s">
        <v>6</v>
      </c>
      <c r="L1" s="14" t="s">
        <v>7</v>
      </c>
      <c r="M1" s="14" t="s">
        <v>8</v>
      </c>
      <c r="N1" s="14" t="s">
        <v>9</v>
      </c>
      <c r="O1" s="14" t="s">
        <v>10</v>
      </c>
      <c r="P1" s="14" t="s">
        <v>11</v>
      </c>
      <c r="Q1" s="14" t="s">
        <v>12</v>
      </c>
      <c r="R1" s="14" t="s">
        <v>13</v>
      </c>
      <c r="S1" s="14" t="s">
        <v>14</v>
      </c>
      <c r="T1" s="14" t="s">
        <v>15</v>
      </c>
      <c r="U1" s="14" t="s">
        <v>16</v>
      </c>
      <c r="V1" s="14" t="s">
        <v>17</v>
      </c>
      <c r="W1" s="14" t="s">
        <v>18</v>
      </c>
      <c r="X1" s="14" t="s">
        <v>19</v>
      </c>
      <c r="Y1" s="14" t="s">
        <v>20</v>
      </c>
      <c r="Z1" s="14" t="s">
        <v>21</v>
      </c>
      <c r="AA1" s="14" t="s">
        <v>22</v>
      </c>
      <c r="AB1" s="14" t="s">
        <v>23</v>
      </c>
      <c r="AC1" s="14" t="s">
        <v>24</v>
      </c>
      <c r="AD1" s="14" t="s">
        <v>25</v>
      </c>
      <c r="AE1" s="14" t="s">
        <v>26</v>
      </c>
      <c r="AF1" s="14" t="s">
        <v>27</v>
      </c>
      <c r="AG1" s="14" t="s">
        <v>28</v>
      </c>
      <c r="AH1" s="14" t="s">
        <v>29</v>
      </c>
      <c r="AI1" s="14" t="s">
        <v>30</v>
      </c>
    </row>
    <row r="2" spans="1:35">
      <c r="A2" s="12"/>
      <c r="B2" s="13"/>
      <c r="C2" s="13" t="s">
        <v>43</v>
      </c>
      <c r="D2" s="13"/>
      <c r="E2" s="2">
        <v>8.07559547087986</v>
      </c>
      <c r="F2" s="2">
        <v>7.00520858104725</v>
      </c>
      <c r="G2" s="2">
        <v>2.84530651005488</v>
      </c>
      <c r="H2" s="2">
        <v>2.54392150004365</v>
      </c>
      <c r="I2" s="2">
        <v>4.27315250749414</v>
      </c>
      <c r="J2" s="2">
        <v>3.90719568157907</v>
      </c>
      <c r="K2" s="2">
        <v>3.15424370746676</v>
      </c>
      <c r="L2" s="2">
        <v>2.6824684277149</v>
      </c>
      <c r="M2" s="2">
        <v>8.42685826481529</v>
      </c>
      <c r="N2" s="2">
        <v>5.90957773279552</v>
      </c>
      <c r="O2" s="2">
        <v>5.47871631651732</v>
      </c>
      <c r="P2" s="2">
        <v>2.48644343810527</v>
      </c>
      <c r="Q2" s="2">
        <v>4.71871968206808</v>
      </c>
      <c r="R2" s="2">
        <v>2.45990302024444</v>
      </c>
      <c r="S2" s="2">
        <v>4.21751619118074</v>
      </c>
      <c r="T2" s="2">
        <v>2.67590948431165</v>
      </c>
      <c r="U2" s="2">
        <v>3.34241323769808</v>
      </c>
      <c r="V2" s="2">
        <v>2.79581682246655</v>
      </c>
      <c r="W2" s="2">
        <v>4.79249102585372</v>
      </c>
      <c r="X2" s="2">
        <v>2.22528319692003</v>
      </c>
      <c r="Y2" s="2">
        <v>2.71898909379949</v>
      </c>
      <c r="Z2" s="2">
        <v>3.32999237587743</v>
      </c>
      <c r="AA2" s="2">
        <v>2.49727045664446</v>
      </c>
      <c r="AB2" s="2">
        <v>1.84398767483154</v>
      </c>
      <c r="AC2" s="2">
        <v>2.00724175116922</v>
      </c>
      <c r="AD2" s="2">
        <v>2.18296513862508</v>
      </c>
      <c r="AE2" s="2">
        <v>3.08306478213604</v>
      </c>
      <c r="AF2" s="2">
        <v>1.74445616283952</v>
      </c>
      <c r="AG2" s="2">
        <v>2.59867121616487</v>
      </c>
      <c r="AH2" s="2">
        <v>2.80621471883819</v>
      </c>
      <c r="AI2" s="2">
        <v>2.76005861033457</v>
      </c>
    </row>
    <row r="3" spans="1:35">
      <c r="A3" s="15" t="s">
        <v>33</v>
      </c>
      <c r="B3" s="2">
        <v>8.07559547087986</v>
      </c>
      <c r="C3" s="15"/>
      <c r="D3" s="14" t="s">
        <v>0</v>
      </c>
      <c r="E3" s="13">
        <f>IF($B3=E$2,0,$B3/E$2)</f>
        <v>0</v>
      </c>
      <c r="F3" s="13">
        <f>IF($B3=F$2,0,$B3/F$2)</f>
        <v>1.15279871790378</v>
      </c>
      <c r="G3" s="13">
        <f>IF($B3=G$2,0,$B3/G$2)</f>
        <v>2.83821635466756</v>
      </c>
      <c r="H3" s="13">
        <f t="shared" ref="H3:AI18" si="0">IF($B3=H$2,0,$B3/H$2)</f>
        <v>3.17446724308958</v>
      </c>
      <c r="I3" s="13">
        <f t="shared" si="0"/>
        <v>1.8898448994547</v>
      </c>
      <c r="J3" s="13">
        <f t="shared" si="0"/>
        <v>2.06685206706006</v>
      </c>
      <c r="K3" s="13">
        <f t="shared" si="0"/>
        <v>2.56023193507947</v>
      </c>
      <c r="L3" s="13">
        <f t="shared" si="0"/>
        <v>3.01050904735501</v>
      </c>
      <c r="M3" s="13">
        <f t="shared" si="0"/>
        <v>0.958316280765981</v>
      </c>
      <c r="N3" s="13">
        <f t="shared" si="0"/>
        <v>1.36652665148373</v>
      </c>
      <c r="O3" s="13">
        <f t="shared" si="0"/>
        <v>1.47399408991727</v>
      </c>
      <c r="P3" s="13">
        <f t="shared" si="0"/>
        <v>3.24785006049993</v>
      </c>
      <c r="Q3" s="13">
        <f t="shared" si="0"/>
        <v>1.71139546635255</v>
      </c>
      <c r="R3" s="13">
        <f t="shared" si="0"/>
        <v>3.28289180688</v>
      </c>
      <c r="S3" s="13">
        <f t="shared" si="0"/>
        <v>1.91477521479746</v>
      </c>
      <c r="T3" s="13">
        <f t="shared" si="0"/>
        <v>3.01788813045641</v>
      </c>
      <c r="U3" s="13">
        <f t="shared" si="0"/>
        <v>2.41609726164247</v>
      </c>
      <c r="V3" s="13">
        <f t="shared" si="0"/>
        <v>2.88845657054004</v>
      </c>
      <c r="W3" s="13">
        <f t="shared" si="0"/>
        <v>1.68505176688178</v>
      </c>
      <c r="X3" s="13">
        <f t="shared" si="0"/>
        <v>3.62901921070412</v>
      </c>
      <c r="Y3" s="13">
        <f t="shared" si="0"/>
        <v>2.9700727705366</v>
      </c>
      <c r="Z3" s="13">
        <f t="shared" si="0"/>
        <v>2.42510929736048</v>
      </c>
      <c r="AA3" s="13">
        <f t="shared" si="0"/>
        <v>3.23376887328851</v>
      </c>
      <c r="AB3" s="13">
        <f t="shared" si="0"/>
        <v>4.37941944032658</v>
      </c>
      <c r="AC3" s="13">
        <f t="shared" si="0"/>
        <v>4.02323011972814</v>
      </c>
      <c r="AD3" s="13">
        <f>IF($B3=AD$2,0,$B3/AD$2)</f>
        <v>3.69936987448467</v>
      </c>
      <c r="AE3" s="13">
        <f>IF($B3=AE$2,0,$B3/AE$2)</f>
        <v>2.61934018307746</v>
      </c>
      <c r="AF3" s="13">
        <f t="shared" si="0"/>
        <v>4.62929114695259</v>
      </c>
      <c r="AG3" s="13">
        <f t="shared" si="0"/>
        <v>3.10758645443338</v>
      </c>
      <c r="AH3" s="13">
        <f t="shared" si="0"/>
        <v>2.87775394258614</v>
      </c>
      <c r="AI3" s="13">
        <f t="shared" si="0"/>
        <v>2.92587825513639</v>
      </c>
    </row>
    <row r="4" spans="1:35">
      <c r="A4" s="15" t="s">
        <v>33</v>
      </c>
      <c r="B4" s="2">
        <v>7.00520858104725</v>
      </c>
      <c r="C4" s="15"/>
      <c r="D4" s="14" t="s">
        <v>1</v>
      </c>
      <c r="E4" s="13">
        <f t="shared" ref="E4:T19" si="1">IF($B4=E$2,0,$B4/E$2)</f>
        <v>0.867454122275891</v>
      </c>
      <c r="F4" s="13">
        <f t="shared" si="1"/>
        <v>0</v>
      </c>
      <c r="G4" s="13">
        <f t="shared" si="1"/>
        <v>2.46202247676723</v>
      </c>
      <c r="H4" s="13">
        <f t="shared" si="1"/>
        <v>2.75370469604784</v>
      </c>
      <c r="I4" s="13">
        <f t="shared" si="1"/>
        <v>1.63935374849405</v>
      </c>
      <c r="J4" s="13">
        <f t="shared" si="1"/>
        <v>1.7928993457057</v>
      </c>
      <c r="K4" s="13">
        <f t="shared" si="1"/>
        <v>2.22088374606707</v>
      </c>
      <c r="L4" s="13">
        <f t="shared" si="1"/>
        <v>2.61147848327697</v>
      </c>
      <c r="M4" s="13">
        <f t="shared" si="1"/>
        <v>0.831295408194551</v>
      </c>
      <c r="N4" s="13">
        <f t="shared" si="1"/>
        <v>1.18539917702943</v>
      </c>
      <c r="O4" s="13">
        <f t="shared" si="1"/>
        <v>1.27862224950904</v>
      </c>
      <c r="P4" s="13">
        <f t="shared" si="1"/>
        <v>2.81736092351467</v>
      </c>
      <c r="Q4" s="13">
        <f t="shared" si="1"/>
        <v>1.48455705213179</v>
      </c>
      <c r="R4" s="13">
        <f t="shared" si="1"/>
        <v>2.84775803086381</v>
      </c>
      <c r="S4" s="13">
        <f t="shared" si="1"/>
        <v>1.66097965330776</v>
      </c>
      <c r="T4" s="13">
        <f t="shared" si="1"/>
        <v>2.6178794993319</v>
      </c>
      <c r="U4" s="13">
        <f t="shared" si="0"/>
        <v>2.09585352943125</v>
      </c>
      <c r="V4" s="13">
        <f t="shared" si="0"/>
        <v>2.50560355912984</v>
      </c>
      <c r="W4" s="13">
        <f t="shared" si="0"/>
        <v>1.46170510142987</v>
      </c>
      <c r="X4" s="13">
        <f t="shared" si="0"/>
        <v>3.14800767414369</v>
      </c>
      <c r="Y4" s="13">
        <f t="shared" si="0"/>
        <v>2.57640186826135</v>
      </c>
      <c r="Z4" s="13">
        <f t="shared" si="0"/>
        <v>2.10367105696494</v>
      </c>
      <c r="AA4" s="13">
        <f t="shared" si="0"/>
        <v>2.80514613962159</v>
      </c>
      <c r="AB4" s="13">
        <f t="shared" si="0"/>
        <v>3.79894544668647</v>
      </c>
      <c r="AC4" s="13">
        <f t="shared" si="0"/>
        <v>3.48996755222271</v>
      </c>
      <c r="AD4" s="13">
        <f t="shared" si="0"/>
        <v>3.20903364744497</v>
      </c>
      <c r="AE4" s="13">
        <f t="shared" si="0"/>
        <v>2.27215743945343</v>
      </c>
      <c r="AF4" s="13">
        <f t="shared" si="0"/>
        <v>4.01569768863931</v>
      </c>
      <c r="AG4" s="13">
        <f t="shared" si="0"/>
        <v>2.69568868022696</v>
      </c>
      <c r="AH4" s="13">
        <f t="shared" si="0"/>
        <v>2.49631952039204</v>
      </c>
      <c r="AI4" s="13">
        <f t="shared" si="0"/>
        <v>2.53806515369545</v>
      </c>
    </row>
    <row r="5" spans="1:35">
      <c r="A5" s="15" t="s">
        <v>33</v>
      </c>
      <c r="B5" s="2">
        <v>2.84530651005488</v>
      </c>
      <c r="C5" s="15"/>
      <c r="D5" s="14" t="s">
        <v>2</v>
      </c>
      <c r="E5" s="13">
        <f t="shared" si="1"/>
        <v>0.352333957330441</v>
      </c>
      <c r="F5" s="13">
        <f t="shared" si="1"/>
        <v>0.406170134284498</v>
      </c>
      <c r="G5" s="13">
        <f t="shared" si="1"/>
        <v>0</v>
      </c>
      <c r="H5" s="13">
        <f t="shared" si="1"/>
        <v>1.11847260617361</v>
      </c>
      <c r="I5" s="13">
        <f t="shared" si="1"/>
        <v>0.665856532165623</v>
      </c>
      <c r="J5" s="13">
        <f t="shared" si="1"/>
        <v>0.728222168003873</v>
      </c>
      <c r="K5" s="13">
        <f t="shared" si="1"/>
        <v>0.902056649370321</v>
      </c>
      <c r="L5" s="13">
        <f t="shared" si="1"/>
        <v>1.06070456623368</v>
      </c>
      <c r="M5" s="13">
        <f t="shared" si="1"/>
        <v>0.337647367576468</v>
      </c>
      <c r="N5" s="13">
        <f t="shared" si="1"/>
        <v>0.481473742914777</v>
      </c>
      <c r="O5" s="13">
        <f t="shared" si="1"/>
        <v>0.519338170782234</v>
      </c>
      <c r="P5" s="13">
        <f t="shared" si="1"/>
        <v>1.14432786463185</v>
      </c>
      <c r="Q5" s="13">
        <f t="shared" si="1"/>
        <v>0.60298273721737</v>
      </c>
      <c r="R5" s="13">
        <f t="shared" si="1"/>
        <v>1.15667426180571</v>
      </c>
      <c r="S5" s="13">
        <f t="shared" si="1"/>
        <v>0.674640328827833</v>
      </c>
      <c r="T5" s="13">
        <f t="shared" si="1"/>
        <v>1.06330446778427</v>
      </c>
      <c r="U5" s="13">
        <f t="shared" si="0"/>
        <v>0.851273109489731</v>
      </c>
      <c r="V5" s="13">
        <f t="shared" si="0"/>
        <v>1.01770133407548</v>
      </c>
      <c r="W5" s="13">
        <f t="shared" si="0"/>
        <v>0.593700957332107</v>
      </c>
      <c r="X5" s="13">
        <f t="shared" si="0"/>
        <v>1.27862669973557</v>
      </c>
      <c r="Y5" s="13">
        <f t="shared" si="0"/>
        <v>1.04645749280255</v>
      </c>
      <c r="Z5" s="13">
        <f t="shared" si="0"/>
        <v>0.854448355697861</v>
      </c>
      <c r="AA5" s="13">
        <f t="shared" si="0"/>
        <v>1.13936658421774</v>
      </c>
      <c r="AB5" s="13">
        <f t="shared" si="0"/>
        <v>1.54301818222013</v>
      </c>
      <c r="AC5" s="13">
        <f t="shared" si="0"/>
        <v>1.41752058933484</v>
      </c>
      <c r="AD5" s="13">
        <f t="shared" si="0"/>
        <v>1.3034136275062</v>
      </c>
      <c r="AE5" s="13">
        <f t="shared" si="0"/>
        <v>0.922882492298321</v>
      </c>
      <c r="AF5" s="13">
        <f t="shared" si="0"/>
        <v>1.63105646944058</v>
      </c>
      <c r="AG5" s="13">
        <f t="shared" si="0"/>
        <v>1.09490823323699</v>
      </c>
      <c r="AH5" s="13">
        <f t="shared" si="0"/>
        <v>1.01393043481465</v>
      </c>
      <c r="AI5" s="13">
        <f t="shared" si="0"/>
        <v>1.03088626429929</v>
      </c>
    </row>
    <row r="6" spans="1:35">
      <c r="A6" s="15" t="s">
        <v>33</v>
      </c>
      <c r="B6" s="2">
        <v>2.54392150004365</v>
      </c>
      <c r="C6" s="15"/>
      <c r="D6" s="14" t="s">
        <v>3</v>
      </c>
      <c r="E6" s="13">
        <f t="shared" si="1"/>
        <v>0.315013488381988</v>
      </c>
      <c r="F6" s="13">
        <f t="shared" si="1"/>
        <v>0.363147145529154</v>
      </c>
      <c r="G6" s="13">
        <f t="shared" si="1"/>
        <v>0.894076434666638</v>
      </c>
      <c r="H6" s="13">
        <f t="shared" si="1"/>
        <v>0</v>
      </c>
      <c r="I6" s="13">
        <f t="shared" si="1"/>
        <v>0.595326634278132</v>
      </c>
      <c r="J6" s="13">
        <f t="shared" si="1"/>
        <v>0.651086279614113</v>
      </c>
      <c r="K6" s="13">
        <f t="shared" si="1"/>
        <v>0.80650759293635</v>
      </c>
      <c r="L6" s="13">
        <f t="shared" si="1"/>
        <v>0.948350956812836</v>
      </c>
      <c r="M6" s="13">
        <f t="shared" si="1"/>
        <v>0.301882554577344</v>
      </c>
      <c r="N6" s="13">
        <f t="shared" si="1"/>
        <v>0.430474327450846</v>
      </c>
      <c r="O6" s="13">
        <f t="shared" si="1"/>
        <v>0.464328020119273</v>
      </c>
      <c r="P6" s="13">
        <f t="shared" si="1"/>
        <v>1.02311657729973</v>
      </c>
      <c r="Q6" s="13">
        <f t="shared" si="1"/>
        <v>0.539112655856836</v>
      </c>
      <c r="R6" s="13">
        <f t="shared" si="1"/>
        <v>1.03415520006592</v>
      </c>
      <c r="S6" s="13">
        <f t="shared" si="1"/>
        <v>0.603180019880717</v>
      </c>
      <c r="T6" s="13">
        <f t="shared" si="1"/>
        <v>0.95067546752167</v>
      </c>
      <c r="U6" s="13">
        <f t="shared" si="0"/>
        <v>0.761103226660161</v>
      </c>
      <c r="V6" s="13">
        <f t="shared" si="0"/>
        <v>0.90990278032569</v>
      </c>
      <c r="W6" s="13">
        <f t="shared" si="0"/>
        <v>0.53081403518966</v>
      </c>
      <c r="X6" s="13">
        <f t="shared" si="0"/>
        <v>1.14319000096915</v>
      </c>
      <c r="Y6" s="13">
        <f t="shared" si="0"/>
        <v>0.93561298419509</v>
      </c>
      <c r="Z6" s="13">
        <f t="shared" si="0"/>
        <v>0.763942139469115</v>
      </c>
      <c r="AA6" s="13">
        <f t="shared" si="0"/>
        <v>1.01868081339571</v>
      </c>
      <c r="AB6" s="13">
        <f t="shared" si="0"/>
        <v>1.37957619498517</v>
      </c>
      <c r="AC6" s="13">
        <f t="shared" si="0"/>
        <v>1.26737175457905</v>
      </c>
      <c r="AD6" s="13">
        <f t="shared" si="0"/>
        <v>1.16535140897665</v>
      </c>
      <c r="AE6" s="13">
        <f t="shared" si="0"/>
        <v>0.825127488330344</v>
      </c>
      <c r="AF6" s="13">
        <f t="shared" si="0"/>
        <v>1.45828915293739</v>
      </c>
      <c r="AG6" s="13">
        <f t="shared" si="0"/>
        <v>0.978931649459673</v>
      </c>
      <c r="AH6" s="13">
        <f t="shared" si="0"/>
        <v>0.906531308159077</v>
      </c>
      <c r="AI6" s="13">
        <f t="shared" si="0"/>
        <v>0.921691115731517</v>
      </c>
    </row>
    <row r="7" spans="1:35">
      <c r="A7" s="15" t="s">
        <v>33</v>
      </c>
      <c r="B7" s="2">
        <v>4.27315250749414</v>
      </c>
      <c r="C7" s="15"/>
      <c r="D7" s="14" t="s">
        <v>4</v>
      </c>
      <c r="E7" s="13">
        <f t="shared" si="1"/>
        <v>0.529143952653756</v>
      </c>
      <c r="F7" s="13">
        <f t="shared" si="1"/>
        <v>0.60999647020579</v>
      </c>
      <c r="G7" s="13">
        <f t="shared" si="1"/>
        <v>1.50182502039533</v>
      </c>
      <c r="H7" s="13">
        <f t="shared" si="1"/>
        <v>1.67975014457829</v>
      </c>
      <c r="I7" s="13">
        <f t="shared" si="1"/>
        <v>0</v>
      </c>
      <c r="J7" s="13">
        <f t="shared" si="1"/>
        <v>1.09366227231475</v>
      </c>
      <c r="K7" s="13">
        <f t="shared" si="1"/>
        <v>1.35473124583832</v>
      </c>
      <c r="L7" s="13">
        <f t="shared" si="1"/>
        <v>1.59299265681732</v>
      </c>
      <c r="M7" s="13">
        <f t="shared" si="1"/>
        <v>0.507087264696958</v>
      </c>
      <c r="N7" s="13">
        <f t="shared" si="1"/>
        <v>0.723089313772801</v>
      </c>
      <c r="O7" s="13">
        <f t="shared" si="1"/>
        <v>0.779955058927101</v>
      </c>
      <c r="P7" s="13">
        <f t="shared" si="1"/>
        <v>1.71858021863967</v>
      </c>
      <c r="Q7" s="13">
        <f t="shared" si="1"/>
        <v>0.905574561619507</v>
      </c>
      <c r="R7" s="13">
        <f t="shared" si="1"/>
        <v>1.73712234682712</v>
      </c>
      <c r="S7" s="13">
        <f t="shared" si="1"/>
        <v>1.01319172560137</v>
      </c>
      <c r="T7" s="13">
        <f t="shared" si="1"/>
        <v>1.59689725401656</v>
      </c>
      <c r="U7" s="13">
        <f t="shared" si="0"/>
        <v>1.27846325502141</v>
      </c>
      <c r="V7" s="13">
        <f t="shared" si="0"/>
        <v>1.52840932680427</v>
      </c>
      <c r="W7" s="13">
        <f t="shared" si="0"/>
        <v>0.891634952354018</v>
      </c>
      <c r="X7" s="13">
        <f t="shared" si="0"/>
        <v>1.92027356940839</v>
      </c>
      <c r="Y7" s="13">
        <f t="shared" si="0"/>
        <v>1.57159604547103</v>
      </c>
      <c r="Z7" s="13">
        <f t="shared" si="0"/>
        <v>1.28323191922269</v>
      </c>
      <c r="AA7" s="13">
        <f t="shared" si="0"/>
        <v>1.71112924358057</v>
      </c>
      <c r="AB7" s="13">
        <f t="shared" si="0"/>
        <v>2.3173433129831</v>
      </c>
      <c r="AC7" s="13">
        <f t="shared" si="0"/>
        <v>2.12886788798859</v>
      </c>
      <c r="AD7" s="13">
        <f t="shared" si="0"/>
        <v>1.95749919771305</v>
      </c>
      <c r="AE7" s="13">
        <f t="shared" si="0"/>
        <v>1.38600801781842</v>
      </c>
      <c r="AF7" s="13">
        <f t="shared" si="0"/>
        <v>2.44956141548353</v>
      </c>
      <c r="AG7" s="13">
        <f t="shared" si="0"/>
        <v>1.64436057971215</v>
      </c>
      <c r="AH7" s="13">
        <f t="shared" si="0"/>
        <v>1.52274609594496</v>
      </c>
      <c r="AI7" s="13">
        <f t="shared" si="0"/>
        <v>1.54821078490654</v>
      </c>
    </row>
    <row r="8" spans="1:35">
      <c r="A8" s="15" t="s">
        <v>33</v>
      </c>
      <c r="B8" s="2">
        <v>3.90719568157907</v>
      </c>
      <c r="C8" s="15"/>
      <c r="D8" s="14" t="s">
        <v>5</v>
      </c>
      <c r="E8" s="13">
        <f t="shared" si="1"/>
        <v>0.483827563635177</v>
      </c>
      <c r="F8" s="13">
        <f t="shared" si="1"/>
        <v>0.557755795045143</v>
      </c>
      <c r="G8" s="13">
        <f t="shared" si="1"/>
        <v>1.37320730394832</v>
      </c>
      <c r="H8" s="13">
        <f t="shared" si="1"/>
        <v>1.53589475206371</v>
      </c>
      <c r="I8" s="13">
        <f t="shared" si="1"/>
        <v>0.914359053351534</v>
      </c>
      <c r="J8" s="13">
        <f t="shared" si="1"/>
        <v>0</v>
      </c>
      <c r="K8" s="13">
        <f t="shared" si="1"/>
        <v>1.23871077949047</v>
      </c>
      <c r="L8" s="13">
        <f t="shared" si="1"/>
        <v>1.45656725768343</v>
      </c>
      <c r="M8" s="13">
        <f t="shared" si="1"/>
        <v>0.463659831314929</v>
      </c>
      <c r="N8" s="13">
        <f t="shared" si="1"/>
        <v>0.661163260429908</v>
      </c>
      <c r="O8" s="13">
        <f t="shared" si="1"/>
        <v>0.713158969337324</v>
      </c>
      <c r="P8" s="13">
        <f t="shared" si="1"/>
        <v>1.57139938182404</v>
      </c>
      <c r="Q8" s="13">
        <f t="shared" si="1"/>
        <v>0.828020298901643</v>
      </c>
      <c r="R8" s="13">
        <f t="shared" si="1"/>
        <v>1.58835354460064</v>
      </c>
      <c r="S8" s="13">
        <f t="shared" si="1"/>
        <v>0.926421027084477</v>
      </c>
      <c r="T8" s="13">
        <f t="shared" si="1"/>
        <v>1.46013746148225</v>
      </c>
      <c r="U8" s="13">
        <f t="shared" si="0"/>
        <v>1.1689744516061</v>
      </c>
      <c r="V8" s="13">
        <f t="shared" si="0"/>
        <v>1.3975149051904</v>
      </c>
      <c r="W8" s="13">
        <f t="shared" si="0"/>
        <v>0.81527449096956</v>
      </c>
      <c r="X8" s="13">
        <f t="shared" si="0"/>
        <v>1.75581952310023</v>
      </c>
      <c r="Y8" s="13">
        <f t="shared" si="0"/>
        <v>1.4370030723879</v>
      </c>
      <c r="Z8" s="13">
        <f t="shared" si="0"/>
        <v>1.17333472289094</v>
      </c>
      <c r="AA8" s="13">
        <f t="shared" si="0"/>
        <v>1.56458651532245</v>
      </c>
      <c r="AB8" s="13">
        <f t="shared" si="0"/>
        <v>2.11888383794974</v>
      </c>
      <c r="AC8" s="13">
        <f t="shared" si="0"/>
        <v>1.94654962677173</v>
      </c>
      <c r="AD8" s="13">
        <f t="shared" si="0"/>
        <v>1.78985711335729</v>
      </c>
      <c r="AE8" s="13">
        <f t="shared" si="0"/>
        <v>1.26730897911008</v>
      </c>
      <c r="AF8" s="13">
        <f t="shared" si="0"/>
        <v>2.23977865698797</v>
      </c>
      <c r="AG8" s="13">
        <f t="shared" si="0"/>
        <v>1.50353598303418</v>
      </c>
      <c r="AH8" s="13">
        <f t="shared" si="0"/>
        <v>1.39233667878298</v>
      </c>
      <c r="AI8" s="13">
        <f t="shared" si="0"/>
        <v>1.41562054767578</v>
      </c>
    </row>
    <row r="9" spans="1:35">
      <c r="A9" s="15" t="s">
        <v>33</v>
      </c>
      <c r="B9" s="2">
        <v>3.15424370746676</v>
      </c>
      <c r="C9" s="15"/>
      <c r="D9" s="14" t="s">
        <v>6</v>
      </c>
      <c r="E9" s="13">
        <f t="shared" si="1"/>
        <v>0.390589612721537</v>
      </c>
      <c r="F9" s="13">
        <f t="shared" si="1"/>
        <v>0.450271204771923</v>
      </c>
      <c r="G9" s="13">
        <f t="shared" si="1"/>
        <v>1.10857782678953</v>
      </c>
      <c r="H9" s="13">
        <f t="shared" si="1"/>
        <v>1.23991393107556</v>
      </c>
      <c r="I9" s="13">
        <f t="shared" si="1"/>
        <v>0.738153787381783</v>
      </c>
      <c r="J9" s="13">
        <f t="shared" si="1"/>
        <v>0.807290948425698</v>
      </c>
      <c r="K9" s="13">
        <f t="shared" si="1"/>
        <v>0</v>
      </c>
      <c r="L9" s="13">
        <f t="shared" si="1"/>
        <v>1.17587356290107</v>
      </c>
      <c r="M9" s="13">
        <f t="shared" si="1"/>
        <v>0.374308384969128</v>
      </c>
      <c r="N9" s="13">
        <f t="shared" si="1"/>
        <v>0.533751115576687</v>
      </c>
      <c r="O9" s="13">
        <f t="shared" si="1"/>
        <v>0.575726780734621</v>
      </c>
      <c r="P9" s="13">
        <f t="shared" si="1"/>
        <v>1.26857649730829</v>
      </c>
      <c r="Q9" s="13">
        <f t="shared" si="1"/>
        <v>0.668453292416037</v>
      </c>
      <c r="R9" s="13">
        <f t="shared" si="1"/>
        <v>1.28226343945597</v>
      </c>
      <c r="S9" s="13">
        <f t="shared" si="1"/>
        <v>0.747891309596536</v>
      </c>
      <c r="T9" s="13">
        <f t="shared" si="1"/>
        <v>1.17875575611189</v>
      </c>
      <c r="U9" s="13">
        <f t="shared" si="0"/>
        <v>0.943702493722495</v>
      </c>
      <c r="V9" s="13">
        <f t="shared" si="0"/>
        <v>1.12820113325021</v>
      </c>
      <c r="W9" s="13">
        <f t="shared" si="0"/>
        <v>0.658163717042094</v>
      </c>
      <c r="X9" s="13">
        <f t="shared" si="0"/>
        <v>1.41745720806794</v>
      </c>
      <c r="Y9" s="13">
        <f t="shared" si="0"/>
        <v>1.16007957319867</v>
      </c>
      <c r="Z9" s="13">
        <f t="shared" si="0"/>
        <v>0.947222501263426</v>
      </c>
      <c r="AA9" s="13">
        <f t="shared" si="0"/>
        <v>1.26307653184872</v>
      </c>
      <c r="AB9" s="13">
        <f t="shared" si="0"/>
        <v>1.71055574314233</v>
      </c>
      <c r="AC9" s="13">
        <f t="shared" si="0"/>
        <v>1.57143189435424</v>
      </c>
      <c r="AD9" s="13">
        <f t="shared" si="0"/>
        <v>1.44493544658869</v>
      </c>
      <c r="AE9" s="13">
        <f t="shared" si="0"/>
        <v>1.02308706769418</v>
      </c>
      <c r="AF9" s="13">
        <f t="shared" si="0"/>
        <v>1.80815303626345</v>
      </c>
      <c r="AG9" s="13">
        <f t="shared" si="0"/>
        <v>1.21379098973583</v>
      </c>
      <c r="AH9" s="13">
        <f t="shared" si="0"/>
        <v>1.12402079794259</v>
      </c>
      <c r="AI9" s="13">
        <f t="shared" si="0"/>
        <v>1.14281765454409</v>
      </c>
    </row>
    <row r="10" spans="1:35">
      <c r="A10" s="15" t="s">
        <v>33</v>
      </c>
      <c r="B10" s="2">
        <v>2.6824684277149</v>
      </c>
      <c r="C10" s="15"/>
      <c r="D10" s="14" t="s">
        <v>7</v>
      </c>
      <c r="E10" s="13">
        <f t="shared" si="1"/>
        <v>0.332169737499572</v>
      </c>
      <c r="F10" s="13">
        <f t="shared" si="1"/>
        <v>0.382924847515943</v>
      </c>
      <c r="G10" s="13">
        <f t="shared" si="1"/>
        <v>0.942769581496917</v>
      </c>
      <c r="H10" s="13">
        <f t="shared" si="1"/>
        <v>1.05446195083806</v>
      </c>
      <c r="I10" s="13">
        <f t="shared" si="1"/>
        <v>0.627749284166773</v>
      </c>
      <c r="J10" s="13">
        <f t="shared" si="1"/>
        <v>0.68654570856579</v>
      </c>
      <c r="K10" s="13">
        <f t="shared" si="1"/>
        <v>0.850431569813369</v>
      </c>
      <c r="L10" s="13">
        <f t="shared" si="1"/>
        <v>0</v>
      </c>
      <c r="M10" s="13">
        <f t="shared" si="1"/>
        <v>0.318323667423602</v>
      </c>
      <c r="N10" s="13">
        <f t="shared" si="1"/>
        <v>0.453918799109519</v>
      </c>
      <c r="O10" s="13">
        <f t="shared" si="1"/>
        <v>0.489616229923741</v>
      </c>
      <c r="P10" s="13">
        <f t="shared" si="1"/>
        <v>1.07883750203423</v>
      </c>
      <c r="Q10" s="13">
        <f t="shared" si="1"/>
        <v>0.568473782816285</v>
      </c>
      <c r="R10" s="13">
        <f t="shared" si="1"/>
        <v>1.09047730973083</v>
      </c>
      <c r="S10" s="13">
        <f t="shared" si="1"/>
        <v>0.636030380469959</v>
      </c>
      <c r="T10" s="13">
        <f t="shared" si="1"/>
        <v>1.00245110809678</v>
      </c>
      <c r="U10" s="13">
        <f t="shared" si="0"/>
        <v>0.802554393173213</v>
      </c>
      <c r="V10" s="13">
        <f t="shared" si="0"/>
        <v>0.959457860815199</v>
      </c>
      <c r="W10" s="13">
        <f t="shared" si="0"/>
        <v>0.55972320307831</v>
      </c>
      <c r="X10" s="13">
        <f t="shared" si="0"/>
        <v>1.20545035860049</v>
      </c>
      <c r="Y10" s="13">
        <f t="shared" si="0"/>
        <v>0.98656829254377</v>
      </c>
      <c r="Z10" s="13">
        <f t="shared" si="0"/>
        <v>0.805547918712001</v>
      </c>
      <c r="AA10" s="13">
        <f t="shared" si="0"/>
        <v>1.07416015777453</v>
      </c>
      <c r="AB10" s="13">
        <f t="shared" si="0"/>
        <v>1.4547106058938</v>
      </c>
      <c r="AC10" s="13">
        <f t="shared" si="0"/>
        <v>1.33639529277047</v>
      </c>
      <c r="AD10" s="13">
        <f t="shared" si="0"/>
        <v>1.2288187201214</v>
      </c>
      <c r="AE10" s="13">
        <f t="shared" si="0"/>
        <v>0.87006554103492</v>
      </c>
      <c r="AF10" s="13">
        <f t="shared" si="0"/>
        <v>1.53771042509234</v>
      </c>
      <c r="AG10" s="13">
        <f t="shared" si="0"/>
        <v>1.03224617682636</v>
      </c>
      <c r="AH10" s="13">
        <f t="shared" si="0"/>
        <v>0.955902771697196</v>
      </c>
      <c r="AI10" s="13">
        <f t="shared" si="0"/>
        <v>0.97188821196436</v>
      </c>
    </row>
    <row r="11" spans="1:35">
      <c r="A11" s="15" t="s">
        <v>33</v>
      </c>
      <c r="B11" s="2">
        <v>8.42685826481529</v>
      </c>
      <c r="C11" s="15"/>
      <c r="D11" s="14" t="s">
        <v>8</v>
      </c>
      <c r="E11" s="13">
        <f t="shared" si="1"/>
        <v>1.04349682883474</v>
      </c>
      <c r="F11" s="13">
        <f t="shared" si="1"/>
        <v>1.20294180641735</v>
      </c>
      <c r="G11" s="13">
        <f t="shared" si="1"/>
        <v>2.96166976564249</v>
      </c>
      <c r="H11" s="13">
        <f t="shared" si="1"/>
        <v>3.31254650140372</v>
      </c>
      <c r="I11" s="13">
        <f t="shared" si="1"/>
        <v>1.97204715957048</v>
      </c>
      <c r="J11" s="13">
        <f t="shared" si="1"/>
        <v>2.1567535776477</v>
      </c>
      <c r="K11" s="13">
        <f t="shared" si="1"/>
        <v>2.67159390533685</v>
      </c>
      <c r="L11" s="13">
        <f t="shared" si="1"/>
        <v>3.14145664409323</v>
      </c>
      <c r="M11" s="13">
        <f t="shared" si="1"/>
        <v>0</v>
      </c>
      <c r="N11" s="13">
        <f t="shared" si="1"/>
        <v>1.42596622734142</v>
      </c>
      <c r="O11" s="13">
        <f t="shared" si="1"/>
        <v>1.53810815854982</v>
      </c>
      <c r="P11" s="13">
        <f t="shared" si="1"/>
        <v>3.38912123866238</v>
      </c>
      <c r="Q11" s="13">
        <f t="shared" si="1"/>
        <v>1.78583574202103</v>
      </c>
      <c r="R11" s="13">
        <f t="shared" si="1"/>
        <v>3.42568718988682</v>
      </c>
      <c r="S11" s="13">
        <f t="shared" si="1"/>
        <v>1.9980618645725</v>
      </c>
      <c r="T11" s="13">
        <f t="shared" si="1"/>
        <v>3.14915669390926</v>
      </c>
      <c r="U11" s="13">
        <f t="shared" si="0"/>
        <v>2.5211898306802</v>
      </c>
      <c r="V11" s="13">
        <f t="shared" si="0"/>
        <v>3.01409527158538</v>
      </c>
      <c r="W11" s="13">
        <f t="shared" si="0"/>
        <v>1.7583461751635</v>
      </c>
      <c r="X11" s="13">
        <f t="shared" si="0"/>
        <v>3.78687003815008</v>
      </c>
      <c r="Y11" s="13">
        <f t="shared" si="0"/>
        <v>3.09926151746334</v>
      </c>
      <c r="Z11" s="13">
        <f t="shared" si="0"/>
        <v>2.53059386137329</v>
      </c>
      <c r="AA11" s="13">
        <f t="shared" si="0"/>
        <v>3.37442756446104</v>
      </c>
      <c r="AB11" s="13">
        <f t="shared" si="0"/>
        <v>4.56991029811798</v>
      </c>
      <c r="AC11" s="13">
        <f t="shared" si="0"/>
        <v>4.19822787160871</v>
      </c>
      <c r="AD11" s="13">
        <f t="shared" si="0"/>
        <v>3.86028073271151</v>
      </c>
      <c r="AE11" s="13">
        <f t="shared" si="0"/>
        <v>2.73327317468072</v>
      </c>
      <c r="AF11" s="13">
        <f t="shared" si="0"/>
        <v>4.83065063159775</v>
      </c>
      <c r="AG11" s="13">
        <f t="shared" si="0"/>
        <v>3.24275661053101</v>
      </c>
      <c r="AH11" s="13">
        <f t="shared" si="0"/>
        <v>3.00292711325529</v>
      </c>
      <c r="AI11" s="13">
        <f t="shared" si="0"/>
        <v>3.05314468079133</v>
      </c>
    </row>
    <row r="12" spans="1:35">
      <c r="A12" s="15" t="s">
        <v>33</v>
      </c>
      <c r="B12" s="2">
        <v>5.90957773279552</v>
      </c>
      <c r="C12" s="15"/>
      <c r="D12" s="14" t="s">
        <v>9</v>
      </c>
      <c r="E12" s="13">
        <f t="shared" si="1"/>
        <v>0.731782288266559</v>
      </c>
      <c r="F12" s="13">
        <f t="shared" si="1"/>
        <v>0.843597683698386</v>
      </c>
      <c r="G12" s="13">
        <f t="shared" si="1"/>
        <v>2.0769564586142</v>
      </c>
      <c r="H12" s="13">
        <f t="shared" si="1"/>
        <v>2.32301890317533</v>
      </c>
      <c r="I12" s="13">
        <f t="shared" si="1"/>
        <v>1.38295502499185</v>
      </c>
      <c r="J12" s="13">
        <f t="shared" si="1"/>
        <v>1.51248573514168</v>
      </c>
      <c r="K12" s="13">
        <f t="shared" si="1"/>
        <v>1.87353238394557</v>
      </c>
      <c r="L12" s="13">
        <f t="shared" si="1"/>
        <v>2.20303719952062</v>
      </c>
      <c r="M12" s="13">
        <f t="shared" si="1"/>
        <v>0.701278880822028</v>
      </c>
      <c r="N12" s="13">
        <f t="shared" si="1"/>
        <v>0</v>
      </c>
      <c r="O12" s="13">
        <f t="shared" si="1"/>
        <v>1.07864276801105</v>
      </c>
      <c r="P12" s="13">
        <f t="shared" si="1"/>
        <v>2.37671914921932</v>
      </c>
      <c r="Q12" s="13">
        <f t="shared" si="1"/>
        <v>1.25236889049648</v>
      </c>
      <c r="R12" s="13">
        <f t="shared" si="1"/>
        <v>2.40236207857019</v>
      </c>
      <c r="S12" s="13">
        <f t="shared" si="1"/>
        <v>1.40119858820058</v>
      </c>
      <c r="T12" s="13">
        <f t="shared" si="1"/>
        <v>2.20843708183788</v>
      </c>
      <c r="U12" s="13">
        <f t="shared" si="0"/>
        <v>1.76805718279929</v>
      </c>
      <c r="V12" s="13">
        <f t="shared" si="0"/>
        <v>2.11372135874836</v>
      </c>
      <c r="W12" s="13">
        <f t="shared" si="0"/>
        <v>1.23309103781635</v>
      </c>
      <c r="X12" s="13">
        <f t="shared" si="0"/>
        <v>2.65565198217236</v>
      </c>
      <c r="Y12" s="13">
        <f t="shared" si="0"/>
        <v>2.17344664834147</v>
      </c>
      <c r="Z12" s="13">
        <f t="shared" si="0"/>
        <v>1.77465203091896</v>
      </c>
      <c r="AA12" s="13">
        <f t="shared" si="0"/>
        <v>2.36641478582024</v>
      </c>
      <c r="AB12" s="13">
        <f t="shared" si="0"/>
        <v>3.20478157932123</v>
      </c>
      <c r="AC12" s="13">
        <f t="shared" si="0"/>
        <v>2.9441285432376</v>
      </c>
      <c r="AD12" s="13">
        <f t="shared" si="0"/>
        <v>2.70713335189476</v>
      </c>
      <c r="AE12" s="13">
        <f t="shared" si="0"/>
        <v>1.91678675292097</v>
      </c>
      <c r="AF12" s="13">
        <f t="shared" si="0"/>
        <v>3.38763326856909</v>
      </c>
      <c r="AG12" s="13">
        <f t="shared" si="0"/>
        <v>2.27407672661142</v>
      </c>
      <c r="AH12" s="13">
        <f t="shared" si="0"/>
        <v>2.10588936517379</v>
      </c>
      <c r="AI12" s="13">
        <f t="shared" si="0"/>
        <v>2.14110588473307</v>
      </c>
    </row>
    <row r="13" spans="1:35">
      <c r="A13" s="15" t="s">
        <v>33</v>
      </c>
      <c r="B13" s="2">
        <v>5.47871631651732</v>
      </c>
      <c r="C13" s="15"/>
      <c r="D13" s="14" t="s">
        <v>10</v>
      </c>
      <c r="E13" s="13">
        <f t="shared" si="1"/>
        <v>0.678428771757236</v>
      </c>
      <c r="F13" s="13">
        <f t="shared" si="1"/>
        <v>0.78209181827078</v>
      </c>
      <c r="G13" s="13">
        <f t="shared" si="1"/>
        <v>1.92552763547841</v>
      </c>
      <c r="H13" s="13">
        <f t="shared" si="1"/>
        <v>2.15364991271284</v>
      </c>
      <c r="I13" s="13">
        <f t="shared" si="1"/>
        <v>1.28212515394873</v>
      </c>
      <c r="J13" s="13">
        <f t="shared" si="1"/>
        <v>1.40221190925946</v>
      </c>
      <c r="K13" s="13">
        <f t="shared" si="1"/>
        <v>1.73693500712962</v>
      </c>
      <c r="L13" s="13">
        <f t="shared" si="1"/>
        <v>2.0424159553611</v>
      </c>
      <c r="M13" s="13">
        <f t="shared" si="1"/>
        <v>0.650149337315027</v>
      </c>
      <c r="N13" s="13">
        <f t="shared" si="1"/>
        <v>0.927090997739633</v>
      </c>
      <c r="O13" s="13">
        <f t="shared" si="1"/>
        <v>0</v>
      </c>
      <c r="P13" s="13">
        <f t="shared" si="1"/>
        <v>2.20343492739663</v>
      </c>
      <c r="Q13" s="13">
        <f t="shared" si="1"/>
        <v>1.16105992422846</v>
      </c>
      <c r="R13" s="13">
        <f t="shared" si="1"/>
        <v>2.22720825635349</v>
      </c>
      <c r="S13" s="13">
        <f t="shared" si="1"/>
        <v>1.29903859716624</v>
      </c>
      <c r="T13" s="13">
        <f t="shared" si="1"/>
        <v>2.04742213764628</v>
      </c>
      <c r="U13" s="13">
        <f t="shared" si="0"/>
        <v>1.63914989766212</v>
      </c>
      <c r="V13" s="13">
        <f t="shared" si="0"/>
        <v>1.95961204342559</v>
      </c>
      <c r="W13" s="13">
        <f t="shared" si="0"/>
        <v>1.14318760055296</v>
      </c>
      <c r="X13" s="13">
        <f t="shared" si="0"/>
        <v>2.46203104580141</v>
      </c>
      <c r="Y13" s="13">
        <f t="shared" si="0"/>
        <v>2.01498282174476</v>
      </c>
      <c r="Z13" s="13">
        <f t="shared" si="0"/>
        <v>1.64526392198532</v>
      </c>
      <c r="AA13" s="13">
        <f t="shared" si="0"/>
        <v>2.19388184485191</v>
      </c>
      <c r="AB13" s="13">
        <f t="shared" si="0"/>
        <v>2.97112415191052</v>
      </c>
      <c r="AC13" s="13">
        <f t="shared" si="0"/>
        <v>2.72947506862388</v>
      </c>
      <c r="AD13" s="13">
        <f t="shared" si="0"/>
        <v>2.50975896022235</v>
      </c>
      <c r="AE13" s="13">
        <f t="shared" si="0"/>
        <v>1.77703574321961</v>
      </c>
      <c r="AF13" s="13">
        <f t="shared" si="0"/>
        <v>3.14064430693369</v>
      </c>
      <c r="AG13" s="13">
        <f t="shared" si="0"/>
        <v>2.10827606141066</v>
      </c>
      <c r="AH13" s="13">
        <f t="shared" si="0"/>
        <v>1.95235107268826</v>
      </c>
      <c r="AI13" s="13">
        <f t="shared" si="0"/>
        <v>1.98499999094338</v>
      </c>
    </row>
    <row r="14" spans="1:35">
      <c r="A14" s="15" t="s">
        <v>33</v>
      </c>
      <c r="B14" s="2">
        <v>2.48644343810527</v>
      </c>
      <c r="C14" s="15"/>
      <c r="D14" s="14" t="s">
        <v>11</v>
      </c>
      <c r="E14" s="13">
        <f t="shared" si="1"/>
        <v>0.307895986998265</v>
      </c>
      <c r="F14" s="13">
        <f t="shared" si="1"/>
        <v>0.35494209905932</v>
      </c>
      <c r="G14" s="13">
        <f t="shared" si="1"/>
        <v>0.873875425834986</v>
      </c>
      <c r="H14" s="13">
        <f t="shared" si="1"/>
        <v>0.977405725004726</v>
      </c>
      <c r="I14" s="13">
        <f t="shared" si="1"/>
        <v>0.581875660591241</v>
      </c>
      <c r="J14" s="13">
        <f t="shared" si="1"/>
        <v>0.636375457166862</v>
      </c>
      <c r="K14" s="13">
        <f t="shared" si="1"/>
        <v>0.78828513859577</v>
      </c>
      <c r="L14" s="13">
        <f t="shared" si="1"/>
        <v>0.926923654502575</v>
      </c>
      <c r="M14" s="13">
        <f t="shared" si="1"/>
        <v>0.295061737122948</v>
      </c>
      <c r="N14" s="13">
        <f t="shared" si="1"/>
        <v>0.420748072118016</v>
      </c>
      <c r="O14" s="13">
        <f t="shared" si="1"/>
        <v>0.453836865144688</v>
      </c>
      <c r="P14" s="13">
        <f t="shared" si="1"/>
        <v>0</v>
      </c>
      <c r="Q14" s="13">
        <f t="shared" si="1"/>
        <v>0.526931796256975</v>
      </c>
      <c r="R14" s="13">
        <f t="shared" si="1"/>
        <v>1.01078921308784</v>
      </c>
      <c r="S14" s="13">
        <f t="shared" si="1"/>
        <v>0.589551604639878</v>
      </c>
      <c r="T14" s="13">
        <f t="shared" si="1"/>
        <v>0.929195644577225</v>
      </c>
      <c r="U14" s="13">
        <f t="shared" si="0"/>
        <v>0.743906651057211</v>
      </c>
      <c r="V14" s="13">
        <f t="shared" si="0"/>
        <v>0.889344186688047</v>
      </c>
      <c r="W14" s="13">
        <f t="shared" si="0"/>
        <v>0.518820676907234</v>
      </c>
      <c r="X14" s="13">
        <f t="shared" si="0"/>
        <v>1.11736045171541</v>
      </c>
      <c r="Y14" s="13">
        <f t="shared" si="0"/>
        <v>0.914473487141037</v>
      </c>
      <c r="Z14" s="13">
        <f t="shared" si="0"/>
        <v>0.746681420689472</v>
      </c>
      <c r="AA14" s="13">
        <f t="shared" si="0"/>
        <v>0.995664458965433</v>
      </c>
      <c r="AB14" s="13">
        <f t="shared" si="0"/>
        <v>1.34840567105874</v>
      </c>
      <c r="AC14" s="13">
        <f t="shared" si="0"/>
        <v>1.23873640863484</v>
      </c>
      <c r="AD14" s="13">
        <f t="shared" si="0"/>
        <v>1.1390211387761</v>
      </c>
      <c r="AE14" s="13">
        <f t="shared" si="0"/>
        <v>0.806484330952848</v>
      </c>
      <c r="AF14" s="13">
        <f t="shared" si="0"/>
        <v>1.4253401667933</v>
      </c>
      <c r="AG14" s="13">
        <f t="shared" si="0"/>
        <v>0.956813398570204</v>
      </c>
      <c r="AH14" s="13">
        <f t="shared" si="0"/>
        <v>0.886048890490706</v>
      </c>
      <c r="AI14" s="13">
        <f t="shared" si="0"/>
        <v>0.900866173201978</v>
      </c>
    </row>
    <row r="15" spans="1:35">
      <c r="A15" s="15" t="s">
        <v>33</v>
      </c>
      <c r="B15" s="2">
        <v>4.71871968206808</v>
      </c>
      <c r="C15" s="15"/>
      <c r="D15" s="14" t="s">
        <v>12</v>
      </c>
      <c r="E15" s="13">
        <f>IF($B15=E$2,0,$B15/E$2)</f>
        <v>0.584318481415212</v>
      </c>
      <c r="F15" s="13">
        <f t="shared" si="1"/>
        <v>0.673601596222941</v>
      </c>
      <c r="G15" s="13">
        <f t="shared" si="1"/>
        <v>1.65842227028717</v>
      </c>
      <c r="H15" s="13">
        <f t="shared" si="1"/>
        <v>1.85489987878443</v>
      </c>
      <c r="I15" s="13">
        <f t="shared" si="1"/>
        <v>1.10427130175965</v>
      </c>
      <c r="J15" s="13">
        <f t="shared" si="1"/>
        <v>1.20769986113443</v>
      </c>
      <c r="K15" s="13">
        <f t="shared" si="1"/>
        <v>1.49599083637636</v>
      </c>
      <c r="L15" s="13">
        <f t="shared" si="1"/>
        <v>1.75909607483723</v>
      </c>
      <c r="M15" s="13">
        <f t="shared" si="1"/>
        <v>0.559961913892651</v>
      </c>
      <c r="N15" s="13">
        <f t="shared" si="1"/>
        <v>0.798486777808385</v>
      </c>
      <c r="O15" s="13">
        <f t="shared" si="1"/>
        <v>0.861281988235457</v>
      </c>
      <c r="P15" s="13">
        <f t="shared" si="1"/>
        <v>1.89777881521562</v>
      </c>
      <c r="Q15" s="13">
        <f t="shared" si="1"/>
        <v>0</v>
      </c>
      <c r="R15" s="13">
        <f t="shared" si="1"/>
        <v>1.91825435524656</v>
      </c>
      <c r="S15" s="13">
        <f t="shared" si="1"/>
        <v>1.11883854576194</v>
      </c>
      <c r="T15" s="13">
        <f t="shared" si="1"/>
        <v>1.76340780946928</v>
      </c>
      <c r="U15" s="13">
        <f t="shared" si="0"/>
        <v>1.41177028287437</v>
      </c>
      <c r="V15" s="13">
        <f t="shared" si="0"/>
        <v>1.68777855693174</v>
      </c>
      <c r="W15" s="13">
        <f t="shared" si="0"/>
        <v>0.984606889530378</v>
      </c>
      <c r="X15" s="13">
        <f t="shared" si="0"/>
        <v>2.12050299422526</v>
      </c>
      <c r="Y15" s="13">
        <f t="shared" si="0"/>
        <v>1.73546841097261</v>
      </c>
      <c r="Z15" s="13">
        <f t="shared" si="0"/>
        <v>1.41703618189958</v>
      </c>
      <c r="AA15" s="13">
        <f t="shared" si="0"/>
        <v>1.88955091728772</v>
      </c>
      <c r="AB15" s="13">
        <f t="shared" si="0"/>
        <v>2.55897571685188</v>
      </c>
      <c r="AC15" s="13">
        <f t="shared" si="0"/>
        <v>2.35084771394349</v>
      </c>
      <c r="AD15" s="13">
        <f t="shared" si="0"/>
        <v>2.16161018725206</v>
      </c>
      <c r="AE15" s="13">
        <f t="shared" si="0"/>
        <v>1.53052887808566</v>
      </c>
      <c r="AF15" s="13">
        <f t="shared" si="0"/>
        <v>2.70498037301622</v>
      </c>
      <c r="AG15" s="13">
        <f t="shared" si="0"/>
        <v>1.81582019792099</v>
      </c>
      <c r="AH15" s="13">
        <f t="shared" si="0"/>
        <v>1.68152481361857</v>
      </c>
      <c r="AI15" s="13">
        <f t="shared" si="0"/>
        <v>1.70964473884708</v>
      </c>
    </row>
    <row r="16" spans="1:35">
      <c r="A16" s="15" t="s">
        <v>33</v>
      </c>
      <c r="B16" s="2">
        <v>2.45990302024444</v>
      </c>
      <c r="C16" s="15"/>
      <c r="D16" s="14" t="s">
        <v>13</v>
      </c>
      <c r="E16" s="13">
        <f t="shared" si="1"/>
        <v>0.304609490298853</v>
      </c>
      <c r="F16" s="13">
        <f t="shared" si="1"/>
        <v>0.351153429877843</v>
      </c>
      <c r="G16" s="13">
        <f t="shared" si="1"/>
        <v>0.864547637153156</v>
      </c>
      <c r="H16" s="13">
        <f t="shared" si="1"/>
        <v>0.966972848887923</v>
      </c>
      <c r="I16" s="13">
        <f t="shared" si="1"/>
        <v>0.575664691566784</v>
      </c>
      <c r="J16" s="13">
        <f t="shared" si="1"/>
        <v>0.629582754670298</v>
      </c>
      <c r="K16" s="13">
        <f t="shared" si="1"/>
        <v>0.779870944791404</v>
      </c>
      <c r="L16" s="13">
        <f t="shared" si="1"/>
        <v>0.917029626454895</v>
      </c>
      <c r="M16" s="13">
        <f t="shared" si="1"/>
        <v>0.291912233829218</v>
      </c>
      <c r="N16" s="13">
        <f t="shared" si="1"/>
        <v>0.416256986788257</v>
      </c>
      <c r="O16" s="13">
        <f t="shared" si="1"/>
        <v>0.448992588433223</v>
      </c>
      <c r="P16" s="13">
        <f t="shared" si="1"/>
        <v>0.989325951495984</v>
      </c>
      <c r="Q16" s="13">
        <f t="shared" si="1"/>
        <v>0.52130730070542</v>
      </c>
      <c r="R16" s="13">
        <f t="shared" si="1"/>
        <v>0</v>
      </c>
      <c r="S16" s="13">
        <f t="shared" si="1"/>
        <v>0.583258702216331</v>
      </c>
      <c r="T16" s="13">
        <f t="shared" si="1"/>
        <v>0.919277365197288</v>
      </c>
      <c r="U16" s="13">
        <f t="shared" si="0"/>
        <v>0.735966155381367</v>
      </c>
      <c r="V16" s="13">
        <f t="shared" si="0"/>
        <v>0.879851283702575</v>
      </c>
      <c r="W16" s="13">
        <f t="shared" si="0"/>
        <v>0.51328275983704</v>
      </c>
      <c r="X16" s="13">
        <f t="shared" si="0"/>
        <v>1.10543369205733</v>
      </c>
      <c r="Y16" s="13">
        <f t="shared" si="0"/>
        <v>0.904712352783657</v>
      </c>
      <c r="Z16" s="13">
        <f t="shared" si="0"/>
        <v>0.738711306987985</v>
      </c>
      <c r="AA16" s="13">
        <f t="shared" si="0"/>
        <v>0.985036688236712</v>
      </c>
      <c r="AB16" s="13">
        <f t="shared" si="0"/>
        <v>1.33401272352277</v>
      </c>
      <c r="AC16" s="13">
        <f t="shared" si="0"/>
        <v>1.22551407612539</v>
      </c>
      <c r="AD16" s="13">
        <f t="shared" si="0"/>
        <v>1.12686317189371</v>
      </c>
      <c r="AE16" s="13">
        <f t="shared" si="0"/>
        <v>0.797875878086529</v>
      </c>
      <c r="AF16" s="13">
        <f t="shared" si="0"/>
        <v>1.41012601671822</v>
      </c>
      <c r="AG16" s="13">
        <f t="shared" si="0"/>
        <v>0.946600325944574</v>
      </c>
      <c r="AH16" s="13">
        <f t="shared" si="0"/>
        <v>0.876591161656679</v>
      </c>
      <c r="AI16" s="13">
        <f t="shared" si="0"/>
        <v>0.891250283973594</v>
      </c>
    </row>
    <row r="17" spans="1:35">
      <c r="A17" s="15" t="s">
        <v>33</v>
      </c>
      <c r="B17" s="2">
        <v>4.21751619118074</v>
      </c>
      <c r="C17" s="15"/>
      <c r="D17" s="14" t="s">
        <v>14</v>
      </c>
      <c r="E17" s="13">
        <f t="shared" si="1"/>
        <v>0.522254514405639</v>
      </c>
      <c r="F17" s="13">
        <f t="shared" si="1"/>
        <v>0.602054334626284</v>
      </c>
      <c r="G17" s="13">
        <f t="shared" si="1"/>
        <v>1.48227130408505</v>
      </c>
      <c r="H17" s="13">
        <f t="shared" si="1"/>
        <v>1.65787984853636</v>
      </c>
      <c r="I17" s="13">
        <f t="shared" si="1"/>
        <v>0.986980030266689</v>
      </c>
      <c r="J17" s="13">
        <f t="shared" si="1"/>
        <v>1.07942282263075</v>
      </c>
      <c r="K17" s="13">
        <f t="shared" si="1"/>
        <v>1.33709268602074</v>
      </c>
      <c r="L17" s="13">
        <f t="shared" si="1"/>
        <v>1.57225194064017</v>
      </c>
      <c r="M17" s="13">
        <f t="shared" si="1"/>
        <v>0.500485003858456</v>
      </c>
      <c r="N17" s="13">
        <f t="shared" si="1"/>
        <v>0.713674712792998</v>
      </c>
      <c r="O17" s="13">
        <f t="shared" si="1"/>
        <v>0.769800067666527</v>
      </c>
      <c r="P17" s="13">
        <f t="shared" si="1"/>
        <v>1.69620435620872</v>
      </c>
      <c r="Q17" s="13">
        <f t="shared" si="1"/>
        <v>0.893784008235965</v>
      </c>
      <c r="R17" s="13">
        <f t="shared" si="1"/>
        <v>1.71450506644837</v>
      </c>
      <c r="S17" s="13">
        <f t="shared" si="1"/>
        <v>0</v>
      </c>
      <c r="T17" s="13">
        <f t="shared" si="1"/>
        <v>1.57610570010206</v>
      </c>
      <c r="U17" s="13">
        <f t="shared" si="0"/>
        <v>1.26181770213588</v>
      </c>
      <c r="V17" s="13">
        <f t="shared" si="0"/>
        <v>1.50850948362916</v>
      </c>
      <c r="W17" s="13">
        <f t="shared" si="0"/>
        <v>0.880025892261206</v>
      </c>
      <c r="X17" s="13">
        <f t="shared" si="0"/>
        <v>1.89527166565501</v>
      </c>
      <c r="Y17" s="13">
        <f t="shared" si="0"/>
        <v>1.551133912526</v>
      </c>
      <c r="Z17" s="13">
        <f t="shared" si="0"/>
        <v>1.2665242784736</v>
      </c>
      <c r="AA17" s="13">
        <f t="shared" si="0"/>
        <v>1.68885039261936</v>
      </c>
      <c r="AB17" s="13">
        <f t="shared" si="0"/>
        <v>2.28717157318637</v>
      </c>
      <c r="AC17" s="13">
        <f t="shared" si="0"/>
        <v>2.10115009252076</v>
      </c>
      <c r="AD17" s="13">
        <f t="shared" si="0"/>
        <v>1.93201261740584</v>
      </c>
      <c r="AE17" s="13">
        <f t="shared" si="0"/>
        <v>1.36796223537629</v>
      </c>
      <c r="AF17" s="13">
        <f t="shared" si="0"/>
        <v>2.41766819999405</v>
      </c>
      <c r="AG17" s="13">
        <f t="shared" si="0"/>
        <v>1.62295105473365</v>
      </c>
      <c r="AH17" s="13">
        <f t="shared" si="0"/>
        <v>1.50291998786424</v>
      </c>
      <c r="AI17" s="13">
        <f t="shared" si="0"/>
        <v>1.52805312734627</v>
      </c>
    </row>
    <row r="18" spans="1:35">
      <c r="A18" s="15" t="s">
        <v>33</v>
      </c>
      <c r="B18" s="2">
        <v>2.67590948431165</v>
      </c>
      <c r="C18" s="15"/>
      <c r="D18" s="14" t="s">
        <v>15</v>
      </c>
      <c r="E18" s="13">
        <f t="shared" si="1"/>
        <v>0.331357544339711</v>
      </c>
      <c r="F18" s="13">
        <f t="shared" si="1"/>
        <v>0.381988552282566</v>
      </c>
      <c r="G18" s="13">
        <f t="shared" si="1"/>
        <v>0.940464401587452</v>
      </c>
      <c r="H18" s="13">
        <f t="shared" si="1"/>
        <v>1.05188367025702</v>
      </c>
      <c r="I18" s="13">
        <f t="shared" si="1"/>
        <v>0.626214365066239</v>
      </c>
      <c r="J18" s="13">
        <f t="shared" si="1"/>
        <v>0.684867025454479</v>
      </c>
      <c r="K18" s="13">
        <f t="shared" si="1"/>
        <v>0.84835216694804</v>
      </c>
      <c r="L18" s="13">
        <f t="shared" si="1"/>
        <v>0.997554885144039</v>
      </c>
      <c r="M18" s="13">
        <f t="shared" si="1"/>
        <v>0.317545329495381</v>
      </c>
      <c r="N18" s="13">
        <f t="shared" si="1"/>
        <v>0.452808915510417</v>
      </c>
      <c r="O18" s="13">
        <f t="shared" si="1"/>
        <v>0.488419062006235</v>
      </c>
      <c r="P18" s="13">
        <f t="shared" si="1"/>
        <v>1.07619962043084</v>
      </c>
      <c r="Q18" s="13">
        <f t="shared" si="1"/>
        <v>0.567083799124697</v>
      </c>
      <c r="R18" s="13">
        <f t="shared" si="1"/>
        <v>1.08781096746072</v>
      </c>
      <c r="S18" s="13">
        <f t="shared" si="1"/>
        <v>0.634475213137829</v>
      </c>
      <c r="T18" s="13">
        <f t="shared" si="1"/>
        <v>0</v>
      </c>
      <c r="U18" s="13">
        <f t="shared" si="0"/>
        <v>0.800592055503749</v>
      </c>
      <c r="V18" s="13">
        <f t="shared" si="0"/>
        <v>0.957111876146051</v>
      </c>
      <c r="W18" s="13">
        <f t="shared" si="0"/>
        <v>0.558354615559237</v>
      </c>
      <c r="X18" s="13">
        <f t="shared" si="0"/>
        <v>1.20250289402055</v>
      </c>
      <c r="Y18" s="13">
        <f t="shared" si="0"/>
        <v>0.984156019755251</v>
      </c>
      <c r="Z18" s="13">
        <f t="shared" si="0"/>
        <v>0.803578261528771</v>
      </c>
      <c r="AA18" s="13">
        <f t="shared" si="0"/>
        <v>1.07153371281508</v>
      </c>
      <c r="AB18" s="13">
        <f t="shared" si="0"/>
        <v>1.45115367138021</v>
      </c>
      <c r="AC18" s="13">
        <f t="shared" si="0"/>
        <v>1.33312765278668</v>
      </c>
      <c r="AD18" s="13">
        <f t="shared" si="0"/>
        <v>1.22581411721355</v>
      </c>
      <c r="AE18" s="13">
        <f t="shared" si="0"/>
        <v>0.867938130854876</v>
      </c>
      <c r="AF18" s="13">
        <f t="shared" si="0"/>
        <v>1.53395054648778</v>
      </c>
      <c r="AG18" s="13">
        <f t="shared" si="0"/>
        <v>1.0297222163644</v>
      </c>
      <c r="AH18" s="13">
        <f t="shared" si="0"/>
        <v>0.953565479629265</v>
      </c>
      <c r="AI18" s="13">
        <f t="shared" si="0"/>
        <v>0.969511833658953</v>
      </c>
    </row>
    <row r="19" spans="1:35">
      <c r="A19" s="15" t="s">
        <v>33</v>
      </c>
      <c r="B19" s="2">
        <v>3.34241323769808</v>
      </c>
      <c r="C19" s="15"/>
      <c r="D19" s="14" t="s">
        <v>16</v>
      </c>
      <c r="E19" s="13">
        <f t="shared" si="1"/>
        <v>0.413890622648278</v>
      </c>
      <c r="F19" s="13">
        <f t="shared" si="1"/>
        <v>0.477132579141334</v>
      </c>
      <c r="G19" s="13">
        <f t="shared" si="1"/>
        <v>1.17471113424388</v>
      </c>
      <c r="H19" s="13">
        <f t="shared" si="1"/>
        <v>1.31388222381891</v>
      </c>
      <c r="I19" s="13">
        <f t="shared" si="1"/>
        <v>0.782189082143979</v>
      </c>
      <c r="J19" s="13">
        <f t="shared" si="1"/>
        <v>0.855450688957371</v>
      </c>
      <c r="K19" s="13">
        <f t="shared" si="1"/>
        <v>1.05965598973405</v>
      </c>
      <c r="L19" s="13">
        <f t="shared" si="1"/>
        <v>1.24602146409804</v>
      </c>
      <c r="M19" s="13">
        <f t="shared" si="1"/>
        <v>0.396638122140214</v>
      </c>
      <c r="N19" s="13">
        <f t="shared" si="1"/>
        <v>0.565592566648067</v>
      </c>
      <c r="O19" s="13">
        <f t="shared" si="1"/>
        <v>0.610072331655742</v>
      </c>
      <c r="P19" s="13">
        <f t="shared" si="1"/>
        <v>1.34425468380856</v>
      </c>
      <c r="Q19" s="13">
        <f t="shared" si="1"/>
        <v>0.708330535166098</v>
      </c>
      <c r="R19" s="13">
        <f t="shared" si="1"/>
        <v>1.3587581340365</v>
      </c>
      <c r="S19" s="13">
        <f t="shared" si="1"/>
        <v>0.792507505884011</v>
      </c>
      <c r="T19" s="13">
        <f t="shared" ref="T19:AI33" si="2">IF($B19=T$2,0,$B19/T$2)</f>
        <v>1.24907559739745</v>
      </c>
      <c r="U19" s="13">
        <f t="shared" si="2"/>
        <v>0</v>
      </c>
      <c r="V19" s="13">
        <f t="shared" si="2"/>
        <v>1.19550508847333</v>
      </c>
      <c r="W19" s="13">
        <f t="shared" si="2"/>
        <v>0.69742712498928</v>
      </c>
      <c r="X19" s="13">
        <f t="shared" si="2"/>
        <v>1.50201702072089</v>
      </c>
      <c r="Y19" s="13">
        <f t="shared" si="2"/>
        <v>1.22928526830809</v>
      </c>
      <c r="Z19" s="13">
        <f t="shared" si="2"/>
        <v>1.00372999707466</v>
      </c>
      <c r="AA19" s="13">
        <f t="shared" si="2"/>
        <v>1.338426612466</v>
      </c>
      <c r="AB19" s="13">
        <f t="shared" si="2"/>
        <v>1.81260063899474</v>
      </c>
      <c r="AC19" s="13">
        <f t="shared" si="2"/>
        <v>1.66517721931159</v>
      </c>
      <c r="AD19" s="13">
        <f t="shared" si="2"/>
        <v>1.53113450075674</v>
      </c>
      <c r="AE19" s="13">
        <f t="shared" si="2"/>
        <v>1.08412033930158</v>
      </c>
      <c r="AF19" s="13">
        <f t="shared" si="2"/>
        <v>1.91602019523237</v>
      </c>
      <c r="AG19" s="13">
        <f t="shared" si="2"/>
        <v>1.28620089255879</v>
      </c>
      <c r="AH19" s="13">
        <f t="shared" si="2"/>
        <v>1.19107537112551</v>
      </c>
      <c r="AI19" s="13">
        <f t="shared" si="2"/>
        <v>1.21099357281146</v>
      </c>
    </row>
    <row r="20" spans="1:35">
      <c r="A20" s="15" t="s">
        <v>33</v>
      </c>
      <c r="B20" s="2">
        <v>2.79581682246655</v>
      </c>
      <c r="C20" s="15"/>
      <c r="D20" s="14" t="s">
        <v>17</v>
      </c>
      <c r="E20" s="13">
        <f t="shared" ref="E20:T33" si="3">IF($B20=E$2,0,$B20/E$2)</f>
        <v>0.346205655365985</v>
      </c>
      <c r="F20" s="13">
        <f t="shared" si="3"/>
        <v>0.399105435636947</v>
      </c>
      <c r="G20" s="13">
        <f t="shared" si="3"/>
        <v>0.982606553138142</v>
      </c>
      <c r="H20" s="13">
        <f t="shared" si="3"/>
        <v>1.09901851233168</v>
      </c>
      <c r="I20" s="13">
        <f t="shared" si="3"/>
        <v>0.654274991955779</v>
      </c>
      <c r="J20" s="13">
        <f t="shared" si="3"/>
        <v>0.715555874421071</v>
      </c>
      <c r="K20" s="13">
        <f t="shared" si="3"/>
        <v>0.886366774973113</v>
      </c>
      <c r="L20" s="13">
        <f t="shared" si="3"/>
        <v>1.04225525772477</v>
      </c>
      <c r="M20" s="13">
        <f t="shared" si="3"/>
        <v>0.33177451603048</v>
      </c>
      <c r="N20" s="13">
        <f t="shared" si="3"/>
        <v>0.473099254952009</v>
      </c>
      <c r="O20" s="13">
        <f t="shared" si="3"/>
        <v>0.510305089905399</v>
      </c>
      <c r="P20" s="13">
        <f t="shared" si="3"/>
        <v>1.12442405872583</v>
      </c>
      <c r="Q20" s="13">
        <f t="shared" si="3"/>
        <v>0.592494789018962</v>
      </c>
      <c r="R20" s="13">
        <f t="shared" si="3"/>
        <v>1.13655570949652</v>
      </c>
      <c r="S20" s="13">
        <f t="shared" si="3"/>
        <v>0.6629060081175</v>
      </c>
      <c r="T20" s="13">
        <f t="shared" si="3"/>
        <v>1.04480993802589</v>
      </c>
      <c r="U20" s="13">
        <f t="shared" si="2"/>
        <v>0.836466535894893</v>
      </c>
      <c r="V20" s="13">
        <f t="shared" si="2"/>
        <v>0</v>
      </c>
      <c r="W20" s="13">
        <f t="shared" si="2"/>
        <v>0.583374451278917</v>
      </c>
      <c r="X20" s="13">
        <f t="shared" si="2"/>
        <v>1.25638697417757</v>
      </c>
      <c r="Y20" s="13">
        <f t="shared" si="2"/>
        <v>1.02825599000829</v>
      </c>
      <c r="Z20" s="13">
        <f t="shared" si="2"/>
        <v>0.839586553626828</v>
      </c>
      <c r="AA20" s="13">
        <f t="shared" si="2"/>
        <v>1.11954907207897</v>
      </c>
      <c r="AB20" s="13">
        <f t="shared" si="2"/>
        <v>1.5161797774608</v>
      </c>
      <c r="AC20" s="13">
        <f t="shared" si="2"/>
        <v>1.39286502028865</v>
      </c>
      <c r="AD20" s="13">
        <f t="shared" si="2"/>
        <v>1.28074277183715</v>
      </c>
      <c r="AE20" s="13">
        <f t="shared" si="2"/>
        <v>0.906830384708791</v>
      </c>
      <c r="AF20" s="13">
        <f t="shared" si="2"/>
        <v>1.60268677541068</v>
      </c>
      <c r="AG20" s="13">
        <f t="shared" si="2"/>
        <v>1.07586400506357</v>
      </c>
      <c r="AH20" s="13">
        <f t="shared" si="2"/>
        <v>0.996294689675082</v>
      </c>
      <c r="AI20" s="13">
        <f t="shared" si="2"/>
        <v>1.01295559884058</v>
      </c>
    </row>
    <row r="21" spans="1:35">
      <c r="A21" s="15" t="s">
        <v>33</v>
      </c>
      <c r="B21" s="2">
        <v>4.79249102585372</v>
      </c>
      <c r="C21" s="15"/>
      <c r="D21" s="14" t="s">
        <v>18</v>
      </c>
      <c r="E21" s="13">
        <f t="shared" si="3"/>
        <v>0.593453577898393</v>
      </c>
      <c r="F21" s="13">
        <f t="shared" si="3"/>
        <v>0.684132523736682</v>
      </c>
      <c r="G21" s="13">
        <f t="shared" si="3"/>
        <v>1.6843496505272</v>
      </c>
      <c r="H21" s="13">
        <f t="shared" si="3"/>
        <v>1.88389894333276</v>
      </c>
      <c r="I21" s="13">
        <f t="shared" si="3"/>
        <v>1.12153521725442</v>
      </c>
      <c r="J21" s="13">
        <f t="shared" si="3"/>
        <v>1.22658075418349</v>
      </c>
      <c r="K21" s="13">
        <f t="shared" si="3"/>
        <v>1.51937880212264</v>
      </c>
      <c r="L21" s="13">
        <f t="shared" si="3"/>
        <v>1.78659736544831</v>
      </c>
      <c r="M21" s="13">
        <f t="shared" si="3"/>
        <v>0.568716225578853</v>
      </c>
      <c r="N21" s="13">
        <f t="shared" si="3"/>
        <v>0.810970130616529</v>
      </c>
      <c r="O21" s="13">
        <f t="shared" si="3"/>
        <v>0.874747066462492</v>
      </c>
      <c r="P21" s="13">
        <f t="shared" si="3"/>
        <v>1.9274482388812</v>
      </c>
      <c r="Q21" s="13">
        <f t="shared" si="3"/>
        <v>1.01563376270601</v>
      </c>
      <c r="R21" s="13">
        <f t="shared" si="3"/>
        <v>1.94824388864626</v>
      </c>
      <c r="S21" s="13">
        <f t="shared" si="3"/>
        <v>1.13633020209272</v>
      </c>
      <c r="T21" s="13">
        <f t="shared" si="3"/>
        <v>1.79097650871645</v>
      </c>
      <c r="U21" s="13">
        <f t="shared" si="2"/>
        <v>1.43384156447223</v>
      </c>
      <c r="V21" s="13">
        <f t="shared" si="2"/>
        <v>1.71416488639111</v>
      </c>
      <c r="W21" s="13">
        <f t="shared" si="2"/>
        <v>0</v>
      </c>
      <c r="X21" s="13">
        <f t="shared" si="2"/>
        <v>2.15365443485436</v>
      </c>
      <c r="Y21" s="13">
        <f t="shared" si="2"/>
        <v>1.76260031229354</v>
      </c>
      <c r="Z21" s="13">
        <f t="shared" si="2"/>
        <v>1.43918978931323</v>
      </c>
      <c r="AA21" s="13">
        <f t="shared" si="2"/>
        <v>1.91909170794953</v>
      </c>
      <c r="AB21" s="13">
        <f t="shared" si="2"/>
        <v>2.59898213597959</v>
      </c>
      <c r="AC21" s="13">
        <f t="shared" si="2"/>
        <v>2.38760030926125</v>
      </c>
      <c r="AD21" s="13">
        <f t="shared" si="2"/>
        <v>2.19540428798246</v>
      </c>
      <c r="AE21" s="13">
        <f t="shared" si="2"/>
        <v>1.55445680338035</v>
      </c>
      <c r="AF21" s="13">
        <f t="shared" si="2"/>
        <v>2.74726939429237</v>
      </c>
      <c r="AG21" s="13">
        <f t="shared" si="2"/>
        <v>1.84420830001207</v>
      </c>
      <c r="AH21" s="13">
        <f t="shared" si="2"/>
        <v>1.70781337353895</v>
      </c>
      <c r="AI21" s="13">
        <f t="shared" si="2"/>
        <v>1.7363729190058</v>
      </c>
    </row>
    <row r="22" spans="1:35">
      <c r="A22" s="15" t="s">
        <v>33</v>
      </c>
      <c r="B22" s="2">
        <v>2.22528319692003</v>
      </c>
      <c r="C22" s="15"/>
      <c r="D22" s="14" t="s">
        <v>19</v>
      </c>
      <c r="E22" s="13">
        <f t="shared" si="3"/>
        <v>0.275556546256468</v>
      </c>
      <c r="F22" s="13">
        <f t="shared" si="3"/>
        <v>0.317661233234451</v>
      </c>
      <c r="G22" s="13">
        <f t="shared" si="3"/>
        <v>0.782089096220816</v>
      </c>
      <c r="H22" s="13">
        <f t="shared" si="3"/>
        <v>0.874745229710056</v>
      </c>
      <c r="I22" s="13">
        <f t="shared" si="3"/>
        <v>0.520759133454139</v>
      </c>
      <c r="J22" s="13">
        <f t="shared" si="3"/>
        <v>0.569534617222113</v>
      </c>
      <c r="K22" s="13">
        <f t="shared" si="3"/>
        <v>0.705488669646012</v>
      </c>
      <c r="L22" s="13">
        <f t="shared" si="3"/>
        <v>0.829565475562995</v>
      </c>
      <c r="M22" s="13">
        <f t="shared" si="3"/>
        <v>0.264070324549217</v>
      </c>
      <c r="N22" s="13">
        <f t="shared" si="3"/>
        <v>0.376555364450272</v>
      </c>
      <c r="O22" s="13">
        <f t="shared" si="3"/>
        <v>0.406168720620049</v>
      </c>
      <c r="P22" s="13">
        <f t="shared" si="3"/>
        <v>0.894966345430221</v>
      </c>
      <c r="Q22" s="13">
        <f t="shared" si="3"/>
        <v>0.471586223987087</v>
      </c>
      <c r="R22" s="13">
        <f t="shared" si="3"/>
        <v>0.904622328037509</v>
      </c>
      <c r="S22" s="13">
        <f t="shared" si="3"/>
        <v>0.527628845047074</v>
      </c>
      <c r="T22" s="13">
        <f t="shared" si="3"/>
        <v>0.831598830216958</v>
      </c>
      <c r="U22" s="13">
        <f t="shared" si="2"/>
        <v>0.665771416837908</v>
      </c>
      <c r="V22" s="13">
        <f t="shared" si="2"/>
        <v>0.795933116589814</v>
      </c>
      <c r="W22" s="13">
        <f t="shared" si="2"/>
        <v>0.464327045145301</v>
      </c>
      <c r="X22" s="13">
        <f t="shared" si="2"/>
        <v>0</v>
      </c>
      <c r="Y22" s="13">
        <f t="shared" si="2"/>
        <v>0.818422994779445</v>
      </c>
      <c r="Z22" s="13">
        <f t="shared" si="2"/>
        <v>0.668254742275103</v>
      </c>
      <c r="AA22" s="13">
        <f t="shared" si="2"/>
        <v>0.891086182115053</v>
      </c>
      <c r="AB22" s="13">
        <f t="shared" si="2"/>
        <v>1.20677769558483</v>
      </c>
      <c r="AC22" s="13">
        <f t="shared" si="2"/>
        <v>1.10862739658728</v>
      </c>
      <c r="AD22" s="13">
        <f t="shared" si="2"/>
        <v>1.01938558593822</v>
      </c>
      <c r="AE22" s="13">
        <f t="shared" si="2"/>
        <v>0.721776334319608</v>
      </c>
      <c r="AF22" s="13">
        <f t="shared" si="2"/>
        <v>1.2756314800699</v>
      </c>
      <c r="AG22" s="13">
        <f t="shared" si="2"/>
        <v>0.856315790577045</v>
      </c>
      <c r="AH22" s="13">
        <f t="shared" si="2"/>
        <v>0.79298393739497</v>
      </c>
      <c r="AI22" s="13">
        <f t="shared" si="2"/>
        <v>0.806244906752284</v>
      </c>
    </row>
    <row r="23" spans="1:35">
      <c r="A23" s="15" t="s">
        <v>33</v>
      </c>
      <c r="B23" s="2">
        <v>2.71898909379949</v>
      </c>
      <c r="C23" s="15"/>
      <c r="D23" s="14" t="s">
        <v>20</v>
      </c>
      <c r="E23" s="13">
        <f t="shared" si="3"/>
        <v>0.336692087116549</v>
      </c>
      <c r="F23" s="13">
        <f t="shared" si="3"/>
        <v>0.388138206356307</v>
      </c>
      <c r="G23" s="13">
        <f t="shared" si="3"/>
        <v>0.955604988141346</v>
      </c>
      <c r="H23" s="13">
        <f t="shared" si="3"/>
        <v>1.06881800155895</v>
      </c>
      <c r="I23" s="13">
        <f t="shared" si="3"/>
        <v>0.636295823523968</v>
      </c>
      <c r="J23" s="13">
        <f t="shared" si="3"/>
        <v>0.695892736219607</v>
      </c>
      <c r="K23" s="13">
        <f t="shared" si="3"/>
        <v>0.862009833724348</v>
      </c>
      <c r="L23" s="13">
        <f t="shared" si="3"/>
        <v>1.01361457443721</v>
      </c>
      <c r="M23" s="13">
        <f t="shared" si="3"/>
        <v>0.322657508688867</v>
      </c>
      <c r="N23" s="13">
        <f t="shared" si="3"/>
        <v>0.460098710388446</v>
      </c>
      <c r="O23" s="13">
        <f t="shared" si="3"/>
        <v>0.496282146531705</v>
      </c>
      <c r="P23" s="13">
        <f t="shared" si="3"/>
        <v>1.09352541551133</v>
      </c>
      <c r="Q23" s="13">
        <f t="shared" si="3"/>
        <v>0.576213311448041</v>
      </c>
      <c r="R23" s="13">
        <f t="shared" si="3"/>
        <v>1.10532369423625</v>
      </c>
      <c r="S23" s="13">
        <f t="shared" si="3"/>
        <v>0.644689663429195</v>
      </c>
      <c r="T23" s="13">
        <f t="shared" si="3"/>
        <v>1.01609905332763</v>
      </c>
      <c r="U23" s="13">
        <f t="shared" si="2"/>
        <v>0.813480829698981</v>
      </c>
      <c r="V23" s="13">
        <f t="shared" si="2"/>
        <v>0.972520471280635</v>
      </c>
      <c r="W23" s="13">
        <f t="shared" si="2"/>
        <v>0.567343596290854</v>
      </c>
      <c r="X23" s="13">
        <f t="shared" si="2"/>
        <v>1.22186205223802</v>
      </c>
      <c r="Y23" s="13">
        <f t="shared" si="2"/>
        <v>0</v>
      </c>
      <c r="Z23" s="13">
        <f t="shared" si="2"/>
        <v>0.816515110814047</v>
      </c>
      <c r="AA23" s="13">
        <f t="shared" si="2"/>
        <v>1.08878439120004</v>
      </c>
      <c r="AB23" s="13">
        <f t="shared" si="2"/>
        <v>1.47451587172235</v>
      </c>
      <c r="AC23" s="13">
        <f t="shared" si="2"/>
        <v>1.35458974596143</v>
      </c>
      <c r="AD23" s="13">
        <f t="shared" si="2"/>
        <v>1.24554856405633</v>
      </c>
      <c r="AE23" s="13">
        <f t="shared" si="2"/>
        <v>0.881911113108593</v>
      </c>
      <c r="AF23" s="13">
        <f t="shared" si="2"/>
        <v>1.55864569813763</v>
      </c>
      <c r="AG23" s="13">
        <f t="shared" si="2"/>
        <v>1.04629976923829</v>
      </c>
      <c r="AH23" s="13">
        <f t="shared" si="2"/>
        <v>0.968916981137205</v>
      </c>
      <c r="AI23" s="13">
        <f t="shared" si="2"/>
        <v>0.985120056370798</v>
      </c>
    </row>
    <row r="24" spans="1:35">
      <c r="A24" s="15" t="s">
        <v>33</v>
      </c>
      <c r="B24" s="2">
        <v>3.32999237587743</v>
      </c>
      <c r="C24" s="15"/>
      <c r="D24" s="14" t="s">
        <v>21</v>
      </c>
      <c r="E24" s="13">
        <f t="shared" si="3"/>
        <v>0.412352548847351</v>
      </c>
      <c r="F24" s="13">
        <f t="shared" si="3"/>
        <v>0.475359489635583</v>
      </c>
      <c r="G24" s="13">
        <f t="shared" si="3"/>
        <v>1.17034574802741</v>
      </c>
      <c r="H24" s="13">
        <f t="shared" si="3"/>
        <v>1.30899965892041</v>
      </c>
      <c r="I24" s="13">
        <f t="shared" si="3"/>
        <v>0.779282361216311</v>
      </c>
      <c r="J24" s="13">
        <f t="shared" si="3"/>
        <v>0.852271717942633</v>
      </c>
      <c r="K24" s="13">
        <f t="shared" si="3"/>
        <v>1.0557181640704</v>
      </c>
      <c r="L24" s="13">
        <f t="shared" si="3"/>
        <v>1.24139107900485</v>
      </c>
      <c r="M24" s="13">
        <f t="shared" si="3"/>
        <v>0.395164160975766</v>
      </c>
      <c r="N24" s="13">
        <f t="shared" si="3"/>
        <v>0.56349074780715</v>
      </c>
      <c r="O24" s="13">
        <f t="shared" si="3"/>
        <v>0.607805219963318</v>
      </c>
      <c r="P24" s="13">
        <f t="shared" si="3"/>
        <v>1.33925925072117</v>
      </c>
      <c r="Q24" s="13">
        <f t="shared" si="3"/>
        <v>0.705698282636275</v>
      </c>
      <c r="R24" s="13">
        <f t="shared" si="3"/>
        <v>1.35370880415705</v>
      </c>
      <c r="S24" s="13">
        <f t="shared" si="3"/>
        <v>0.789562440291465</v>
      </c>
      <c r="T24" s="13">
        <f t="shared" si="3"/>
        <v>1.24443386272987</v>
      </c>
      <c r="U24" s="13">
        <f t="shared" si="2"/>
        <v>0.996283864101375</v>
      </c>
      <c r="V24" s="13">
        <f t="shared" si="2"/>
        <v>1.19106242909706</v>
      </c>
      <c r="W24" s="13">
        <f t="shared" si="2"/>
        <v>0.694835391013432</v>
      </c>
      <c r="X24" s="13">
        <f t="shared" si="2"/>
        <v>1.49643532134984</v>
      </c>
      <c r="Y24" s="13">
        <f t="shared" si="2"/>
        <v>1.22471707719288</v>
      </c>
      <c r="Z24" s="13">
        <f t="shared" si="2"/>
        <v>0</v>
      </c>
      <c r="AA24" s="13">
        <f t="shared" si="2"/>
        <v>1.33345283728374</v>
      </c>
      <c r="AB24" s="13">
        <f t="shared" si="2"/>
        <v>1.8058647686903</v>
      </c>
      <c r="AC24" s="13">
        <f t="shared" si="2"/>
        <v>1.65898919446933</v>
      </c>
      <c r="AD24" s="13">
        <f t="shared" si="2"/>
        <v>1.52544459687286</v>
      </c>
      <c r="AE24" s="13">
        <f t="shared" si="2"/>
        <v>1.08009160079027</v>
      </c>
      <c r="AF24" s="13">
        <f t="shared" si="2"/>
        <v>1.90890000380238</v>
      </c>
      <c r="AG24" s="13">
        <f t="shared" si="2"/>
        <v>1.28142119524911</v>
      </c>
      <c r="AH24" s="13">
        <f t="shared" si="2"/>
        <v>1.18664917318091</v>
      </c>
      <c r="AI24" s="13">
        <f t="shared" si="2"/>
        <v>1.20649335612253</v>
      </c>
    </row>
    <row r="25" spans="1:35">
      <c r="A25" s="15" t="s">
        <v>33</v>
      </c>
      <c r="B25" s="2">
        <v>2.49727045664446</v>
      </c>
      <c r="C25" s="15"/>
      <c r="D25" s="14" t="s">
        <v>22</v>
      </c>
      <c r="E25" s="13">
        <f t="shared" si="3"/>
        <v>0.309236695380481</v>
      </c>
      <c r="F25" s="13">
        <f t="shared" si="3"/>
        <v>0.356487665963421</v>
      </c>
      <c r="G25" s="13">
        <f t="shared" si="3"/>
        <v>0.877680646292231</v>
      </c>
      <c r="H25" s="13">
        <f t="shared" si="3"/>
        <v>0.981661759846606</v>
      </c>
      <c r="I25" s="13">
        <f t="shared" si="3"/>
        <v>0.584409391489028</v>
      </c>
      <c r="J25" s="13">
        <f t="shared" si="3"/>
        <v>0.639146503057969</v>
      </c>
      <c r="K25" s="13">
        <f t="shared" si="3"/>
        <v>0.791717663011548</v>
      </c>
      <c r="L25" s="13">
        <f t="shared" si="3"/>
        <v>0.930959869217101</v>
      </c>
      <c r="M25" s="13">
        <f t="shared" si="3"/>
        <v>0.296346559793385</v>
      </c>
      <c r="N25" s="13">
        <f t="shared" si="3"/>
        <v>0.422580185854181</v>
      </c>
      <c r="O25" s="13">
        <f t="shared" si="3"/>
        <v>0.455813061376376</v>
      </c>
      <c r="P25" s="13">
        <f t="shared" si="3"/>
        <v>1.00435441980029</v>
      </c>
      <c r="Q25" s="13">
        <f t="shared" si="3"/>
        <v>0.529226278504</v>
      </c>
      <c r="R25" s="13">
        <f t="shared" si="3"/>
        <v>1.01519061365123</v>
      </c>
      <c r="S25" s="13">
        <f t="shared" si="3"/>
        <v>0.592118759820416</v>
      </c>
      <c r="T25" s="13">
        <f t="shared" si="3"/>
        <v>0.933241752490318</v>
      </c>
      <c r="U25" s="13">
        <f t="shared" si="2"/>
        <v>0.747145932908144</v>
      </c>
      <c r="V25" s="13">
        <f t="shared" si="2"/>
        <v>0.893216764623837</v>
      </c>
      <c r="W25" s="13">
        <f t="shared" si="2"/>
        <v>0.52107983993556</v>
      </c>
      <c r="X25" s="13">
        <f t="shared" si="2"/>
        <v>1.12222590819042</v>
      </c>
      <c r="Y25" s="13">
        <f t="shared" si="2"/>
        <v>0.918455488600287</v>
      </c>
      <c r="Z25" s="13">
        <f t="shared" si="2"/>
        <v>0.749932785052233</v>
      </c>
      <c r="AA25" s="13">
        <f t="shared" si="2"/>
        <v>0</v>
      </c>
      <c r="AB25" s="13">
        <f t="shared" si="2"/>
        <v>1.35427719541162</v>
      </c>
      <c r="AC25" s="13">
        <f t="shared" si="2"/>
        <v>1.24413038697995</v>
      </c>
      <c r="AD25" s="13">
        <f t="shared" si="2"/>
        <v>1.14398091497574</v>
      </c>
      <c r="AE25" s="13">
        <f t="shared" si="2"/>
        <v>0.809996102292175</v>
      </c>
      <c r="AF25" s="13">
        <f t="shared" si="2"/>
        <v>1.43154669623773</v>
      </c>
      <c r="AG25" s="13">
        <f t="shared" si="2"/>
        <v>0.960979765778123</v>
      </c>
      <c r="AH25" s="13">
        <f t="shared" si="2"/>
        <v>0.889907119323486</v>
      </c>
      <c r="AI25" s="13">
        <f t="shared" si="2"/>
        <v>0.904788922703983</v>
      </c>
    </row>
    <row r="26" spans="1:35">
      <c r="A26" s="15" t="s">
        <v>33</v>
      </c>
      <c r="B26" s="2">
        <v>1.84398767483154</v>
      </c>
      <c r="C26" s="15"/>
      <c r="D26" s="14" t="s">
        <v>23</v>
      </c>
      <c r="E26" s="13">
        <f t="shared" si="3"/>
        <v>0.228340768365733</v>
      </c>
      <c r="F26" s="13">
        <f t="shared" si="3"/>
        <v>0.263230945017182</v>
      </c>
      <c r="G26" s="13">
        <f t="shared" si="3"/>
        <v>0.648080503212982</v>
      </c>
      <c r="H26" s="13">
        <f t="shared" si="3"/>
        <v>0.724860289438925</v>
      </c>
      <c r="I26" s="13">
        <f t="shared" si="3"/>
        <v>0.431528636433548</v>
      </c>
      <c r="J26" s="13">
        <f t="shared" si="3"/>
        <v>0.471946589090799</v>
      </c>
      <c r="K26" s="13">
        <f t="shared" si="3"/>
        <v>0.584605327250534</v>
      </c>
      <c r="L26" s="13">
        <f t="shared" si="3"/>
        <v>0.687421949045034</v>
      </c>
      <c r="M26" s="13">
        <f t="shared" si="3"/>
        <v>0.218822675887496</v>
      </c>
      <c r="N26" s="13">
        <f t="shared" si="3"/>
        <v>0.312033745592047</v>
      </c>
      <c r="O26" s="13">
        <f t="shared" si="3"/>
        <v>0.33657294305826</v>
      </c>
      <c r="P26" s="13">
        <f t="shared" si="3"/>
        <v>0.741616578351247</v>
      </c>
      <c r="Q26" s="13">
        <f t="shared" si="3"/>
        <v>0.390781355764574</v>
      </c>
      <c r="R26" s="13">
        <f t="shared" si="3"/>
        <v>0.74961803764455</v>
      </c>
      <c r="S26" s="13">
        <f t="shared" si="3"/>
        <v>0.437221243794513</v>
      </c>
      <c r="T26" s="13">
        <f t="shared" si="3"/>
        <v>0.689106894550243</v>
      </c>
      <c r="U26" s="13">
        <f t="shared" si="2"/>
        <v>0.551693505169784</v>
      </c>
      <c r="V26" s="13">
        <f t="shared" si="2"/>
        <v>0.659552392708162</v>
      </c>
      <c r="W26" s="13">
        <f t="shared" si="2"/>
        <v>0.384766015185821</v>
      </c>
      <c r="X26" s="13">
        <f t="shared" si="2"/>
        <v>0.828653034986185</v>
      </c>
      <c r="Y26" s="13">
        <f t="shared" si="2"/>
        <v>0.678188698526469</v>
      </c>
      <c r="Z26" s="13">
        <f t="shared" si="2"/>
        <v>0.553751320330174</v>
      </c>
      <c r="AA26" s="13">
        <f t="shared" si="2"/>
        <v>0.73840126924389</v>
      </c>
      <c r="AB26" s="13">
        <f t="shared" si="2"/>
        <v>0</v>
      </c>
      <c r="AC26" s="13">
        <f t="shared" si="2"/>
        <v>0.918667456850885</v>
      </c>
      <c r="AD26" s="13">
        <f t="shared" si="2"/>
        <v>0.844716959608875</v>
      </c>
      <c r="AE26" s="13">
        <f t="shared" si="2"/>
        <v>0.598102150015146</v>
      </c>
      <c r="AF26" s="13">
        <f t="shared" si="2"/>
        <v>1.05705589748384</v>
      </c>
      <c r="AG26" s="13">
        <f t="shared" si="2"/>
        <v>0.709588678768263</v>
      </c>
      <c r="AH26" s="13">
        <f t="shared" si="2"/>
        <v>0.657108546417636</v>
      </c>
      <c r="AI26" s="13">
        <f t="shared" si="2"/>
        <v>0.668097288922433</v>
      </c>
    </row>
    <row r="27" spans="1:35">
      <c r="A27" s="15" t="s">
        <v>33</v>
      </c>
      <c r="B27" s="2">
        <v>2.00724175116922</v>
      </c>
      <c r="C27" s="15"/>
      <c r="D27" s="14" t="s">
        <v>24</v>
      </c>
      <c r="E27" s="13">
        <f t="shared" si="3"/>
        <v>0.248556500682484</v>
      </c>
      <c r="F27" s="13">
        <f t="shared" si="3"/>
        <v>0.286535615313419</v>
      </c>
      <c r="G27" s="13">
        <f t="shared" si="3"/>
        <v>0.705457125295966</v>
      </c>
      <c r="H27" s="13">
        <f t="shared" si="3"/>
        <v>0.789034469473519</v>
      </c>
      <c r="I27" s="13">
        <f t="shared" si="3"/>
        <v>0.469733235041102</v>
      </c>
      <c r="J27" s="13">
        <f t="shared" si="3"/>
        <v>0.513729517216809</v>
      </c>
      <c r="K27" s="13">
        <f t="shared" si="3"/>
        <v>0.636362290718898</v>
      </c>
      <c r="L27" s="13">
        <f t="shared" si="3"/>
        <v>0.74828159408352</v>
      </c>
      <c r="M27" s="13">
        <f t="shared" si="3"/>
        <v>0.238195741294246</v>
      </c>
      <c r="N27" s="13">
        <f t="shared" si="3"/>
        <v>0.339659082582148</v>
      </c>
      <c r="O27" s="13">
        <f t="shared" si="3"/>
        <v>0.3663708130165</v>
      </c>
      <c r="P27" s="13">
        <f t="shared" si="3"/>
        <v>0.807274245779258</v>
      </c>
      <c r="Q27" s="13">
        <f t="shared" si="3"/>
        <v>0.425378468400459</v>
      </c>
      <c r="R27" s="13">
        <f t="shared" si="3"/>
        <v>0.815984099637292</v>
      </c>
      <c r="S27" s="13">
        <f t="shared" si="3"/>
        <v>0.475929826983609</v>
      </c>
      <c r="T27" s="13">
        <f t="shared" si="3"/>
        <v>0.750115713157451</v>
      </c>
      <c r="U27" s="13">
        <f t="shared" si="2"/>
        <v>0.600536680662384</v>
      </c>
      <c r="V27" s="13">
        <f t="shared" si="2"/>
        <v>0.717944657546761</v>
      </c>
      <c r="W27" s="13">
        <f t="shared" si="2"/>
        <v>0.418830570644972</v>
      </c>
      <c r="X27" s="13">
        <f t="shared" si="2"/>
        <v>0.902016315922127</v>
      </c>
      <c r="Y27" s="13">
        <f t="shared" si="2"/>
        <v>0.738230894616909</v>
      </c>
      <c r="Z27" s="13">
        <f t="shared" si="2"/>
        <v>0.602776680724478</v>
      </c>
      <c r="AA27" s="13">
        <f t="shared" si="2"/>
        <v>0.803774275160533</v>
      </c>
      <c r="AB27" s="13">
        <f t="shared" si="2"/>
        <v>1.08853317110842</v>
      </c>
      <c r="AC27" s="13">
        <f t="shared" si="2"/>
        <v>0</v>
      </c>
      <c r="AD27" s="13">
        <f t="shared" si="2"/>
        <v>0.91950243073211</v>
      </c>
      <c r="AE27" s="13">
        <f t="shared" si="2"/>
        <v>0.65105403000275</v>
      </c>
      <c r="AF27" s="13">
        <f t="shared" si="2"/>
        <v>1.15064040812694</v>
      </c>
      <c r="AG27" s="13">
        <f t="shared" si="2"/>
        <v>0.77241081468225</v>
      </c>
      <c r="AH27" s="13">
        <f t="shared" si="2"/>
        <v>0.715284449794433</v>
      </c>
      <c r="AI27" s="13">
        <f t="shared" si="2"/>
        <v>0.727246060519674</v>
      </c>
    </row>
    <row r="28" spans="1:35">
      <c r="A28" s="15" t="s">
        <v>33</v>
      </c>
      <c r="B28" s="2">
        <v>2.18296513862508</v>
      </c>
      <c r="C28" s="15"/>
      <c r="D28" s="14" t="s">
        <v>25</v>
      </c>
      <c r="E28" s="13">
        <f t="shared" si="3"/>
        <v>0.270316306270754</v>
      </c>
      <c r="F28" s="13">
        <f t="shared" si="3"/>
        <v>0.311620291297412</v>
      </c>
      <c r="G28" s="13">
        <f t="shared" si="3"/>
        <v>0.767216161390981</v>
      </c>
      <c r="H28" s="13">
        <f t="shared" si="3"/>
        <v>0.85811025952948</v>
      </c>
      <c r="I28" s="13">
        <f t="shared" si="3"/>
        <v>0.51085589264522</v>
      </c>
      <c r="J28" s="13">
        <f t="shared" si="3"/>
        <v>0.55870381637575</v>
      </c>
      <c r="K28" s="13">
        <f t="shared" si="3"/>
        <v>0.692072439887108</v>
      </c>
      <c r="L28" s="13">
        <f t="shared" si="3"/>
        <v>0.813789685675693</v>
      </c>
      <c r="M28" s="13">
        <f t="shared" si="3"/>
        <v>0.259048517255787</v>
      </c>
      <c r="N28" s="13">
        <f t="shared" si="3"/>
        <v>0.369394436849624</v>
      </c>
      <c r="O28" s="13">
        <f t="shared" si="3"/>
        <v>0.398444637851359</v>
      </c>
      <c r="P28" s="13">
        <f t="shared" si="3"/>
        <v>0.877946831675588</v>
      </c>
      <c r="Q28" s="13">
        <f t="shared" si="3"/>
        <v>0.462618101032937</v>
      </c>
      <c r="R28" s="13">
        <f t="shared" si="3"/>
        <v>0.887419187122326</v>
      </c>
      <c r="S28" s="13">
        <f t="shared" si="3"/>
        <v>0.517594963402839</v>
      </c>
      <c r="T28" s="13">
        <f t="shared" si="3"/>
        <v>0.81578437216333</v>
      </c>
      <c r="U28" s="13">
        <f t="shared" si="2"/>
        <v>0.653110487358076</v>
      </c>
      <c r="V28" s="13">
        <f t="shared" si="2"/>
        <v>0.780796910971874</v>
      </c>
      <c r="W28" s="13">
        <f t="shared" si="2"/>
        <v>0.45549696949849</v>
      </c>
      <c r="X28" s="13">
        <f t="shared" si="2"/>
        <v>0.980983068423146</v>
      </c>
      <c r="Y28" s="13">
        <f t="shared" si="2"/>
        <v>0.8028591006868</v>
      </c>
      <c r="Z28" s="13">
        <f t="shared" si="2"/>
        <v>0.655546587565349</v>
      </c>
      <c r="AA28" s="13">
        <f t="shared" si="2"/>
        <v>0.87414045716069</v>
      </c>
      <c r="AB28" s="13">
        <f t="shared" si="2"/>
        <v>1.18382848671942</v>
      </c>
      <c r="AC28" s="13">
        <f t="shared" si="2"/>
        <v>1.08754470524216</v>
      </c>
      <c r="AD28" s="13">
        <f t="shared" si="2"/>
        <v>0</v>
      </c>
      <c r="AE28" s="13">
        <f t="shared" si="2"/>
        <v>0.708050363156059</v>
      </c>
      <c r="AF28" s="13">
        <f t="shared" si="2"/>
        <v>1.25137288349613</v>
      </c>
      <c r="AG28" s="13">
        <f t="shared" si="2"/>
        <v>0.840031291779462</v>
      </c>
      <c r="AH28" s="13">
        <f t="shared" si="2"/>
        <v>0.777903816115985</v>
      </c>
      <c r="AI28" s="13">
        <f t="shared" si="2"/>
        <v>0.790912602526388</v>
      </c>
    </row>
    <row r="29" spans="1:35">
      <c r="A29" s="15" t="s">
        <v>33</v>
      </c>
      <c r="B29" s="2">
        <v>3.08306478213604</v>
      </c>
      <c r="C29" s="15"/>
      <c r="D29" s="14" t="s">
        <v>26</v>
      </c>
      <c r="E29" s="13">
        <f t="shared" si="3"/>
        <v>0.38177553509873</v>
      </c>
      <c r="F29" s="13">
        <f t="shared" si="3"/>
        <v>0.440110347388847</v>
      </c>
      <c r="G29" s="13">
        <f t="shared" si="3"/>
        <v>1.08356156752917</v>
      </c>
      <c r="H29" s="13">
        <f t="shared" si="3"/>
        <v>1.21193393038391</v>
      </c>
      <c r="I29" s="13">
        <f t="shared" si="3"/>
        <v>0.721496547742923</v>
      </c>
      <c r="J29" s="13">
        <f t="shared" si="3"/>
        <v>0.789073553871771</v>
      </c>
      <c r="K29" s="13">
        <f t="shared" si="3"/>
        <v>0.97743391699182</v>
      </c>
      <c r="L29" s="13">
        <f t="shared" si="3"/>
        <v>1.14933870247352</v>
      </c>
      <c r="M29" s="13">
        <f t="shared" si="3"/>
        <v>0.365861710883257</v>
      </c>
      <c r="N29" s="13">
        <f t="shared" si="3"/>
        <v>0.521706443596875</v>
      </c>
      <c r="O29" s="13">
        <f t="shared" si="3"/>
        <v>0.562734882410532</v>
      </c>
      <c r="P29" s="13">
        <f t="shared" si="3"/>
        <v>1.2399496947678</v>
      </c>
      <c r="Q29" s="13">
        <f t="shared" si="3"/>
        <v>0.653368919932286</v>
      </c>
      <c r="R29" s="13">
        <f t="shared" si="3"/>
        <v>1.25332777624285</v>
      </c>
      <c r="S29" s="13">
        <f t="shared" si="3"/>
        <v>0.731014332223085</v>
      </c>
      <c r="T29" s="13">
        <f t="shared" si="3"/>
        <v>1.1521558558731</v>
      </c>
      <c r="U29" s="13">
        <f t="shared" si="2"/>
        <v>0.922406824914128</v>
      </c>
      <c r="V29" s="13">
        <f t="shared" si="2"/>
        <v>1.10274205282736</v>
      </c>
      <c r="W29" s="13">
        <f t="shared" si="2"/>
        <v>0.64331153997035</v>
      </c>
      <c r="X29" s="13">
        <f t="shared" si="2"/>
        <v>1.38547075105013</v>
      </c>
      <c r="Y29" s="13">
        <f t="shared" si="2"/>
        <v>1.13390112125378</v>
      </c>
      <c r="Z29" s="13">
        <f t="shared" si="2"/>
        <v>0.9258473996727</v>
      </c>
      <c r="AA29" s="13">
        <f t="shared" si="2"/>
        <v>1.23457384198534</v>
      </c>
      <c r="AB29" s="13">
        <f t="shared" si="2"/>
        <v>1.67195520025246</v>
      </c>
      <c r="AC29" s="13">
        <f t="shared" si="2"/>
        <v>1.53597083178454</v>
      </c>
      <c r="AD29" s="13">
        <f t="shared" si="2"/>
        <v>1.4123289133595</v>
      </c>
      <c r="AE29" s="13">
        <f t="shared" si="2"/>
        <v>0</v>
      </c>
      <c r="AF29" s="13">
        <f t="shared" si="2"/>
        <v>1.76735010475564</v>
      </c>
      <c r="AG29" s="13">
        <f t="shared" si="2"/>
        <v>1.18640048150687</v>
      </c>
      <c r="AH29" s="13">
        <f t="shared" si="2"/>
        <v>1.0986560513133</v>
      </c>
      <c r="AI29" s="13">
        <f t="shared" si="2"/>
        <v>1.11702873648843</v>
      </c>
    </row>
    <row r="30" spans="1:35">
      <c r="A30" s="15" t="s">
        <v>33</v>
      </c>
      <c r="B30" s="2">
        <v>1.74445616283952</v>
      </c>
      <c r="C30" s="15"/>
      <c r="D30" s="14" t="s">
        <v>27</v>
      </c>
      <c r="E30" s="13">
        <f t="shared" si="3"/>
        <v>0.216015793402471</v>
      </c>
      <c r="F30" s="13">
        <f t="shared" si="3"/>
        <v>0.249022729681338</v>
      </c>
      <c r="G30" s="13">
        <f t="shared" si="3"/>
        <v>0.613099557701384</v>
      </c>
      <c r="H30" s="13">
        <f t="shared" si="3"/>
        <v>0.685735060146151</v>
      </c>
      <c r="I30" s="13">
        <f t="shared" si="3"/>
        <v>0.408236345363321</v>
      </c>
      <c r="J30" s="13">
        <f t="shared" si="3"/>
        <v>0.446472689111517</v>
      </c>
      <c r="K30" s="13">
        <f t="shared" si="3"/>
        <v>0.553050532750536</v>
      </c>
      <c r="L30" s="13">
        <f t="shared" si="3"/>
        <v>0.65031750040971</v>
      </c>
      <c r="M30" s="13">
        <f t="shared" si="3"/>
        <v>0.207011451720169</v>
      </c>
      <c r="N30" s="13">
        <f t="shared" si="3"/>
        <v>0.29519133882588</v>
      </c>
      <c r="O30" s="13">
        <f t="shared" si="3"/>
        <v>0.318406002804033</v>
      </c>
      <c r="P30" s="13">
        <f t="shared" si="3"/>
        <v>0.701586907671157</v>
      </c>
      <c r="Q30" s="13">
        <f t="shared" si="3"/>
        <v>0.369688449489539</v>
      </c>
      <c r="R30" s="13">
        <f t="shared" si="3"/>
        <v>0.709156478317657</v>
      </c>
      <c r="S30" s="13">
        <f t="shared" si="3"/>
        <v>0.41362168721186</v>
      </c>
      <c r="T30" s="13">
        <f t="shared" si="3"/>
        <v>0.651911498900443</v>
      </c>
      <c r="U30" s="13">
        <f t="shared" si="2"/>
        <v>0.521915166911235</v>
      </c>
      <c r="V30" s="13">
        <f t="shared" si="2"/>
        <v>0.623952237793787</v>
      </c>
      <c r="W30" s="13">
        <f t="shared" si="2"/>
        <v>0.363997794347203</v>
      </c>
      <c r="X30" s="13">
        <f t="shared" si="2"/>
        <v>0.78392546407306</v>
      </c>
      <c r="Y30" s="13">
        <f t="shared" si="2"/>
        <v>0.64158262599054</v>
      </c>
      <c r="Z30" s="13">
        <f t="shared" si="2"/>
        <v>0.523861908957033</v>
      </c>
      <c r="AA30" s="13">
        <f t="shared" si="2"/>
        <v>0.698545148843634</v>
      </c>
      <c r="AB30" s="13">
        <f t="shared" si="2"/>
        <v>0.946023765044352</v>
      </c>
      <c r="AC30" s="13">
        <f t="shared" si="2"/>
        <v>0.869081246353795</v>
      </c>
      <c r="AD30" s="13">
        <f t="shared" si="2"/>
        <v>0.799122318526006</v>
      </c>
      <c r="AE30" s="13">
        <f t="shared" si="2"/>
        <v>0.565818847838451</v>
      </c>
      <c r="AF30" s="13">
        <f t="shared" si="2"/>
        <v>0</v>
      </c>
      <c r="AG30" s="13">
        <f t="shared" si="2"/>
        <v>0.6712877535212</v>
      </c>
      <c r="AH30" s="13">
        <f t="shared" si="2"/>
        <v>0.621640301124834</v>
      </c>
      <c r="AI30" s="13">
        <f t="shared" si="2"/>
        <v>0.632035912682325</v>
      </c>
    </row>
    <row r="31" spans="1:35">
      <c r="A31" s="15" t="s">
        <v>33</v>
      </c>
      <c r="B31" s="2">
        <v>2.59867121616487</v>
      </c>
      <c r="C31" s="15"/>
      <c r="D31" s="14" t="s">
        <v>28</v>
      </c>
      <c r="E31" s="13">
        <f t="shared" si="3"/>
        <v>0.321793139036685</v>
      </c>
      <c r="F31" s="13">
        <f t="shared" si="3"/>
        <v>0.370962718111724</v>
      </c>
      <c r="G31" s="13">
        <f t="shared" si="3"/>
        <v>0.913318550033732</v>
      </c>
      <c r="H31" s="13">
        <f t="shared" si="3"/>
        <v>1.02152177892293</v>
      </c>
      <c r="I31" s="13">
        <f t="shared" si="3"/>
        <v>0.608139122487996</v>
      </c>
      <c r="J31" s="13">
        <f t="shared" si="3"/>
        <v>0.665098814583719</v>
      </c>
      <c r="K31" s="13">
        <f t="shared" si="3"/>
        <v>0.823865071051188</v>
      </c>
      <c r="L31" s="13">
        <f t="shared" si="3"/>
        <v>0.968761156446708</v>
      </c>
      <c r="M31" s="13">
        <f t="shared" si="3"/>
        <v>0.308379604177646</v>
      </c>
      <c r="N31" s="13">
        <f t="shared" si="3"/>
        <v>0.439738900758239</v>
      </c>
      <c r="O31" s="13">
        <f t="shared" si="3"/>
        <v>0.474321185116001</v>
      </c>
      <c r="P31" s="13">
        <f t="shared" si="3"/>
        <v>1.04513586608876</v>
      </c>
      <c r="Q31" s="13">
        <f t="shared" si="3"/>
        <v>0.550715319250739</v>
      </c>
      <c r="R31" s="13">
        <f t="shared" si="3"/>
        <v>1.05641205965373</v>
      </c>
      <c r="S31" s="13">
        <f t="shared" si="3"/>
        <v>0.616161526919317</v>
      </c>
      <c r="T31" s="13">
        <f t="shared" si="3"/>
        <v>0.971135694761122</v>
      </c>
      <c r="U31" s="13">
        <f t="shared" si="2"/>
        <v>0.777483522041868</v>
      </c>
      <c r="V31" s="13">
        <f t="shared" si="2"/>
        <v>0.929485506805216</v>
      </c>
      <c r="W31" s="13">
        <f t="shared" si="2"/>
        <v>0.542238097504199</v>
      </c>
      <c r="X31" s="13">
        <f t="shared" si="2"/>
        <v>1.16779348343691</v>
      </c>
      <c r="Y31" s="13">
        <f t="shared" si="2"/>
        <v>0.955749039998356</v>
      </c>
      <c r="Z31" s="13">
        <f t="shared" si="2"/>
        <v>0.780383533304677</v>
      </c>
      <c r="AA31" s="13">
        <f t="shared" si="2"/>
        <v>1.04060463665463</v>
      </c>
      <c r="AB31" s="13">
        <f t="shared" si="2"/>
        <v>1.40926712886097</v>
      </c>
      <c r="AC31" s="13">
        <f t="shared" si="2"/>
        <v>1.29464784929426</v>
      </c>
      <c r="AD31" s="13">
        <f t="shared" si="2"/>
        <v>1.19043184436817</v>
      </c>
      <c r="AE31" s="13">
        <f t="shared" si="2"/>
        <v>0.842885699717419</v>
      </c>
      <c r="AF31" s="13">
        <f t="shared" si="2"/>
        <v>1.48967412969261</v>
      </c>
      <c r="AG31" s="13">
        <f t="shared" si="2"/>
        <v>0</v>
      </c>
      <c r="AH31" s="13">
        <f t="shared" si="2"/>
        <v>0.926041474559989</v>
      </c>
      <c r="AI31" s="13">
        <f t="shared" si="2"/>
        <v>0.941527548159517</v>
      </c>
    </row>
    <row r="32" spans="1:35">
      <c r="A32" s="15" t="s">
        <v>33</v>
      </c>
      <c r="B32" s="2">
        <v>2.80621471883819</v>
      </c>
      <c r="C32" s="15"/>
      <c r="D32" s="14" t="s">
        <v>29</v>
      </c>
      <c r="E32" s="13">
        <f t="shared" si="3"/>
        <v>0.34749322560265</v>
      </c>
      <c r="F32" s="13">
        <f t="shared" si="3"/>
        <v>0.400589744954985</v>
      </c>
      <c r="G32" s="13">
        <f t="shared" si="3"/>
        <v>0.986260956041627</v>
      </c>
      <c r="H32" s="13">
        <f t="shared" si="3"/>
        <v>1.10310586187115</v>
      </c>
      <c r="I32" s="13">
        <f t="shared" si="3"/>
        <v>0.65670830000023</v>
      </c>
      <c r="J32" s="13">
        <f t="shared" si="3"/>
        <v>0.718217091626206</v>
      </c>
      <c r="K32" s="13">
        <f t="shared" si="3"/>
        <v>0.889663253411679</v>
      </c>
      <c r="L32" s="13">
        <f t="shared" si="3"/>
        <v>1.04613149957135</v>
      </c>
      <c r="M32" s="13">
        <f t="shared" si="3"/>
        <v>0.333008415550906</v>
      </c>
      <c r="N32" s="13">
        <f t="shared" si="3"/>
        <v>0.474858753996069</v>
      </c>
      <c r="O32" s="13">
        <f t="shared" si="3"/>
        <v>0.512202960824596</v>
      </c>
      <c r="P32" s="13">
        <f t="shared" si="3"/>
        <v>1.12860589379688</v>
      </c>
      <c r="Q32" s="13">
        <f t="shared" si="3"/>
        <v>0.5946983308846</v>
      </c>
      <c r="R32" s="13">
        <f t="shared" si="3"/>
        <v>1.14078266327724</v>
      </c>
      <c r="S32" s="13">
        <f t="shared" si="3"/>
        <v>0.665371415693976</v>
      </c>
      <c r="T32" s="13">
        <f t="shared" si="3"/>
        <v>1.04869568096025</v>
      </c>
      <c r="U32" s="13">
        <f t="shared" si="2"/>
        <v>0.83957743081787</v>
      </c>
      <c r="V32" s="13">
        <f t="shared" si="2"/>
        <v>1.00371909071013</v>
      </c>
      <c r="W32" s="13">
        <f t="shared" si="2"/>
        <v>0.585544073781193</v>
      </c>
      <c r="X32" s="13">
        <f t="shared" si="2"/>
        <v>1.26105959130156</v>
      </c>
      <c r="Y32" s="13">
        <f t="shared" si="2"/>
        <v>1.03208016730836</v>
      </c>
      <c r="Z32" s="13">
        <f t="shared" si="2"/>
        <v>0.842709052178768</v>
      </c>
      <c r="AA32" s="13">
        <f t="shared" si="2"/>
        <v>1.12371277663247</v>
      </c>
      <c r="AB32" s="13">
        <f t="shared" si="2"/>
        <v>1.52181858758604</v>
      </c>
      <c r="AC32" s="13">
        <f t="shared" si="2"/>
        <v>1.39804521164607</v>
      </c>
      <c r="AD32" s="13">
        <f t="shared" si="2"/>
        <v>1.28550597038195</v>
      </c>
      <c r="AE32" s="13">
        <f t="shared" si="2"/>
        <v>0.910202969168221</v>
      </c>
      <c r="AF32" s="13">
        <f t="shared" si="2"/>
        <v>1.60864731290835</v>
      </c>
      <c r="AG32" s="13">
        <f t="shared" si="2"/>
        <v>1.07986524089016</v>
      </c>
      <c r="AH32" s="13">
        <f t="shared" si="2"/>
        <v>0</v>
      </c>
      <c r="AI32" s="13">
        <f t="shared" si="2"/>
        <v>1.016722872598</v>
      </c>
    </row>
    <row r="33" spans="1:35">
      <c r="A33" s="15" t="s">
        <v>33</v>
      </c>
      <c r="B33" s="2">
        <v>2.76005861033457</v>
      </c>
      <c r="C33" s="15"/>
      <c r="D33" s="14" t="s">
        <v>30</v>
      </c>
      <c r="E33" s="13">
        <f t="shared" si="3"/>
        <v>0.341777720328758</v>
      </c>
      <c r="F33" s="13">
        <f t="shared" si="3"/>
        <v>0.394000917803071</v>
      </c>
      <c r="G33" s="13">
        <f t="shared" si="3"/>
        <v>0.970039115498079</v>
      </c>
      <c r="H33" s="13">
        <f t="shared" si="3"/>
        <v>1.08496217760148</v>
      </c>
      <c r="I33" s="13">
        <f t="shared" si="3"/>
        <v>0.645906881510559</v>
      </c>
      <c r="J33" s="13">
        <f t="shared" si="3"/>
        <v>0.706403987736571</v>
      </c>
      <c r="K33" s="13">
        <f t="shared" si="3"/>
        <v>0.875030234284347</v>
      </c>
      <c r="L33" s="13">
        <f t="shared" si="3"/>
        <v>1.0289249192341</v>
      </c>
      <c r="M33" s="13">
        <f t="shared" si="3"/>
        <v>0.327531153794132</v>
      </c>
      <c r="N33" s="13">
        <f t="shared" si="3"/>
        <v>0.4670483637126</v>
      </c>
      <c r="O33" s="13">
        <f t="shared" si="3"/>
        <v>0.503778339829989</v>
      </c>
      <c r="P33" s="13">
        <f t="shared" si="3"/>
        <v>1.11004278964729</v>
      </c>
      <c r="Q33" s="13">
        <f t="shared" si="3"/>
        <v>0.584916841070948</v>
      </c>
      <c r="R33" s="13">
        <f t="shared" si="3"/>
        <v>1.12201927784141</v>
      </c>
      <c r="S33" s="13">
        <f t="shared" si="3"/>
        <v>0.654427507855484</v>
      </c>
      <c r="T33" s="13">
        <f t="shared" si="3"/>
        <v>1.03144692543461</v>
      </c>
      <c r="U33" s="13">
        <f t="shared" si="2"/>
        <v>0.825768214176718</v>
      </c>
      <c r="V33" s="13">
        <f t="shared" si="2"/>
        <v>0.987210101947797</v>
      </c>
      <c r="W33" s="13">
        <f t="shared" si="2"/>
        <v>0.5759131515208</v>
      </c>
      <c r="X33" s="13">
        <f t="shared" si="2"/>
        <v>1.24031791286372</v>
      </c>
      <c r="Y33" s="13">
        <f t="shared" si="2"/>
        <v>1.01510470072452</v>
      </c>
      <c r="Z33" s="13">
        <f t="shared" si="2"/>
        <v>0.828848327199941</v>
      </c>
      <c r="AA33" s="13">
        <f t="shared" si="2"/>
        <v>1.10523015358265</v>
      </c>
      <c r="AB33" s="13">
        <f t="shared" si="2"/>
        <v>1.49678799267827</v>
      </c>
      <c r="AC33" s="13">
        <f t="shared" si="2"/>
        <v>1.37505041867868</v>
      </c>
      <c r="AD33" s="13">
        <f t="shared" si="2"/>
        <v>1.26436220235426</v>
      </c>
      <c r="AE33" s="13">
        <f t="shared" si="2"/>
        <v>0.895232116537725</v>
      </c>
      <c r="AF33" s="13">
        <f t="shared" si="2"/>
        <v>1.58218857494356</v>
      </c>
      <c r="AG33" s="13">
        <f t="shared" si="2"/>
        <v>1.06210381412077</v>
      </c>
      <c r="AH33" s="13">
        <f t="shared" si="2"/>
        <v>0.983552182164187</v>
      </c>
      <c r="AI33" s="13">
        <f t="shared" si="2"/>
        <v>0</v>
      </c>
    </row>
    <row r="34" spans="1:3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</row>
    <row r="35" spans="1:66">
      <c r="A35" s="13"/>
      <c r="B35" s="16" t="s">
        <v>34</v>
      </c>
      <c r="C35" s="16"/>
      <c r="D35" s="13"/>
      <c r="E35" s="14" t="s">
        <v>0</v>
      </c>
      <c r="F35" s="14" t="s">
        <v>1</v>
      </c>
      <c r="G35" s="14" t="s">
        <v>2</v>
      </c>
      <c r="H35" s="14" t="s">
        <v>3</v>
      </c>
      <c r="I35" s="14" t="s">
        <v>4</v>
      </c>
      <c r="J35" s="14" t="s">
        <v>5</v>
      </c>
      <c r="K35" s="14" t="s">
        <v>6</v>
      </c>
      <c r="L35" s="14" t="s">
        <v>7</v>
      </c>
      <c r="M35" s="14" t="s">
        <v>8</v>
      </c>
      <c r="N35" s="14" t="s">
        <v>9</v>
      </c>
      <c r="O35" s="14" t="s">
        <v>10</v>
      </c>
      <c r="P35" s="14" t="s">
        <v>11</v>
      </c>
      <c r="Q35" s="14" t="s">
        <v>12</v>
      </c>
      <c r="R35" s="14" t="s">
        <v>13</v>
      </c>
      <c r="S35" s="14" t="s">
        <v>14</v>
      </c>
      <c r="T35" s="14" t="s">
        <v>15</v>
      </c>
      <c r="U35" s="14" t="s">
        <v>16</v>
      </c>
      <c r="V35" s="14" t="s">
        <v>17</v>
      </c>
      <c r="W35" s="14" t="s">
        <v>18</v>
      </c>
      <c r="X35" s="14" t="s">
        <v>19</v>
      </c>
      <c r="Y35" s="14" t="s">
        <v>20</v>
      </c>
      <c r="Z35" s="14" t="s">
        <v>21</v>
      </c>
      <c r="AA35" s="14" t="s">
        <v>22</v>
      </c>
      <c r="AB35" s="14" t="s">
        <v>23</v>
      </c>
      <c r="AC35" s="14" t="s">
        <v>24</v>
      </c>
      <c r="AD35" s="14" t="s">
        <v>25</v>
      </c>
      <c r="AE35" s="14" t="s">
        <v>26</v>
      </c>
      <c r="AF35" s="14" t="s">
        <v>27</v>
      </c>
      <c r="AG35" s="14" t="s">
        <v>28</v>
      </c>
      <c r="AH35" s="14" t="s">
        <v>29</v>
      </c>
      <c r="AI35" s="14" t="s">
        <v>30</v>
      </c>
      <c r="AJ35">
        <v>1</v>
      </c>
      <c r="AK35">
        <v>2</v>
      </c>
      <c r="AL35">
        <v>3</v>
      </c>
      <c r="AM35">
        <v>4</v>
      </c>
      <c r="AN35">
        <v>5</v>
      </c>
      <c r="AO35">
        <v>6</v>
      </c>
      <c r="AP35">
        <v>7</v>
      </c>
      <c r="AQ35">
        <v>8</v>
      </c>
      <c r="AR35">
        <v>9</v>
      </c>
      <c r="AS35">
        <v>10</v>
      </c>
      <c r="AT35">
        <v>11</v>
      </c>
      <c r="AU35">
        <v>12</v>
      </c>
      <c r="AV35">
        <v>13</v>
      </c>
      <c r="AW35">
        <v>14</v>
      </c>
      <c r="AX35">
        <v>15</v>
      </c>
      <c r="AY35">
        <v>16</v>
      </c>
      <c r="AZ35">
        <v>17</v>
      </c>
      <c r="BA35">
        <v>18</v>
      </c>
      <c r="BB35">
        <v>19</v>
      </c>
      <c r="BC35">
        <v>20</v>
      </c>
      <c r="BD35">
        <v>21</v>
      </c>
      <c r="BE35">
        <v>22</v>
      </c>
      <c r="BF35">
        <v>23</v>
      </c>
      <c r="BG35">
        <v>24</v>
      </c>
      <c r="BH35">
        <v>25</v>
      </c>
      <c r="BI35">
        <v>26</v>
      </c>
      <c r="BJ35">
        <v>27</v>
      </c>
      <c r="BK35">
        <v>28</v>
      </c>
      <c r="BL35">
        <v>29</v>
      </c>
      <c r="BM35">
        <v>30</v>
      </c>
      <c r="BN35">
        <v>31</v>
      </c>
    </row>
    <row r="36" spans="1:66">
      <c r="A36" s="13"/>
      <c r="B36" s="13" t="s">
        <v>43</v>
      </c>
      <c r="C36" s="13"/>
      <c r="D36" s="14" t="s">
        <v>0</v>
      </c>
      <c r="E36" s="13">
        <v>0</v>
      </c>
      <c r="F36" s="13">
        <f t="shared" ref="F36:AC36" si="4">1/ABS(F3)</f>
        <v>0.867454122275892</v>
      </c>
      <c r="G36" s="13">
        <f t="shared" si="4"/>
        <v>0.352333957330441</v>
      </c>
      <c r="H36" s="13">
        <f t="shared" si="4"/>
        <v>0.315013488381988</v>
      </c>
      <c r="I36" s="13">
        <f t="shared" si="4"/>
        <v>0.529143952653756</v>
      </c>
      <c r="J36" s="13">
        <f t="shared" si="4"/>
        <v>0.483827563635177</v>
      </c>
      <c r="K36" s="13">
        <f t="shared" si="4"/>
        <v>0.390589612721537</v>
      </c>
      <c r="L36" s="13">
        <f t="shared" si="4"/>
        <v>0.332169737499572</v>
      </c>
      <c r="M36" s="13">
        <f t="shared" si="4"/>
        <v>1.04349682883474</v>
      </c>
      <c r="N36" s="13">
        <f t="shared" si="4"/>
        <v>0.731782288266559</v>
      </c>
      <c r="O36" s="13">
        <f t="shared" si="4"/>
        <v>0.678428771757236</v>
      </c>
      <c r="P36" s="13">
        <f t="shared" si="4"/>
        <v>0.307895986998265</v>
      </c>
      <c r="Q36" s="13">
        <f t="shared" si="4"/>
        <v>0.584318481415211</v>
      </c>
      <c r="R36" s="13">
        <f t="shared" si="4"/>
        <v>0.304609490298853</v>
      </c>
      <c r="S36" s="13">
        <f t="shared" si="4"/>
        <v>0.522254514405639</v>
      </c>
      <c r="T36" s="13">
        <f t="shared" si="4"/>
        <v>0.331357544339711</v>
      </c>
      <c r="U36" s="13">
        <f t="shared" si="4"/>
        <v>0.413890622648278</v>
      </c>
      <c r="V36" s="13">
        <f t="shared" si="4"/>
        <v>0.346205655365985</v>
      </c>
      <c r="W36" s="13">
        <f t="shared" si="4"/>
        <v>0.593453577898393</v>
      </c>
      <c r="X36" s="13">
        <f t="shared" si="4"/>
        <v>0.275556546256468</v>
      </c>
      <c r="Y36" s="13">
        <f t="shared" si="4"/>
        <v>0.336692087116549</v>
      </c>
      <c r="Z36" s="13">
        <f t="shared" si="4"/>
        <v>0.412352548847351</v>
      </c>
      <c r="AA36" s="13">
        <f t="shared" si="4"/>
        <v>0.309236695380481</v>
      </c>
      <c r="AB36" s="13">
        <f t="shared" si="4"/>
        <v>0.228340768365733</v>
      </c>
      <c r="AC36" s="13">
        <f t="shared" si="4"/>
        <v>0.248556500682484</v>
      </c>
      <c r="AD36" s="13">
        <f t="shared" ref="AD36:AF45" si="5">1/ABS(AD3)</f>
        <v>0.270316306270754</v>
      </c>
      <c r="AE36" s="13">
        <f t="shared" si="5"/>
        <v>0.38177553509873</v>
      </c>
      <c r="AF36" s="13">
        <f t="shared" si="5"/>
        <v>0.216015793402471</v>
      </c>
      <c r="AG36" s="13">
        <f t="shared" ref="AG36:AI45" si="6">1/ABS(AG3)</f>
        <v>0.321793139036685</v>
      </c>
      <c r="AH36" s="13">
        <f t="shared" si="6"/>
        <v>0.34749322560265</v>
      </c>
      <c r="AI36" s="13">
        <f t="shared" si="6"/>
        <v>0.341777720328758</v>
      </c>
      <c r="AJ36" s="13">
        <f>SUM(E36:AI36)</f>
        <v>12.8181330631163</v>
      </c>
      <c r="AK36" s="13">
        <f>$AJ36</f>
        <v>12.8181330631163</v>
      </c>
      <c r="AL36" s="13">
        <f t="shared" ref="AL36:BN44" si="7">$AJ36</f>
        <v>12.8181330631163</v>
      </c>
      <c r="AM36" s="13">
        <f t="shared" si="7"/>
        <v>12.8181330631163</v>
      </c>
      <c r="AN36" s="13">
        <f t="shared" si="7"/>
        <v>12.8181330631163</v>
      </c>
      <c r="AO36" s="13">
        <f t="shared" si="7"/>
        <v>12.8181330631163</v>
      </c>
      <c r="AP36" s="13">
        <f t="shared" si="7"/>
        <v>12.8181330631163</v>
      </c>
      <c r="AQ36" s="13">
        <f t="shared" si="7"/>
        <v>12.8181330631163</v>
      </c>
      <c r="AR36" s="13">
        <f t="shared" si="7"/>
        <v>12.8181330631163</v>
      </c>
      <c r="AS36" s="13">
        <f t="shared" si="7"/>
        <v>12.8181330631163</v>
      </c>
      <c r="AT36" s="13">
        <f t="shared" si="7"/>
        <v>12.8181330631163</v>
      </c>
      <c r="AU36" s="13">
        <f t="shared" si="7"/>
        <v>12.8181330631163</v>
      </c>
      <c r="AV36" s="13">
        <f t="shared" si="7"/>
        <v>12.8181330631163</v>
      </c>
      <c r="AW36" s="13">
        <f t="shared" si="7"/>
        <v>12.8181330631163</v>
      </c>
      <c r="AX36" s="13">
        <f t="shared" si="7"/>
        <v>12.8181330631163</v>
      </c>
      <c r="AY36" s="13">
        <f t="shared" si="7"/>
        <v>12.8181330631163</v>
      </c>
      <c r="AZ36" s="13">
        <f t="shared" si="7"/>
        <v>12.8181330631163</v>
      </c>
      <c r="BA36" s="13">
        <f t="shared" si="7"/>
        <v>12.8181330631163</v>
      </c>
      <c r="BB36" s="13">
        <f t="shared" si="7"/>
        <v>12.8181330631163</v>
      </c>
      <c r="BC36" s="13">
        <f t="shared" si="7"/>
        <v>12.8181330631163</v>
      </c>
      <c r="BD36" s="13">
        <f t="shared" si="7"/>
        <v>12.8181330631163</v>
      </c>
      <c r="BE36" s="13">
        <f t="shared" si="7"/>
        <v>12.8181330631163</v>
      </c>
      <c r="BF36" s="13">
        <f t="shared" si="7"/>
        <v>12.8181330631163</v>
      </c>
      <c r="BG36" s="13">
        <f t="shared" si="7"/>
        <v>12.8181330631163</v>
      </c>
      <c r="BH36" s="13">
        <f t="shared" si="7"/>
        <v>12.8181330631163</v>
      </c>
      <c r="BI36" s="13">
        <f t="shared" si="7"/>
        <v>12.8181330631163</v>
      </c>
      <c r="BJ36" s="13">
        <f t="shared" si="7"/>
        <v>12.8181330631163</v>
      </c>
      <c r="BK36" s="13">
        <f t="shared" si="7"/>
        <v>12.8181330631163</v>
      </c>
      <c r="BL36" s="13">
        <f t="shared" si="7"/>
        <v>12.8181330631163</v>
      </c>
      <c r="BM36" s="13">
        <f t="shared" si="7"/>
        <v>12.8181330631163</v>
      </c>
      <c r="BN36" s="13">
        <f t="shared" si="7"/>
        <v>12.8181330631163</v>
      </c>
    </row>
    <row r="37" spans="1:66">
      <c r="A37" s="13"/>
      <c r="B37" s="13"/>
      <c r="C37" s="13"/>
      <c r="D37" s="14" t="s">
        <v>1</v>
      </c>
      <c r="E37" s="13">
        <f t="shared" ref="E37:E66" si="8">1/ABS(E4)</f>
        <v>1.15279871790378</v>
      </c>
      <c r="F37" s="13">
        <v>0</v>
      </c>
      <c r="G37" s="13">
        <f t="shared" ref="G37:AC37" si="9">1/ABS(G4)</f>
        <v>0.406170134284498</v>
      </c>
      <c r="H37" s="13">
        <f t="shared" si="9"/>
        <v>0.363147145529154</v>
      </c>
      <c r="I37" s="13">
        <f t="shared" si="9"/>
        <v>0.60999647020579</v>
      </c>
      <c r="J37" s="13">
        <f t="shared" si="9"/>
        <v>0.557755795045143</v>
      </c>
      <c r="K37" s="13">
        <f t="shared" si="9"/>
        <v>0.450271204771923</v>
      </c>
      <c r="L37" s="13">
        <f t="shared" si="9"/>
        <v>0.382924847515943</v>
      </c>
      <c r="M37" s="13">
        <f t="shared" si="9"/>
        <v>1.20294180641735</v>
      </c>
      <c r="N37" s="13">
        <f t="shared" si="9"/>
        <v>0.843597683698386</v>
      </c>
      <c r="O37" s="13">
        <f t="shared" si="9"/>
        <v>0.78209181827078</v>
      </c>
      <c r="P37" s="13">
        <f t="shared" si="9"/>
        <v>0.35494209905932</v>
      </c>
      <c r="Q37" s="13">
        <f t="shared" si="9"/>
        <v>0.673601596222941</v>
      </c>
      <c r="R37" s="13">
        <f t="shared" si="9"/>
        <v>0.351153429877843</v>
      </c>
      <c r="S37" s="13">
        <f t="shared" si="9"/>
        <v>0.602054334626284</v>
      </c>
      <c r="T37" s="13">
        <f t="shared" si="9"/>
        <v>0.381988552282566</v>
      </c>
      <c r="U37" s="13">
        <f t="shared" si="9"/>
        <v>0.477132579141334</v>
      </c>
      <c r="V37" s="13">
        <f t="shared" si="9"/>
        <v>0.399105435636947</v>
      </c>
      <c r="W37" s="13">
        <f t="shared" si="9"/>
        <v>0.684132523736682</v>
      </c>
      <c r="X37" s="13">
        <f t="shared" si="9"/>
        <v>0.317661233234451</v>
      </c>
      <c r="Y37" s="13">
        <f t="shared" si="9"/>
        <v>0.388138206356307</v>
      </c>
      <c r="Z37" s="13">
        <f t="shared" si="9"/>
        <v>0.475359489635583</v>
      </c>
      <c r="AA37" s="13">
        <f t="shared" si="9"/>
        <v>0.356487665963421</v>
      </c>
      <c r="AB37" s="13">
        <f t="shared" si="9"/>
        <v>0.263230945017182</v>
      </c>
      <c r="AC37" s="13">
        <f t="shared" si="9"/>
        <v>0.286535615313419</v>
      </c>
      <c r="AD37" s="13">
        <f t="shared" si="5"/>
        <v>0.311620291297412</v>
      </c>
      <c r="AE37" s="13">
        <f t="shared" ref="AE37:AF45" si="10">1/ABS(AE4)</f>
        <v>0.440110347388847</v>
      </c>
      <c r="AF37" s="13">
        <f t="shared" si="10"/>
        <v>0.249022729681338</v>
      </c>
      <c r="AG37" s="13">
        <f t="shared" si="6"/>
        <v>0.370962718111724</v>
      </c>
      <c r="AH37" s="13">
        <f t="shared" si="6"/>
        <v>0.400589744954985</v>
      </c>
      <c r="AI37" s="13">
        <f t="shared" si="6"/>
        <v>0.394000917803071</v>
      </c>
      <c r="AJ37" s="13">
        <f t="shared" ref="AJ37:AJ66" si="11">SUM(E37:AI37)</f>
        <v>14.9295260789844</v>
      </c>
      <c r="AK37" s="13">
        <f t="shared" ref="AK37:AZ60" si="12">$AJ37</f>
        <v>14.9295260789844</v>
      </c>
      <c r="AL37" s="13">
        <f t="shared" si="7"/>
        <v>14.9295260789844</v>
      </c>
      <c r="AM37" s="13">
        <f t="shared" si="7"/>
        <v>14.9295260789844</v>
      </c>
      <c r="AN37" s="13">
        <f t="shared" si="7"/>
        <v>14.9295260789844</v>
      </c>
      <c r="AO37" s="13">
        <f t="shared" si="7"/>
        <v>14.9295260789844</v>
      </c>
      <c r="AP37" s="13">
        <f t="shared" si="7"/>
        <v>14.9295260789844</v>
      </c>
      <c r="AQ37" s="13">
        <f t="shared" si="7"/>
        <v>14.9295260789844</v>
      </c>
      <c r="AR37" s="13">
        <f t="shared" si="7"/>
        <v>14.9295260789844</v>
      </c>
      <c r="AS37" s="13">
        <f t="shared" si="7"/>
        <v>14.9295260789844</v>
      </c>
      <c r="AT37" s="13">
        <f t="shared" si="7"/>
        <v>14.9295260789844</v>
      </c>
      <c r="AU37" s="13">
        <f t="shared" si="7"/>
        <v>14.9295260789844</v>
      </c>
      <c r="AV37" s="13">
        <f t="shared" si="7"/>
        <v>14.9295260789844</v>
      </c>
      <c r="AW37" s="13">
        <f t="shared" si="7"/>
        <v>14.9295260789844</v>
      </c>
      <c r="AX37" s="13">
        <f t="shared" si="7"/>
        <v>14.9295260789844</v>
      </c>
      <c r="AY37" s="13">
        <f t="shared" si="7"/>
        <v>14.9295260789844</v>
      </c>
      <c r="AZ37" s="13">
        <f t="shared" si="7"/>
        <v>14.9295260789844</v>
      </c>
      <c r="BA37" s="13">
        <f t="shared" si="7"/>
        <v>14.9295260789844</v>
      </c>
      <c r="BB37" s="13">
        <f t="shared" si="7"/>
        <v>14.9295260789844</v>
      </c>
      <c r="BC37" s="13">
        <f t="shared" si="7"/>
        <v>14.9295260789844</v>
      </c>
      <c r="BD37" s="13">
        <f t="shared" si="7"/>
        <v>14.9295260789844</v>
      </c>
      <c r="BE37" s="13">
        <f t="shared" si="7"/>
        <v>14.9295260789844</v>
      </c>
      <c r="BF37" s="13">
        <f t="shared" si="7"/>
        <v>14.9295260789844</v>
      </c>
      <c r="BG37" s="13">
        <f t="shared" si="7"/>
        <v>14.9295260789844</v>
      </c>
      <c r="BH37" s="13">
        <f t="shared" si="7"/>
        <v>14.9295260789844</v>
      </c>
      <c r="BI37" s="13">
        <f t="shared" si="7"/>
        <v>14.9295260789844</v>
      </c>
      <c r="BJ37" s="13">
        <f t="shared" si="7"/>
        <v>14.9295260789844</v>
      </c>
      <c r="BK37" s="13">
        <f t="shared" si="7"/>
        <v>14.9295260789844</v>
      </c>
      <c r="BL37" s="13">
        <f t="shared" si="7"/>
        <v>14.9295260789844</v>
      </c>
      <c r="BM37" s="13">
        <f t="shared" si="7"/>
        <v>14.9295260789844</v>
      </c>
      <c r="BN37" s="13">
        <f t="shared" si="7"/>
        <v>14.9295260789844</v>
      </c>
    </row>
    <row r="38" spans="1:66">
      <c r="A38" s="13"/>
      <c r="B38" s="13"/>
      <c r="C38" s="13"/>
      <c r="D38" s="14" t="s">
        <v>2</v>
      </c>
      <c r="E38" s="13">
        <f t="shared" si="8"/>
        <v>2.83821635466756</v>
      </c>
      <c r="F38" s="13">
        <f t="shared" ref="F38:F66" si="13">1/ABS(F5)</f>
        <v>2.46202247676723</v>
      </c>
      <c r="G38" s="13">
        <v>0</v>
      </c>
      <c r="H38" s="13">
        <f t="shared" ref="H38:AC38" si="14">1/ABS(H5)</f>
        <v>0.894076434666638</v>
      </c>
      <c r="I38" s="13">
        <f t="shared" si="14"/>
        <v>1.50182502039533</v>
      </c>
      <c r="J38" s="13">
        <f t="shared" si="14"/>
        <v>1.37320730394832</v>
      </c>
      <c r="K38" s="13">
        <f t="shared" si="14"/>
        <v>1.10857782678953</v>
      </c>
      <c r="L38" s="13">
        <f t="shared" si="14"/>
        <v>0.942769581496917</v>
      </c>
      <c r="M38" s="13">
        <f t="shared" si="14"/>
        <v>2.96166976564249</v>
      </c>
      <c r="N38" s="13">
        <f t="shared" si="14"/>
        <v>2.0769564586142</v>
      </c>
      <c r="O38" s="13">
        <f t="shared" si="14"/>
        <v>1.92552763547841</v>
      </c>
      <c r="P38" s="13">
        <f t="shared" si="14"/>
        <v>0.873875425834986</v>
      </c>
      <c r="Q38" s="13">
        <f t="shared" si="14"/>
        <v>1.65842227028717</v>
      </c>
      <c r="R38" s="13">
        <f t="shared" si="14"/>
        <v>0.864547637153157</v>
      </c>
      <c r="S38" s="13">
        <f t="shared" si="14"/>
        <v>1.48227130408505</v>
      </c>
      <c r="T38" s="13">
        <f t="shared" si="14"/>
        <v>0.940464401587451</v>
      </c>
      <c r="U38" s="13">
        <f t="shared" si="14"/>
        <v>1.17471113424388</v>
      </c>
      <c r="V38" s="13">
        <f t="shared" si="14"/>
        <v>0.982606553138142</v>
      </c>
      <c r="W38" s="13">
        <f t="shared" si="14"/>
        <v>1.6843496505272</v>
      </c>
      <c r="X38" s="13">
        <f t="shared" si="14"/>
        <v>0.782089096220816</v>
      </c>
      <c r="Y38" s="13">
        <f t="shared" si="14"/>
        <v>0.955604988141347</v>
      </c>
      <c r="Z38" s="13">
        <f t="shared" si="14"/>
        <v>1.17034574802741</v>
      </c>
      <c r="AA38" s="13">
        <f t="shared" si="14"/>
        <v>0.877680646292231</v>
      </c>
      <c r="AB38" s="13">
        <f t="shared" si="14"/>
        <v>0.648080503212982</v>
      </c>
      <c r="AC38" s="13">
        <f t="shared" si="14"/>
        <v>0.705457125295966</v>
      </c>
      <c r="AD38" s="13">
        <f t="shared" si="5"/>
        <v>0.767216161390981</v>
      </c>
      <c r="AE38" s="13">
        <f t="shared" si="10"/>
        <v>1.08356156752917</v>
      </c>
      <c r="AF38" s="13">
        <f t="shared" si="10"/>
        <v>0.613099557701384</v>
      </c>
      <c r="AG38" s="13">
        <f t="shared" si="6"/>
        <v>0.913318550033732</v>
      </c>
      <c r="AH38" s="13">
        <f t="shared" si="6"/>
        <v>0.986260956041627</v>
      </c>
      <c r="AI38" s="13">
        <f t="shared" si="6"/>
        <v>0.970039115498079</v>
      </c>
      <c r="AJ38" s="13">
        <f t="shared" si="11"/>
        <v>38.2188512507094</v>
      </c>
      <c r="AK38" s="13">
        <f t="shared" si="12"/>
        <v>38.2188512507094</v>
      </c>
      <c r="AL38" s="13">
        <f t="shared" si="7"/>
        <v>38.2188512507094</v>
      </c>
      <c r="AM38" s="13">
        <f t="shared" si="7"/>
        <v>38.2188512507094</v>
      </c>
      <c r="AN38" s="13">
        <f t="shared" si="7"/>
        <v>38.2188512507094</v>
      </c>
      <c r="AO38" s="13">
        <f t="shared" si="7"/>
        <v>38.2188512507094</v>
      </c>
      <c r="AP38" s="13">
        <f t="shared" si="7"/>
        <v>38.2188512507094</v>
      </c>
      <c r="AQ38" s="13">
        <f t="shared" si="7"/>
        <v>38.2188512507094</v>
      </c>
      <c r="AR38" s="13">
        <f t="shared" si="7"/>
        <v>38.2188512507094</v>
      </c>
      <c r="AS38" s="13">
        <f t="shared" si="7"/>
        <v>38.2188512507094</v>
      </c>
      <c r="AT38" s="13">
        <f t="shared" si="7"/>
        <v>38.2188512507094</v>
      </c>
      <c r="AU38" s="13">
        <f t="shared" si="7"/>
        <v>38.2188512507094</v>
      </c>
      <c r="AV38" s="13">
        <f t="shared" si="7"/>
        <v>38.2188512507094</v>
      </c>
      <c r="AW38" s="13">
        <f t="shared" si="7"/>
        <v>38.2188512507094</v>
      </c>
      <c r="AX38" s="13">
        <f t="shared" si="7"/>
        <v>38.2188512507094</v>
      </c>
      <c r="AY38" s="13">
        <f t="shared" si="7"/>
        <v>38.2188512507094</v>
      </c>
      <c r="AZ38" s="13">
        <f t="shared" si="7"/>
        <v>38.2188512507094</v>
      </c>
      <c r="BA38" s="13">
        <f t="shared" si="7"/>
        <v>38.2188512507094</v>
      </c>
      <c r="BB38" s="13">
        <f t="shared" si="7"/>
        <v>38.2188512507094</v>
      </c>
      <c r="BC38" s="13">
        <f t="shared" si="7"/>
        <v>38.2188512507094</v>
      </c>
      <c r="BD38" s="13">
        <f t="shared" si="7"/>
        <v>38.2188512507094</v>
      </c>
      <c r="BE38" s="13">
        <f t="shared" si="7"/>
        <v>38.2188512507094</v>
      </c>
      <c r="BF38" s="13">
        <f t="shared" si="7"/>
        <v>38.2188512507094</v>
      </c>
      <c r="BG38" s="13">
        <f t="shared" si="7"/>
        <v>38.2188512507094</v>
      </c>
      <c r="BH38" s="13">
        <f t="shared" si="7"/>
        <v>38.2188512507094</v>
      </c>
      <c r="BI38" s="13">
        <f t="shared" si="7"/>
        <v>38.2188512507094</v>
      </c>
      <c r="BJ38" s="13">
        <f t="shared" si="7"/>
        <v>38.2188512507094</v>
      </c>
      <c r="BK38" s="13">
        <f t="shared" si="7"/>
        <v>38.2188512507094</v>
      </c>
      <c r="BL38" s="13">
        <f t="shared" si="7"/>
        <v>38.2188512507094</v>
      </c>
      <c r="BM38" s="13">
        <f t="shared" si="7"/>
        <v>38.2188512507094</v>
      </c>
      <c r="BN38" s="13">
        <f t="shared" si="7"/>
        <v>38.2188512507094</v>
      </c>
    </row>
    <row r="39" spans="1:66">
      <c r="A39" s="13"/>
      <c r="B39" s="13"/>
      <c r="C39" s="13"/>
      <c r="D39" s="14" t="s">
        <v>3</v>
      </c>
      <c r="E39" s="13">
        <f t="shared" si="8"/>
        <v>3.17446724308958</v>
      </c>
      <c r="F39" s="13">
        <f t="shared" si="13"/>
        <v>2.75370469604784</v>
      </c>
      <c r="G39" s="13">
        <f t="shared" ref="G39:G60" si="15">1/ABS(G6)</f>
        <v>1.11847260617361</v>
      </c>
      <c r="H39" s="13">
        <v>0</v>
      </c>
      <c r="I39" s="13">
        <f t="shared" ref="I39:AC39" si="16">1/ABS(I6)</f>
        <v>1.67975014457829</v>
      </c>
      <c r="J39" s="13">
        <f t="shared" si="16"/>
        <v>1.53589475206371</v>
      </c>
      <c r="K39" s="13">
        <f t="shared" si="16"/>
        <v>1.23991393107556</v>
      </c>
      <c r="L39" s="13">
        <f t="shared" si="16"/>
        <v>1.05446195083806</v>
      </c>
      <c r="M39" s="13">
        <f t="shared" si="16"/>
        <v>3.31254650140372</v>
      </c>
      <c r="N39" s="13">
        <f t="shared" si="16"/>
        <v>2.32301890317533</v>
      </c>
      <c r="O39" s="13">
        <f t="shared" si="16"/>
        <v>2.15364991271284</v>
      </c>
      <c r="P39" s="13">
        <f t="shared" si="16"/>
        <v>0.977405725004726</v>
      </c>
      <c r="Q39" s="13">
        <f t="shared" si="16"/>
        <v>1.85489987878443</v>
      </c>
      <c r="R39" s="13">
        <f t="shared" si="16"/>
        <v>0.966972848887923</v>
      </c>
      <c r="S39" s="13">
        <f t="shared" si="16"/>
        <v>1.65787984853636</v>
      </c>
      <c r="T39" s="13">
        <f t="shared" si="16"/>
        <v>1.05188367025702</v>
      </c>
      <c r="U39" s="13">
        <f t="shared" si="16"/>
        <v>1.31388222381891</v>
      </c>
      <c r="V39" s="13">
        <f t="shared" si="16"/>
        <v>1.09901851233168</v>
      </c>
      <c r="W39" s="13">
        <f t="shared" si="16"/>
        <v>1.88389894333276</v>
      </c>
      <c r="X39" s="13">
        <f t="shared" si="16"/>
        <v>0.874745229710056</v>
      </c>
      <c r="Y39" s="13">
        <f t="shared" si="16"/>
        <v>1.06881800155895</v>
      </c>
      <c r="Z39" s="13">
        <f t="shared" si="16"/>
        <v>1.30899965892041</v>
      </c>
      <c r="AA39" s="13">
        <f t="shared" si="16"/>
        <v>0.981661759846606</v>
      </c>
      <c r="AB39" s="13">
        <f t="shared" si="16"/>
        <v>0.724860289438925</v>
      </c>
      <c r="AC39" s="13">
        <f t="shared" si="16"/>
        <v>0.789034469473519</v>
      </c>
      <c r="AD39" s="13">
        <f t="shared" si="5"/>
        <v>0.85811025952948</v>
      </c>
      <c r="AE39" s="13">
        <f t="shared" si="10"/>
        <v>1.21193393038391</v>
      </c>
      <c r="AF39" s="13">
        <f t="shared" si="10"/>
        <v>0.685735060146151</v>
      </c>
      <c r="AG39" s="13">
        <f t="shared" si="6"/>
        <v>1.02152177892293</v>
      </c>
      <c r="AH39" s="13">
        <f t="shared" si="6"/>
        <v>1.10310586187115</v>
      </c>
      <c r="AI39" s="13">
        <f t="shared" si="6"/>
        <v>1.08496217760148</v>
      </c>
      <c r="AJ39" s="13">
        <f t="shared" si="11"/>
        <v>42.8652107695159</v>
      </c>
      <c r="AK39" s="13">
        <f t="shared" si="12"/>
        <v>42.8652107695159</v>
      </c>
      <c r="AL39" s="13">
        <f t="shared" si="7"/>
        <v>42.8652107695159</v>
      </c>
      <c r="AM39" s="13">
        <f t="shared" si="7"/>
        <v>42.8652107695159</v>
      </c>
      <c r="AN39" s="13">
        <f t="shared" si="7"/>
        <v>42.8652107695159</v>
      </c>
      <c r="AO39" s="13">
        <f t="shared" si="7"/>
        <v>42.8652107695159</v>
      </c>
      <c r="AP39" s="13">
        <f t="shared" si="7"/>
        <v>42.8652107695159</v>
      </c>
      <c r="AQ39" s="13">
        <f t="shared" si="7"/>
        <v>42.8652107695159</v>
      </c>
      <c r="AR39" s="13">
        <f t="shared" si="7"/>
        <v>42.8652107695159</v>
      </c>
      <c r="AS39" s="13">
        <f t="shared" si="7"/>
        <v>42.8652107695159</v>
      </c>
      <c r="AT39" s="13">
        <f t="shared" si="7"/>
        <v>42.8652107695159</v>
      </c>
      <c r="AU39" s="13">
        <f t="shared" si="7"/>
        <v>42.8652107695159</v>
      </c>
      <c r="AV39" s="13">
        <f t="shared" si="7"/>
        <v>42.8652107695159</v>
      </c>
      <c r="AW39" s="13">
        <f t="shared" si="7"/>
        <v>42.8652107695159</v>
      </c>
      <c r="AX39" s="13">
        <f t="shared" si="7"/>
        <v>42.8652107695159</v>
      </c>
      <c r="AY39" s="13">
        <f t="shared" si="7"/>
        <v>42.8652107695159</v>
      </c>
      <c r="AZ39" s="13">
        <f t="shared" si="7"/>
        <v>42.8652107695159</v>
      </c>
      <c r="BA39" s="13">
        <f t="shared" si="7"/>
        <v>42.8652107695159</v>
      </c>
      <c r="BB39" s="13">
        <f t="shared" si="7"/>
        <v>42.8652107695159</v>
      </c>
      <c r="BC39" s="13">
        <f t="shared" si="7"/>
        <v>42.8652107695159</v>
      </c>
      <c r="BD39" s="13">
        <f t="shared" si="7"/>
        <v>42.8652107695159</v>
      </c>
      <c r="BE39" s="13">
        <f t="shared" si="7"/>
        <v>42.8652107695159</v>
      </c>
      <c r="BF39" s="13">
        <f t="shared" si="7"/>
        <v>42.8652107695159</v>
      </c>
      <c r="BG39" s="13">
        <f t="shared" si="7"/>
        <v>42.8652107695159</v>
      </c>
      <c r="BH39" s="13">
        <f t="shared" si="7"/>
        <v>42.8652107695159</v>
      </c>
      <c r="BI39" s="13">
        <f t="shared" si="7"/>
        <v>42.8652107695159</v>
      </c>
      <c r="BJ39" s="13">
        <f t="shared" si="7"/>
        <v>42.8652107695159</v>
      </c>
      <c r="BK39" s="13">
        <f t="shared" si="7"/>
        <v>42.8652107695159</v>
      </c>
      <c r="BL39" s="13">
        <f t="shared" si="7"/>
        <v>42.8652107695159</v>
      </c>
      <c r="BM39" s="13">
        <f t="shared" si="7"/>
        <v>42.8652107695159</v>
      </c>
      <c r="BN39" s="13">
        <f t="shared" si="7"/>
        <v>42.8652107695159</v>
      </c>
    </row>
    <row r="40" spans="1:66">
      <c r="A40" s="13"/>
      <c r="B40" s="13"/>
      <c r="C40" s="13"/>
      <c r="D40" s="14" t="s">
        <v>4</v>
      </c>
      <c r="E40" s="13">
        <f t="shared" si="8"/>
        <v>1.8898448994547</v>
      </c>
      <c r="F40" s="13">
        <f t="shared" si="13"/>
        <v>1.63935374849405</v>
      </c>
      <c r="G40" s="13">
        <f t="shared" si="15"/>
        <v>0.665856532165623</v>
      </c>
      <c r="H40" s="13">
        <f t="shared" ref="H40:H60" si="17">1/ABS(H7)</f>
        <v>0.595326634278132</v>
      </c>
      <c r="I40" s="13">
        <v>0</v>
      </c>
      <c r="J40" s="13">
        <f t="shared" ref="J40:AC40" si="18">1/ABS(J7)</f>
        <v>0.914359053351534</v>
      </c>
      <c r="K40" s="13">
        <f t="shared" si="18"/>
        <v>0.738153787381783</v>
      </c>
      <c r="L40" s="13">
        <f t="shared" si="18"/>
        <v>0.627749284166773</v>
      </c>
      <c r="M40" s="13">
        <f t="shared" si="18"/>
        <v>1.97204715957048</v>
      </c>
      <c r="N40" s="13">
        <f t="shared" si="18"/>
        <v>1.38295502499185</v>
      </c>
      <c r="O40" s="13">
        <f t="shared" si="18"/>
        <v>1.28212515394873</v>
      </c>
      <c r="P40" s="13">
        <f t="shared" si="18"/>
        <v>0.581875660591241</v>
      </c>
      <c r="Q40" s="13">
        <f t="shared" si="18"/>
        <v>1.10427130175965</v>
      </c>
      <c r="R40" s="13">
        <f t="shared" si="18"/>
        <v>0.575664691566784</v>
      </c>
      <c r="S40" s="13">
        <f t="shared" si="18"/>
        <v>0.986980030266689</v>
      </c>
      <c r="T40" s="13">
        <f t="shared" si="18"/>
        <v>0.626214365066239</v>
      </c>
      <c r="U40" s="13">
        <f t="shared" si="18"/>
        <v>0.782189082143979</v>
      </c>
      <c r="V40" s="13">
        <f t="shared" si="18"/>
        <v>0.654274991955779</v>
      </c>
      <c r="W40" s="13">
        <f t="shared" si="18"/>
        <v>1.12153521725442</v>
      </c>
      <c r="X40" s="13">
        <f t="shared" si="18"/>
        <v>0.520759133454139</v>
      </c>
      <c r="Y40" s="13">
        <f t="shared" si="18"/>
        <v>0.636295823523969</v>
      </c>
      <c r="Z40" s="13">
        <f t="shared" si="18"/>
        <v>0.779282361216311</v>
      </c>
      <c r="AA40" s="13">
        <f t="shared" si="18"/>
        <v>0.584409391489028</v>
      </c>
      <c r="AB40" s="13">
        <f t="shared" si="18"/>
        <v>0.431528636433548</v>
      </c>
      <c r="AC40" s="13">
        <f t="shared" si="18"/>
        <v>0.469733235041102</v>
      </c>
      <c r="AD40" s="13">
        <f t="shared" si="5"/>
        <v>0.51085589264522</v>
      </c>
      <c r="AE40" s="13">
        <f t="shared" si="10"/>
        <v>0.721496547742923</v>
      </c>
      <c r="AF40" s="13">
        <f t="shared" si="10"/>
        <v>0.408236345363321</v>
      </c>
      <c r="AG40" s="13">
        <f t="shared" si="6"/>
        <v>0.608139122487996</v>
      </c>
      <c r="AH40" s="13">
        <f t="shared" si="6"/>
        <v>0.65670830000023</v>
      </c>
      <c r="AI40" s="13">
        <f t="shared" si="6"/>
        <v>0.645906881510559</v>
      </c>
      <c r="AJ40" s="13">
        <f t="shared" si="11"/>
        <v>25.1141282893168</v>
      </c>
      <c r="AK40" s="13">
        <f t="shared" si="12"/>
        <v>25.1141282893168</v>
      </c>
      <c r="AL40" s="13">
        <f t="shared" si="7"/>
        <v>25.1141282893168</v>
      </c>
      <c r="AM40" s="13">
        <f t="shared" si="7"/>
        <v>25.1141282893168</v>
      </c>
      <c r="AN40" s="13">
        <f t="shared" si="7"/>
        <v>25.1141282893168</v>
      </c>
      <c r="AO40" s="13">
        <f t="shared" si="7"/>
        <v>25.1141282893168</v>
      </c>
      <c r="AP40" s="13">
        <f t="shared" si="7"/>
        <v>25.1141282893168</v>
      </c>
      <c r="AQ40" s="13">
        <f t="shared" si="7"/>
        <v>25.1141282893168</v>
      </c>
      <c r="AR40" s="13">
        <f t="shared" si="7"/>
        <v>25.1141282893168</v>
      </c>
      <c r="AS40" s="13">
        <f t="shared" si="7"/>
        <v>25.1141282893168</v>
      </c>
      <c r="AT40" s="13">
        <f t="shared" si="7"/>
        <v>25.1141282893168</v>
      </c>
      <c r="AU40" s="13">
        <f t="shared" si="7"/>
        <v>25.1141282893168</v>
      </c>
      <c r="AV40" s="13">
        <f t="shared" si="7"/>
        <v>25.1141282893168</v>
      </c>
      <c r="AW40" s="13">
        <f t="shared" si="7"/>
        <v>25.1141282893168</v>
      </c>
      <c r="AX40" s="13">
        <f t="shared" si="7"/>
        <v>25.1141282893168</v>
      </c>
      <c r="AY40" s="13">
        <f t="shared" si="7"/>
        <v>25.1141282893168</v>
      </c>
      <c r="AZ40" s="13">
        <f t="shared" si="7"/>
        <v>25.1141282893168</v>
      </c>
      <c r="BA40" s="13">
        <f t="shared" si="7"/>
        <v>25.1141282893168</v>
      </c>
      <c r="BB40" s="13">
        <f t="shared" si="7"/>
        <v>25.1141282893168</v>
      </c>
      <c r="BC40" s="13">
        <f t="shared" si="7"/>
        <v>25.1141282893168</v>
      </c>
      <c r="BD40" s="13">
        <f t="shared" si="7"/>
        <v>25.1141282893168</v>
      </c>
      <c r="BE40" s="13">
        <f t="shared" si="7"/>
        <v>25.1141282893168</v>
      </c>
      <c r="BF40" s="13">
        <f t="shared" si="7"/>
        <v>25.1141282893168</v>
      </c>
      <c r="BG40" s="13">
        <f t="shared" si="7"/>
        <v>25.1141282893168</v>
      </c>
      <c r="BH40" s="13">
        <f t="shared" si="7"/>
        <v>25.1141282893168</v>
      </c>
      <c r="BI40" s="13">
        <f t="shared" si="7"/>
        <v>25.1141282893168</v>
      </c>
      <c r="BJ40" s="13">
        <f t="shared" si="7"/>
        <v>25.1141282893168</v>
      </c>
      <c r="BK40" s="13">
        <f t="shared" si="7"/>
        <v>25.1141282893168</v>
      </c>
      <c r="BL40" s="13">
        <f t="shared" si="7"/>
        <v>25.1141282893168</v>
      </c>
      <c r="BM40" s="13">
        <f t="shared" si="7"/>
        <v>25.1141282893168</v>
      </c>
      <c r="BN40" s="13">
        <f t="shared" si="7"/>
        <v>25.1141282893168</v>
      </c>
    </row>
    <row r="41" spans="1:66">
      <c r="A41" s="13"/>
      <c r="B41" s="13"/>
      <c r="C41" s="13"/>
      <c r="D41" s="14" t="s">
        <v>5</v>
      </c>
      <c r="E41" s="13">
        <f t="shared" si="8"/>
        <v>2.06685206706006</v>
      </c>
      <c r="F41" s="13">
        <f t="shared" si="13"/>
        <v>1.7928993457057</v>
      </c>
      <c r="G41" s="13">
        <f t="shared" si="15"/>
        <v>0.728222168003873</v>
      </c>
      <c r="H41" s="13">
        <f t="shared" si="17"/>
        <v>0.651086279614113</v>
      </c>
      <c r="I41" s="13">
        <f t="shared" ref="I41:I60" si="19">1/ABS(I8)</f>
        <v>1.09366227231475</v>
      </c>
      <c r="J41" s="13">
        <v>0</v>
      </c>
      <c r="K41" s="13">
        <f t="shared" ref="K41:AC41" si="20">1/ABS(K8)</f>
        <v>0.807290948425698</v>
      </c>
      <c r="L41" s="13">
        <f t="shared" si="20"/>
        <v>0.68654570856579</v>
      </c>
      <c r="M41" s="13">
        <f t="shared" si="20"/>
        <v>2.1567535776477</v>
      </c>
      <c r="N41" s="13">
        <f t="shared" si="20"/>
        <v>1.51248573514168</v>
      </c>
      <c r="O41" s="13">
        <f t="shared" si="20"/>
        <v>1.40221190925946</v>
      </c>
      <c r="P41" s="13">
        <f t="shared" si="20"/>
        <v>0.636375457166862</v>
      </c>
      <c r="Q41" s="13">
        <f t="shared" si="20"/>
        <v>1.20769986113443</v>
      </c>
      <c r="R41" s="13">
        <f t="shared" si="20"/>
        <v>0.629582754670298</v>
      </c>
      <c r="S41" s="13">
        <f t="shared" si="20"/>
        <v>1.07942282263074</v>
      </c>
      <c r="T41" s="13">
        <f t="shared" si="20"/>
        <v>0.684867025454479</v>
      </c>
      <c r="U41" s="13">
        <f t="shared" si="20"/>
        <v>0.855450688957371</v>
      </c>
      <c r="V41" s="13">
        <f t="shared" si="20"/>
        <v>0.715555874421071</v>
      </c>
      <c r="W41" s="13">
        <f t="shared" si="20"/>
        <v>1.22658075418349</v>
      </c>
      <c r="X41" s="13">
        <f t="shared" si="20"/>
        <v>0.569534617222113</v>
      </c>
      <c r="Y41" s="13">
        <f t="shared" si="20"/>
        <v>0.695892736219607</v>
      </c>
      <c r="Z41" s="13">
        <f t="shared" si="20"/>
        <v>0.852271717942632</v>
      </c>
      <c r="AA41" s="13">
        <f t="shared" si="20"/>
        <v>0.639146503057969</v>
      </c>
      <c r="AB41" s="13">
        <f t="shared" si="20"/>
        <v>0.471946589090799</v>
      </c>
      <c r="AC41" s="13">
        <f t="shared" si="20"/>
        <v>0.513729517216809</v>
      </c>
      <c r="AD41" s="13">
        <f t="shared" si="5"/>
        <v>0.55870381637575</v>
      </c>
      <c r="AE41" s="13">
        <f t="shared" si="10"/>
        <v>0.789073553871771</v>
      </c>
      <c r="AF41" s="13">
        <f t="shared" si="10"/>
        <v>0.446472689111517</v>
      </c>
      <c r="AG41" s="13">
        <f t="shared" si="6"/>
        <v>0.665098814583719</v>
      </c>
      <c r="AH41" s="13">
        <f t="shared" si="6"/>
        <v>0.718217091626206</v>
      </c>
      <c r="AI41" s="13">
        <f t="shared" si="6"/>
        <v>0.706403987736571</v>
      </c>
      <c r="AJ41" s="13">
        <f t="shared" si="11"/>
        <v>27.560036884413</v>
      </c>
      <c r="AK41" s="13">
        <f t="shared" si="12"/>
        <v>27.560036884413</v>
      </c>
      <c r="AL41" s="13">
        <f t="shared" si="7"/>
        <v>27.560036884413</v>
      </c>
      <c r="AM41" s="13">
        <f t="shared" si="7"/>
        <v>27.560036884413</v>
      </c>
      <c r="AN41" s="13">
        <f t="shared" si="7"/>
        <v>27.560036884413</v>
      </c>
      <c r="AO41" s="13">
        <f t="shared" si="7"/>
        <v>27.560036884413</v>
      </c>
      <c r="AP41" s="13">
        <f t="shared" si="7"/>
        <v>27.560036884413</v>
      </c>
      <c r="AQ41" s="13">
        <f t="shared" si="7"/>
        <v>27.560036884413</v>
      </c>
      <c r="AR41" s="13">
        <f t="shared" si="7"/>
        <v>27.560036884413</v>
      </c>
      <c r="AS41" s="13">
        <f t="shared" si="7"/>
        <v>27.560036884413</v>
      </c>
      <c r="AT41" s="13">
        <f t="shared" si="7"/>
        <v>27.560036884413</v>
      </c>
      <c r="AU41" s="13">
        <f t="shared" si="7"/>
        <v>27.560036884413</v>
      </c>
      <c r="AV41" s="13">
        <f t="shared" si="7"/>
        <v>27.560036884413</v>
      </c>
      <c r="AW41" s="13">
        <f t="shared" si="7"/>
        <v>27.560036884413</v>
      </c>
      <c r="AX41" s="13">
        <f t="shared" si="7"/>
        <v>27.560036884413</v>
      </c>
      <c r="AY41" s="13">
        <f t="shared" si="7"/>
        <v>27.560036884413</v>
      </c>
      <c r="AZ41" s="13">
        <f t="shared" si="7"/>
        <v>27.560036884413</v>
      </c>
      <c r="BA41" s="13">
        <f t="shared" si="7"/>
        <v>27.560036884413</v>
      </c>
      <c r="BB41" s="13">
        <f t="shared" si="7"/>
        <v>27.560036884413</v>
      </c>
      <c r="BC41" s="13">
        <f t="shared" si="7"/>
        <v>27.560036884413</v>
      </c>
      <c r="BD41" s="13">
        <f t="shared" si="7"/>
        <v>27.560036884413</v>
      </c>
      <c r="BE41" s="13">
        <f t="shared" si="7"/>
        <v>27.560036884413</v>
      </c>
      <c r="BF41" s="13">
        <f t="shared" si="7"/>
        <v>27.560036884413</v>
      </c>
      <c r="BG41" s="13">
        <f t="shared" si="7"/>
        <v>27.560036884413</v>
      </c>
      <c r="BH41" s="13">
        <f t="shared" si="7"/>
        <v>27.560036884413</v>
      </c>
      <c r="BI41" s="13">
        <f t="shared" si="7"/>
        <v>27.560036884413</v>
      </c>
      <c r="BJ41" s="13">
        <f t="shared" si="7"/>
        <v>27.560036884413</v>
      </c>
      <c r="BK41" s="13">
        <f t="shared" si="7"/>
        <v>27.560036884413</v>
      </c>
      <c r="BL41" s="13">
        <f t="shared" si="7"/>
        <v>27.560036884413</v>
      </c>
      <c r="BM41" s="13">
        <f t="shared" si="7"/>
        <v>27.560036884413</v>
      </c>
      <c r="BN41" s="13">
        <f t="shared" si="7"/>
        <v>27.560036884413</v>
      </c>
    </row>
    <row r="42" spans="1:66">
      <c r="A42" s="13"/>
      <c r="B42" s="13"/>
      <c r="C42" s="13"/>
      <c r="D42" s="14" t="s">
        <v>6</v>
      </c>
      <c r="E42" s="13">
        <f t="shared" si="8"/>
        <v>2.56023193507947</v>
      </c>
      <c r="F42" s="13">
        <f t="shared" si="13"/>
        <v>2.22088374606707</v>
      </c>
      <c r="G42" s="13">
        <f t="shared" si="15"/>
        <v>0.902056649370321</v>
      </c>
      <c r="H42" s="13">
        <f t="shared" si="17"/>
        <v>0.80650759293635</v>
      </c>
      <c r="I42" s="13">
        <f t="shared" si="19"/>
        <v>1.35473124583832</v>
      </c>
      <c r="J42" s="13">
        <f t="shared" ref="J42:J60" si="21">1/ABS(J9)</f>
        <v>1.23871077949047</v>
      </c>
      <c r="K42" s="13">
        <v>0</v>
      </c>
      <c r="L42" s="13">
        <f t="shared" ref="L42:AC42" si="22">1/ABS(L9)</f>
        <v>0.850431569813369</v>
      </c>
      <c r="M42" s="13">
        <f t="shared" si="22"/>
        <v>2.67159390533685</v>
      </c>
      <c r="N42" s="13">
        <f t="shared" si="22"/>
        <v>1.87353238394557</v>
      </c>
      <c r="O42" s="13">
        <f t="shared" si="22"/>
        <v>1.73693500712962</v>
      </c>
      <c r="P42" s="13">
        <f t="shared" si="22"/>
        <v>0.78828513859577</v>
      </c>
      <c r="Q42" s="13">
        <f t="shared" si="22"/>
        <v>1.49599083637636</v>
      </c>
      <c r="R42" s="13">
        <f t="shared" si="22"/>
        <v>0.779870944791404</v>
      </c>
      <c r="S42" s="13">
        <f t="shared" si="22"/>
        <v>1.33709268602074</v>
      </c>
      <c r="T42" s="13">
        <f t="shared" si="22"/>
        <v>0.84835216694804</v>
      </c>
      <c r="U42" s="13">
        <f t="shared" si="22"/>
        <v>1.05965598973405</v>
      </c>
      <c r="V42" s="13">
        <f t="shared" si="22"/>
        <v>0.886366774973113</v>
      </c>
      <c r="W42" s="13">
        <f t="shared" si="22"/>
        <v>1.51937880212264</v>
      </c>
      <c r="X42" s="13">
        <f t="shared" si="22"/>
        <v>0.705488669646012</v>
      </c>
      <c r="Y42" s="13">
        <f t="shared" si="22"/>
        <v>0.862009833724348</v>
      </c>
      <c r="Z42" s="13">
        <f t="shared" si="22"/>
        <v>1.0557181640704</v>
      </c>
      <c r="AA42" s="13">
        <f t="shared" si="22"/>
        <v>0.791717663011548</v>
      </c>
      <c r="AB42" s="13">
        <f t="shared" si="22"/>
        <v>0.584605327250534</v>
      </c>
      <c r="AC42" s="13">
        <f t="shared" si="22"/>
        <v>0.636362290718898</v>
      </c>
      <c r="AD42" s="13">
        <f t="shared" si="5"/>
        <v>0.692072439887108</v>
      </c>
      <c r="AE42" s="13">
        <f t="shared" si="10"/>
        <v>0.97743391699182</v>
      </c>
      <c r="AF42" s="13">
        <f t="shared" si="10"/>
        <v>0.553050532750536</v>
      </c>
      <c r="AG42" s="13">
        <f t="shared" si="6"/>
        <v>0.823865071051188</v>
      </c>
      <c r="AH42" s="13">
        <f t="shared" si="6"/>
        <v>0.889663253411679</v>
      </c>
      <c r="AI42" s="13">
        <f t="shared" si="6"/>
        <v>0.875030234284347</v>
      </c>
      <c r="AJ42" s="13">
        <f t="shared" si="11"/>
        <v>34.3776255513679</v>
      </c>
      <c r="AK42" s="13">
        <f t="shared" si="12"/>
        <v>34.3776255513679</v>
      </c>
      <c r="AL42" s="13">
        <f t="shared" si="7"/>
        <v>34.3776255513679</v>
      </c>
      <c r="AM42" s="13">
        <f t="shared" si="7"/>
        <v>34.3776255513679</v>
      </c>
      <c r="AN42" s="13">
        <f t="shared" si="7"/>
        <v>34.3776255513679</v>
      </c>
      <c r="AO42" s="13">
        <f t="shared" si="7"/>
        <v>34.3776255513679</v>
      </c>
      <c r="AP42" s="13">
        <f t="shared" si="7"/>
        <v>34.3776255513679</v>
      </c>
      <c r="AQ42" s="13">
        <f t="shared" si="7"/>
        <v>34.3776255513679</v>
      </c>
      <c r="AR42" s="13">
        <f t="shared" si="7"/>
        <v>34.3776255513679</v>
      </c>
      <c r="AS42" s="13">
        <f t="shared" si="7"/>
        <v>34.3776255513679</v>
      </c>
      <c r="AT42" s="13">
        <f t="shared" si="7"/>
        <v>34.3776255513679</v>
      </c>
      <c r="AU42" s="13">
        <f t="shared" si="7"/>
        <v>34.3776255513679</v>
      </c>
      <c r="AV42" s="13">
        <f t="shared" si="7"/>
        <v>34.3776255513679</v>
      </c>
      <c r="AW42" s="13">
        <f t="shared" si="7"/>
        <v>34.3776255513679</v>
      </c>
      <c r="AX42" s="13">
        <f t="shared" si="7"/>
        <v>34.3776255513679</v>
      </c>
      <c r="AY42" s="13">
        <f t="shared" si="7"/>
        <v>34.3776255513679</v>
      </c>
      <c r="AZ42" s="13">
        <f t="shared" si="7"/>
        <v>34.3776255513679</v>
      </c>
      <c r="BA42" s="13">
        <f t="shared" si="7"/>
        <v>34.3776255513679</v>
      </c>
      <c r="BB42" s="13">
        <f t="shared" si="7"/>
        <v>34.3776255513679</v>
      </c>
      <c r="BC42" s="13">
        <f t="shared" si="7"/>
        <v>34.3776255513679</v>
      </c>
      <c r="BD42" s="13">
        <f t="shared" si="7"/>
        <v>34.3776255513679</v>
      </c>
      <c r="BE42" s="13">
        <f t="shared" si="7"/>
        <v>34.3776255513679</v>
      </c>
      <c r="BF42" s="13">
        <f t="shared" si="7"/>
        <v>34.3776255513679</v>
      </c>
      <c r="BG42" s="13">
        <f t="shared" si="7"/>
        <v>34.3776255513679</v>
      </c>
      <c r="BH42" s="13">
        <f t="shared" si="7"/>
        <v>34.3776255513679</v>
      </c>
      <c r="BI42" s="13">
        <f t="shared" si="7"/>
        <v>34.3776255513679</v>
      </c>
      <c r="BJ42" s="13">
        <f t="shared" si="7"/>
        <v>34.3776255513679</v>
      </c>
      <c r="BK42" s="13">
        <f t="shared" si="7"/>
        <v>34.3776255513679</v>
      </c>
      <c r="BL42" s="13">
        <f t="shared" si="7"/>
        <v>34.3776255513679</v>
      </c>
      <c r="BM42" s="13">
        <f t="shared" si="7"/>
        <v>34.3776255513679</v>
      </c>
      <c r="BN42" s="13">
        <f t="shared" si="7"/>
        <v>34.3776255513679</v>
      </c>
    </row>
    <row r="43" spans="1:66">
      <c r="A43" s="13"/>
      <c r="B43" s="13"/>
      <c r="C43" s="13"/>
      <c r="D43" s="14" t="s">
        <v>7</v>
      </c>
      <c r="E43" s="13">
        <f t="shared" si="8"/>
        <v>3.01050904735501</v>
      </c>
      <c r="F43" s="13">
        <f t="shared" si="13"/>
        <v>2.61147848327697</v>
      </c>
      <c r="G43" s="13">
        <f t="shared" si="15"/>
        <v>1.06070456623368</v>
      </c>
      <c r="H43" s="13">
        <f t="shared" si="17"/>
        <v>0.948350956812836</v>
      </c>
      <c r="I43" s="13">
        <f t="shared" si="19"/>
        <v>1.59299265681732</v>
      </c>
      <c r="J43" s="13">
        <f t="shared" si="21"/>
        <v>1.45656725768343</v>
      </c>
      <c r="K43" s="13">
        <f t="shared" ref="K43:K60" si="23">1/ABS(K10)</f>
        <v>1.17587356290107</v>
      </c>
      <c r="L43" s="13">
        <v>0</v>
      </c>
      <c r="M43" s="13">
        <f t="shared" ref="M43:AC43" si="24">1/ABS(M10)</f>
        <v>3.14145664409323</v>
      </c>
      <c r="N43" s="13">
        <f t="shared" si="24"/>
        <v>2.20303719952062</v>
      </c>
      <c r="O43" s="13">
        <f t="shared" si="24"/>
        <v>2.0424159553611</v>
      </c>
      <c r="P43" s="13">
        <f t="shared" si="24"/>
        <v>0.926923654502575</v>
      </c>
      <c r="Q43" s="13">
        <f t="shared" si="24"/>
        <v>1.75909607483723</v>
      </c>
      <c r="R43" s="13">
        <f t="shared" si="24"/>
        <v>0.917029626454895</v>
      </c>
      <c r="S43" s="13">
        <f t="shared" si="24"/>
        <v>1.57225194064017</v>
      </c>
      <c r="T43" s="13">
        <f t="shared" si="24"/>
        <v>0.997554885144039</v>
      </c>
      <c r="U43" s="13">
        <f t="shared" si="24"/>
        <v>1.24602146409804</v>
      </c>
      <c r="V43" s="13">
        <f t="shared" si="24"/>
        <v>1.04225525772477</v>
      </c>
      <c r="W43" s="13">
        <f t="shared" si="24"/>
        <v>1.78659736544831</v>
      </c>
      <c r="X43" s="13">
        <f t="shared" si="24"/>
        <v>0.829565475562995</v>
      </c>
      <c r="Y43" s="13">
        <f t="shared" si="24"/>
        <v>1.01361457443721</v>
      </c>
      <c r="Z43" s="13">
        <f t="shared" si="24"/>
        <v>1.24139107900485</v>
      </c>
      <c r="AA43" s="13">
        <f t="shared" si="24"/>
        <v>0.930959869217101</v>
      </c>
      <c r="AB43" s="13">
        <f t="shared" si="24"/>
        <v>0.687421949045034</v>
      </c>
      <c r="AC43" s="13">
        <f t="shared" si="24"/>
        <v>0.74828159408352</v>
      </c>
      <c r="AD43" s="13">
        <f t="shared" si="5"/>
        <v>0.813789685675693</v>
      </c>
      <c r="AE43" s="13">
        <f t="shared" si="10"/>
        <v>1.14933870247352</v>
      </c>
      <c r="AF43" s="13">
        <f t="shared" si="10"/>
        <v>0.65031750040971</v>
      </c>
      <c r="AG43" s="13">
        <f t="shared" si="6"/>
        <v>0.968761156446708</v>
      </c>
      <c r="AH43" s="13">
        <f t="shared" si="6"/>
        <v>1.04613149957135</v>
      </c>
      <c r="AI43" s="13">
        <f t="shared" si="6"/>
        <v>1.0289249192341</v>
      </c>
      <c r="AJ43" s="13">
        <f t="shared" si="11"/>
        <v>40.5996146040671</v>
      </c>
      <c r="AK43" s="13">
        <f t="shared" si="12"/>
        <v>40.5996146040671</v>
      </c>
      <c r="AL43" s="13">
        <f t="shared" si="7"/>
        <v>40.5996146040671</v>
      </c>
      <c r="AM43" s="13">
        <f t="shared" si="7"/>
        <v>40.5996146040671</v>
      </c>
      <c r="AN43" s="13">
        <f t="shared" si="7"/>
        <v>40.5996146040671</v>
      </c>
      <c r="AO43" s="13">
        <f t="shared" si="7"/>
        <v>40.5996146040671</v>
      </c>
      <c r="AP43" s="13">
        <f t="shared" si="7"/>
        <v>40.5996146040671</v>
      </c>
      <c r="AQ43" s="13">
        <f t="shared" si="7"/>
        <v>40.5996146040671</v>
      </c>
      <c r="AR43" s="13">
        <f t="shared" si="7"/>
        <v>40.5996146040671</v>
      </c>
      <c r="AS43" s="13">
        <f t="shared" si="7"/>
        <v>40.5996146040671</v>
      </c>
      <c r="AT43" s="13">
        <f t="shared" si="7"/>
        <v>40.5996146040671</v>
      </c>
      <c r="AU43" s="13">
        <f t="shared" si="7"/>
        <v>40.5996146040671</v>
      </c>
      <c r="AV43" s="13">
        <f t="shared" si="7"/>
        <v>40.5996146040671</v>
      </c>
      <c r="AW43" s="13">
        <f t="shared" si="7"/>
        <v>40.5996146040671</v>
      </c>
      <c r="AX43" s="13">
        <f t="shared" si="7"/>
        <v>40.5996146040671</v>
      </c>
      <c r="AY43" s="13">
        <f t="shared" si="7"/>
        <v>40.5996146040671</v>
      </c>
      <c r="AZ43" s="13">
        <f t="shared" si="7"/>
        <v>40.5996146040671</v>
      </c>
      <c r="BA43" s="13">
        <f t="shared" si="7"/>
        <v>40.5996146040671</v>
      </c>
      <c r="BB43" s="13">
        <f t="shared" si="7"/>
        <v>40.5996146040671</v>
      </c>
      <c r="BC43" s="13">
        <f t="shared" si="7"/>
        <v>40.5996146040671</v>
      </c>
      <c r="BD43" s="13">
        <f t="shared" si="7"/>
        <v>40.5996146040671</v>
      </c>
      <c r="BE43" s="13">
        <f t="shared" si="7"/>
        <v>40.5996146040671</v>
      </c>
      <c r="BF43" s="13">
        <f t="shared" si="7"/>
        <v>40.5996146040671</v>
      </c>
      <c r="BG43" s="13">
        <f t="shared" si="7"/>
        <v>40.5996146040671</v>
      </c>
      <c r="BH43" s="13">
        <f t="shared" si="7"/>
        <v>40.5996146040671</v>
      </c>
      <c r="BI43" s="13">
        <f t="shared" si="7"/>
        <v>40.5996146040671</v>
      </c>
      <c r="BJ43" s="13">
        <f t="shared" si="7"/>
        <v>40.5996146040671</v>
      </c>
      <c r="BK43" s="13">
        <f t="shared" si="7"/>
        <v>40.5996146040671</v>
      </c>
      <c r="BL43" s="13">
        <f t="shared" si="7"/>
        <v>40.5996146040671</v>
      </c>
      <c r="BM43" s="13">
        <f t="shared" si="7"/>
        <v>40.5996146040671</v>
      </c>
      <c r="BN43" s="13">
        <f t="shared" si="7"/>
        <v>40.5996146040671</v>
      </c>
    </row>
    <row r="44" spans="1:66">
      <c r="A44" s="13"/>
      <c r="B44" s="13"/>
      <c r="C44" s="13"/>
      <c r="D44" s="14" t="s">
        <v>8</v>
      </c>
      <c r="E44" s="13">
        <f t="shared" si="8"/>
        <v>0.958316280765978</v>
      </c>
      <c r="F44" s="13">
        <f t="shared" si="13"/>
        <v>0.831295408194551</v>
      </c>
      <c r="G44" s="13">
        <f t="shared" si="15"/>
        <v>0.337647367576468</v>
      </c>
      <c r="H44" s="13">
        <f t="shared" si="17"/>
        <v>0.301882554577344</v>
      </c>
      <c r="I44" s="13">
        <f t="shared" si="19"/>
        <v>0.507087264696958</v>
      </c>
      <c r="J44" s="13">
        <f t="shared" si="21"/>
        <v>0.463659831314929</v>
      </c>
      <c r="K44" s="13">
        <f t="shared" si="23"/>
        <v>0.374308384969128</v>
      </c>
      <c r="L44" s="13">
        <f t="shared" ref="L44:L60" si="25">1/ABS(L11)</f>
        <v>0.318323667423602</v>
      </c>
      <c r="M44" s="13">
        <v>0</v>
      </c>
      <c r="N44" s="13">
        <f t="shared" ref="N44:AC44" si="26">1/ABS(N11)</f>
        <v>0.701278880822028</v>
      </c>
      <c r="O44" s="13">
        <f t="shared" si="26"/>
        <v>0.650149337315027</v>
      </c>
      <c r="P44" s="13">
        <f t="shared" si="26"/>
        <v>0.295061737122948</v>
      </c>
      <c r="Q44" s="13">
        <f t="shared" si="26"/>
        <v>0.559961913892651</v>
      </c>
      <c r="R44" s="13">
        <f t="shared" si="26"/>
        <v>0.291912233829218</v>
      </c>
      <c r="S44" s="13">
        <f t="shared" si="26"/>
        <v>0.500485003858456</v>
      </c>
      <c r="T44" s="13">
        <f t="shared" si="26"/>
        <v>0.317545329495381</v>
      </c>
      <c r="U44" s="13">
        <f t="shared" si="26"/>
        <v>0.396638122140214</v>
      </c>
      <c r="V44" s="13">
        <f t="shared" si="26"/>
        <v>0.33177451603048</v>
      </c>
      <c r="W44" s="13">
        <f t="shared" si="26"/>
        <v>0.568716225578853</v>
      </c>
      <c r="X44" s="13">
        <f t="shared" si="26"/>
        <v>0.264070324549217</v>
      </c>
      <c r="Y44" s="13">
        <f t="shared" si="26"/>
        <v>0.322657508688867</v>
      </c>
      <c r="Z44" s="13">
        <f t="shared" si="26"/>
        <v>0.395164160975766</v>
      </c>
      <c r="AA44" s="13">
        <f t="shared" si="26"/>
        <v>0.296346559793385</v>
      </c>
      <c r="AB44" s="13">
        <f t="shared" si="26"/>
        <v>0.218822675887496</v>
      </c>
      <c r="AC44" s="13">
        <f t="shared" si="26"/>
        <v>0.238195741294246</v>
      </c>
      <c r="AD44" s="13">
        <f t="shared" si="5"/>
        <v>0.259048517255787</v>
      </c>
      <c r="AE44" s="13">
        <f t="shared" si="10"/>
        <v>0.365861710883257</v>
      </c>
      <c r="AF44" s="13">
        <f t="shared" si="10"/>
        <v>0.207011451720169</v>
      </c>
      <c r="AG44" s="13">
        <f t="shared" si="6"/>
        <v>0.308379604177646</v>
      </c>
      <c r="AH44" s="13">
        <f t="shared" si="6"/>
        <v>0.333008415550906</v>
      </c>
      <c r="AI44" s="13">
        <f t="shared" si="6"/>
        <v>0.327531153794132</v>
      </c>
      <c r="AJ44" s="13">
        <f t="shared" si="11"/>
        <v>12.2421418841751</v>
      </c>
      <c r="AK44" s="13">
        <f t="shared" si="12"/>
        <v>12.2421418841751</v>
      </c>
      <c r="AL44" s="13">
        <f t="shared" si="7"/>
        <v>12.2421418841751</v>
      </c>
      <c r="AM44" s="13">
        <f t="shared" si="7"/>
        <v>12.2421418841751</v>
      </c>
      <c r="AN44" s="13">
        <f t="shared" si="7"/>
        <v>12.2421418841751</v>
      </c>
      <c r="AO44" s="13">
        <f t="shared" si="7"/>
        <v>12.2421418841751</v>
      </c>
      <c r="AP44" s="13">
        <f t="shared" si="7"/>
        <v>12.2421418841751</v>
      </c>
      <c r="AQ44" s="13">
        <f t="shared" si="7"/>
        <v>12.2421418841751</v>
      </c>
      <c r="AR44" s="13">
        <f t="shared" si="7"/>
        <v>12.2421418841751</v>
      </c>
      <c r="AS44" s="13">
        <f t="shared" si="7"/>
        <v>12.2421418841751</v>
      </c>
      <c r="AT44" s="13">
        <f t="shared" si="7"/>
        <v>12.2421418841751</v>
      </c>
      <c r="AU44" s="13">
        <f t="shared" si="7"/>
        <v>12.2421418841751</v>
      </c>
      <c r="AV44" s="13">
        <f t="shared" si="7"/>
        <v>12.2421418841751</v>
      </c>
      <c r="AW44" s="13">
        <f t="shared" si="7"/>
        <v>12.2421418841751</v>
      </c>
      <c r="AX44" s="13">
        <f t="shared" si="7"/>
        <v>12.2421418841751</v>
      </c>
      <c r="AY44" s="13">
        <f t="shared" si="7"/>
        <v>12.2421418841751</v>
      </c>
      <c r="AZ44" s="13">
        <f t="shared" si="7"/>
        <v>12.2421418841751</v>
      </c>
      <c r="BA44" s="13">
        <f t="shared" si="7"/>
        <v>12.2421418841751</v>
      </c>
      <c r="BB44" s="13">
        <f t="shared" si="7"/>
        <v>12.2421418841751</v>
      </c>
      <c r="BC44" s="13">
        <f t="shared" si="7"/>
        <v>12.2421418841751</v>
      </c>
      <c r="BD44" s="13">
        <f t="shared" si="7"/>
        <v>12.2421418841751</v>
      </c>
      <c r="BE44" s="13">
        <f t="shared" si="7"/>
        <v>12.2421418841751</v>
      </c>
      <c r="BF44" s="13">
        <f t="shared" si="7"/>
        <v>12.2421418841751</v>
      </c>
      <c r="BG44" s="13">
        <f t="shared" si="7"/>
        <v>12.2421418841751</v>
      </c>
      <c r="BH44" s="13">
        <f t="shared" si="7"/>
        <v>12.2421418841751</v>
      </c>
      <c r="BI44" s="13">
        <f t="shared" ref="BI44:BN44" si="27">$AJ44</f>
        <v>12.2421418841751</v>
      </c>
      <c r="BJ44" s="13">
        <f t="shared" si="27"/>
        <v>12.2421418841751</v>
      </c>
      <c r="BK44" s="13">
        <f t="shared" si="27"/>
        <v>12.2421418841751</v>
      </c>
      <c r="BL44" s="13">
        <f t="shared" si="27"/>
        <v>12.2421418841751</v>
      </c>
      <c r="BM44" s="13">
        <f t="shared" si="27"/>
        <v>12.2421418841751</v>
      </c>
      <c r="BN44" s="13">
        <f t="shared" si="27"/>
        <v>12.2421418841751</v>
      </c>
    </row>
    <row r="45" spans="1:66">
      <c r="A45" s="13"/>
      <c r="B45" s="13"/>
      <c r="C45" s="13"/>
      <c r="D45" s="14" t="s">
        <v>9</v>
      </c>
      <c r="E45" s="13">
        <f t="shared" si="8"/>
        <v>1.36652665148373</v>
      </c>
      <c r="F45" s="13">
        <f t="shared" si="13"/>
        <v>1.18539917702943</v>
      </c>
      <c r="G45" s="13">
        <f t="shared" si="15"/>
        <v>0.481473742914777</v>
      </c>
      <c r="H45" s="13">
        <f t="shared" si="17"/>
        <v>0.430474327450846</v>
      </c>
      <c r="I45" s="13">
        <f t="shared" si="19"/>
        <v>0.723089313772801</v>
      </c>
      <c r="J45" s="13">
        <f t="shared" si="21"/>
        <v>0.661163260429908</v>
      </c>
      <c r="K45" s="13">
        <f t="shared" si="23"/>
        <v>0.533751115576687</v>
      </c>
      <c r="L45" s="13">
        <f t="shared" si="25"/>
        <v>0.453918799109519</v>
      </c>
      <c r="M45" s="13">
        <f t="shared" ref="M45:M60" si="28">1/ABS(M12)</f>
        <v>1.42596622734142</v>
      </c>
      <c r="N45" s="13">
        <v>0</v>
      </c>
      <c r="O45" s="13">
        <f t="shared" ref="O45:AC45" si="29">1/ABS(O12)</f>
        <v>0.927090997739633</v>
      </c>
      <c r="P45" s="13">
        <f t="shared" si="29"/>
        <v>0.420748072118016</v>
      </c>
      <c r="Q45" s="13">
        <f t="shared" si="29"/>
        <v>0.798486777808385</v>
      </c>
      <c r="R45" s="13">
        <f t="shared" si="29"/>
        <v>0.416256986788257</v>
      </c>
      <c r="S45" s="13">
        <f t="shared" si="29"/>
        <v>0.713674712792998</v>
      </c>
      <c r="T45" s="13">
        <f t="shared" si="29"/>
        <v>0.452808915510417</v>
      </c>
      <c r="U45" s="13">
        <f t="shared" si="29"/>
        <v>0.565592566648067</v>
      </c>
      <c r="V45" s="13">
        <f t="shared" si="29"/>
        <v>0.473099254952009</v>
      </c>
      <c r="W45" s="13">
        <f t="shared" si="29"/>
        <v>0.810970130616529</v>
      </c>
      <c r="X45" s="13">
        <f t="shared" si="29"/>
        <v>0.376555364450272</v>
      </c>
      <c r="Y45" s="13">
        <f t="shared" si="29"/>
        <v>0.460098710388446</v>
      </c>
      <c r="Z45" s="13">
        <f t="shared" si="29"/>
        <v>0.56349074780715</v>
      </c>
      <c r="AA45" s="13">
        <f t="shared" si="29"/>
        <v>0.422580185854182</v>
      </c>
      <c r="AB45" s="13">
        <f t="shared" si="29"/>
        <v>0.312033745592047</v>
      </c>
      <c r="AC45" s="13">
        <f t="shared" si="29"/>
        <v>0.339659082582148</v>
      </c>
      <c r="AD45" s="13">
        <f t="shared" si="5"/>
        <v>0.369394436849624</v>
      </c>
      <c r="AE45" s="13">
        <f t="shared" si="10"/>
        <v>0.521706443596875</v>
      </c>
      <c r="AF45" s="13">
        <f t="shared" si="10"/>
        <v>0.29519133882588</v>
      </c>
      <c r="AG45" s="13">
        <f t="shared" si="6"/>
        <v>0.439738900758239</v>
      </c>
      <c r="AH45" s="13">
        <f t="shared" si="6"/>
        <v>0.474858753996069</v>
      </c>
      <c r="AI45" s="13">
        <f t="shared" si="6"/>
        <v>0.4670483637126</v>
      </c>
      <c r="AJ45" s="13">
        <f t="shared" si="11"/>
        <v>17.882847104497</v>
      </c>
      <c r="AK45" s="13">
        <f t="shared" si="12"/>
        <v>17.882847104497</v>
      </c>
      <c r="AL45" s="13">
        <f t="shared" si="12"/>
        <v>17.882847104497</v>
      </c>
      <c r="AM45" s="13">
        <f t="shared" si="12"/>
        <v>17.882847104497</v>
      </c>
      <c r="AN45" s="13">
        <f t="shared" si="12"/>
        <v>17.882847104497</v>
      </c>
      <c r="AO45" s="13">
        <f t="shared" si="12"/>
        <v>17.882847104497</v>
      </c>
      <c r="AP45" s="13">
        <f t="shared" si="12"/>
        <v>17.882847104497</v>
      </c>
      <c r="AQ45" s="13">
        <f t="shared" si="12"/>
        <v>17.882847104497</v>
      </c>
      <c r="AR45" s="13">
        <f t="shared" si="12"/>
        <v>17.882847104497</v>
      </c>
      <c r="AS45" s="13">
        <f t="shared" si="12"/>
        <v>17.882847104497</v>
      </c>
      <c r="AT45" s="13">
        <f t="shared" si="12"/>
        <v>17.882847104497</v>
      </c>
      <c r="AU45" s="13">
        <f t="shared" si="12"/>
        <v>17.882847104497</v>
      </c>
      <c r="AV45" s="13">
        <f t="shared" si="12"/>
        <v>17.882847104497</v>
      </c>
      <c r="AW45" s="13">
        <f t="shared" si="12"/>
        <v>17.882847104497</v>
      </c>
      <c r="AX45" s="13">
        <f t="shared" si="12"/>
        <v>17.882847104497</v>
      </c>
      <c r="AY45" s="13">
        <f t="shared" si="12"/>
        <v>17.882847104497</v>
      </c>
      <c r="AZ45" s="13">
        <f t="shared" si="12"/>
        <v>17.882847104497</v>
      </c>
      <c r="BA45" s="13">
        <f t="shared" ref="BA45:BN66" si="30">$AJ45</f>
        <v>17.882847104497</v>
      </c>
      <c r="BB45" s="13">
        <f t="shared" si="30"/>
        <v>17.882847104497</v>
      </c>
      <c r="BC45" s="13">
        <f t="shared" si="30"/>
        <v>17.882847104497</v>
      </c>
      <c r="BD45" s="13">
        <f t="shared" si="30"/>
        <v>17.882847104497</v>
      </c>
      <c r="BE45" s="13">
        <f t="shared" si="30"/>
        <v>17.882847104497</v>
      </c>
      <c r="BF45" s="13">
        <f t="shared" si="30"/>
        <v>17.882847104497</v>
      </c>
      <c r="BG45" s="13">
        <f t="shared" si="30"/>
        <v>17.882847104497</v>
      </c>
      <c r="BH45" s="13">
        <f t="shared" si="30"/>
        <v>17.882847104497</v>
      </c>
      <c r="BI45" s="13">
        <f t="shared" si="30"/>
        <v>17.882847104497</v>
      </c>
      <c r="BJ45" s="13">
        <f t="shared" si="30"/>
        <v>17.882847104497</v>
      </c>
      <c r="BK45" s="13">
        <f t="shared" si="30"/>
        <v>17.882847104497</v>
      </c>
      <c r="BL45" s="13">
        <f t="shared" si="30"/>
        <v>17.882847104497</v>
      </c>
      <c r="BM45" s="13">
        <f t="shared" si="30"/>
        <v>17.882847104497</v>
      </c>
      <c r="BN45" s="13">
        <f t="shared" si="30"/>
        <v>17.882847104497</v>
      </c>
    </row>
    <row r="46" spans="1:66">
      <c r="A46" s="13"/>
      <c r="B46" s="13"/>
      <c r="C46" s="13"/>
      <c r="D46" s="14" t="s">
        <v>10</v>
      </c>
      <c r="E46" s="13">
        <f t="shared" si="8"/>
        <v>1.47399408991727</v>
      </c>
      <c r="F46" s="13">
        <f t="shared" si="13"/>
        <v>1.27862224950904</v>
      </c>
      <c r="G46" s="13">
        <f t="shared" si="15"/>
        <v>0.519338170782234</v>
      </c>
      <c r="H46" s="13">
        <f t="shared" si="17"/>
        <v>0.464328020119273</v>
      </c>
      <c r="I46" s="13">
        <f t="shared" si="19"/>
        <v>0.779955058927101</v>
      </c>
      <c r="J46" s="13">
        <f t="shared" si="21"/>
        <v>0.713158969337324</v>
      </c>
      <c r="K46" s="13">
        <f t="shared" si="23"/>
        <v>0.575726780734621</v>
      </c>
      <c r="L46" s="13">
        <f t="shared" si="25"/>
        <v>0.489616229923741</v>
      </c>
      <c r="M46" s="13">
        <f t="shared" si="28"/>
        <v>1.53810815854982</v>
      </c>
      <c r="N46" s="13">
        <f t="shared" ref="N46:N60" si="31">1/ABS(N13)</f>
        <v>1.07864276801105</v>
      </c>
      <c r="O46" s="13">
        <v>0</v>
      </c>
      <c r="P46" s="13">
        <f t="shared" ref="P46:Y46" si="32">1/ABS(P13)</f>
        <v>0.453836865144688</v>
      </c>
      <c r="Q46" s="13">
        <f t="shared" si="32"/>
        <v>0.861281988235457</v>
      </c>
      <c r="R46" s="13">
        <f t="shared" si="32"/>
        <v>0.448992588433223</v>
      </c>
      <c r="S46" s="13">
        <f t="shared" si="32"/>
        <v>0.769800067666527</v>
      </c>
      <c r="T46" s="13">
        <f t="shared" si="32"/>
        <v>0.488419062006235</v>
      </c>
      <c r="U46" s="13">
        <f t="shared" si="32"/>
        <v>0.610072331655742</v>
      </c>
      <c r="V46" s="13">
        <f t="shared" si="32"/>
        <v>0.510305089905399</v>
      </c>
      <c r="W46" s="13">
        <f t="shared" si="32"/>
        <v>0.874747066462492</v>
      </c>
      <c r="X46" s="13">
        <f t="shared" si="32"/>
        <v>0.406168720620049</v>
      </c>
      <c r="Y46" s="13">
        <f t="shared" si="32"/>
        <v>0.496282146531705</v>
      </c>
      <c r="Z46" s="13">
        <f t="shared" ref="Z46:AI60" si="33">1/ABS(Z13)</f>
        <v>0.607805219963318</v>
      </c>
      <c r="AA46" s="13">
        <f t="shared" si="33"/>
        <v>0.455813061376376</v>
      </c>
      <c r="AB46" s="13">
        <f t="shared" si="33"/>
        <v>0.33657294305826</v>
      </c>
      <c r="AC46" s="13">
        <f t="shared" si="33"/>
        <v>0.3663708130165</v>
      </c>
      <c r="AD46" s="13">
        <f t="shared" si="33"/>
        <v>0.39844463785136</v>
      </c>
      <c r="AE46" s="13">
        <f t="shared" si="33"/>
        <v>0.562734882410532</v>
      </c>
      <c r="AF46" s="13">
        <f t="shared" si="33"/>
        <v>0.318406002804033</v>
      </c>
      <c r="AG46" s="13">
        <f t="shared" si="33"/>
        <v>0.474321185116001</v>
      </c>
      <c r="AH46" s="13">
        <f t="shared" si="33"/>
        <v>0.512202960824596</v>
      </c>
      <c r="AI46" s="13">
        <f t="shared" si="33"/>
        <v>0.503778339829989</v>
      </c>
      <c r="AJ46" s="13">
        <f t="shared" si="11"/>
        <v>19.367846468724</v>
      </c>
      <c r="AK46" s="13">
        <f t="shared" si="12"/>
        <v>19.367846468724</v>
      </c>
      <c r="AL46" s="13">
        <f t="shared" si="12"/>
        <v>19.367846468724</v>
      </c>
      <c r="AM46" s="13">
        <f t="shared" si="12"/>
        <v>19.367846468724</v>
      </c>
      <c r="AN46" s="13">
        <f t="shared" si="12"/>
        <v>19.367846468724</v>
      </c>
      <c r="AO46" s="13">
        <f t="shared" si="12"/>
        <v>19.367846468724</v>
      </c>
      <c r="AP46" s="13">
        <f t="shared" si="12"/>
        <v>19.367846468724</v>
      </c>
      <c r="AQ46" s="13">
        <f t="shared" si="12"/>
        <v>19.367846468724</v>
      </c>
      <c r="AR46" s="13">
        <f t="shared" si="12"/>
        <v>19.367846468724</v>
      </c>
      <c r="AS46" s="13">
        <f t="shared" si="12"/>
        <v>19.367846468724</v>
      </c>
      <c r="AT46" s="13">
        <f t="shared" si="12"/>
        <v>19.367846468724</v>
      </c>
      <c r="AU46" s="13">
        <f t="shared" si="12"/>
        <v>19.367846468724</v>
      </c>
      <c r="AV46" s="13">
        <f t="shared" si="12"/>
        <v>19.367846468724</v>
      </c>
      <c r="AW46" s="13">
        <f t="shared" si="12"/>
        <v>19.367846468724</v>
      </c>
      <c r="AX46" s="13">
        <f t="shared" si="12"/>
        <v>19.367846468724</v>
      </c>
      <c r="AY46" s="13">
        <f t="shared" si="12"/>
        <v>19.367846468724</v>
      </c>
      <c r="AZ46" s="13">
        <f t="shared" si="12"/>
        <v>19.367846468724</v>
      </c>
      <c r="BA46" s="13">
        <f t="shared" si="30"/>
        <v>19.367846468724</v>
      </c>
      <c r="BB46" s="13">
        <f t="shared" si="30"/>
        <v>19.367846468724</v>
      </c>
      <c r="BC46" s="13">
        <f t="shared" si="30"/>
        <v>19.367846468724</v>
      </c>
      <c r="BD46" s="13">
        <f t="shared" si="30"/>
        <v>19.367846468724</v>
      </c>
      <c r="BE46" s="13">
        <f t="shared" si="30"/>
        <v>19.367846468724</v>
      </c>
      <c r="BF46" s="13">
        <f t="shared" si="30"/>
        <v>19.367846468724</v>
      </c>
      <c r="BG46" s="13">
        <f t="shared" si="30"/>
        <v>19.367846468724</v>
      </c>
      <c r="BH46" s="13">
        <f t="shared" si="30"/>
        <v>19.367846468724</v>
      </c>
      <c r="BI46" s="13">
        <f t="shared" si="30"/>
        <v>19.367846468724</v>
      </c>
      <c r="BJ46" s="13">
        <f t="shared" si="30"/>
        <v>19.367846468724</v>
      </c>
      <c r="BK46" s="13">
        <f t="shared" si="30"/>
        <v>19.367846468724</v>
      </c>
      <c r="BL46" s="13">
        <f t="shared" si="30"/>
        <v>19.367846468724</v>
      </c>
      <c r="BM46" s="13">
        <f t="shared" si="30"/>
        <v>19.367846468724</v>
      </c>
      <c r="BN46" s="13">
        <f t="shared" si="30"/>
        <v>19.367846468724</v>
      </c>
    </row>
    <row r="47" spans="1:66">
      <c r="A47" s="13"/>
      <c r="B47" s="13"/>
      <c r="C47" s="13"/>
      <c r="D47" s="14" t="s">
        <v>11</v>
      </c>
      <c r="E47" s="13">
        <f t="shared" si="8"/>
        <v>3.24785006049993</v>
      </c>
      <c r="F47" s="13">
        <f t="shared" si="13"/>
        <v>2.81736092351467</v>
      </c>
      <c r="G47" s="13">
        <f t="shared" si="15"/>
        <v>1.14432786463185</v>
      </c>
      <c r="H47" s="13">
        <f t="shared" si="17"/>
        <v>1.02311657729973</v>
      </c>
      <c r="I47" s="13">
        <f t="shared" si="19"/>
        <v>1.71858021863967</v>
      </c>
      <c r="J47" s="13">
        <f t="shared" si="21"/>
        <v>1.57139938182404</v>
      </c>
      <c r="K47" s="13">
        <f t="shared" si="23"/>
        <v>1.26857649730829</v>
      </c>
      <c r="L47" s="13">
        <f t="shared" si="25"/>
        <v>1.07883750203423</v>
      </c>
      <c r="M47" s="13">
        <f t="shared" si="28"/>
        <v>3.38912123866238</v>
      </c>
      <c r="N47" s="13">
        <f t="shared" si="31"/>
        <v>2.37671914921932</v>
      </c>
      <c r="O47" s="13">
        <f t="shared" ref="O47:O60" si="34">1/ABS(O14)</f>
        <v>2.20343492739663</v>
      </c>
      <c r="P47" s="13">
        <v>0</v>
      </c>
      <c r="Q47" s="13">
        <f t="shared" ref="Q47:AC47" si="35">1/ABS(Q14)</f>
        <v>1.89777881521562</v>
      </c>
      <c r="R47" s="13">
        <f t="shared" si="35"/>
        <v>0.989325951495984</v>
      </c>
      <c r="S47" s="13">
        <f t="shared" si="35"/>
        <v>1.69620435620872</v>
      </c>
      <c r="T47" s="13">
        <f t="shared" si="35"/>
        <v>1.07619962043084</v>
      </c>
      <c r="U47" s="13">
        <f t="shared" si="35"/>
        <v>1.34425468380856</v>
      </c>
      <c r="V47" s="13">
        <f t="shared" si="35"/>
        <v>1.12442405872583</v>
      </c>
      <c r="W47" s="13">
        <f t="shared" si="35"/>
        <v>1.9274482388812</v>
      </c>
      <c r="X47" s="13">
        <f t="shared" si="35"/>
        <v>0.894966345430221</v>
      </c>
      <c r="Y47" s="13">
        <f t="shared" si="35"/>
        <v>1.09352541551133</v>
      </c>
      <c r="Z47" s="13">
        <f t="shared" si="35"/>
        <v>1.33925925072117</v>
      </c>
      <c r="AA47" s="13">
        <f t="shared" si="35"/>
        <v>1.00435441980029</v>
      </c>
      <c r="AB47" s="13">
        <f t="shared" si="35"/>
        <v>0.741616578351247</v>
      </c>
      <c r="AC47" s="13">
        <f t="shared" si="35"/>
        <v>0.807274245779258</v>
      </c>
      <c r="AD47" s="13">
        <f t="shared" si="33"/>
        <v>0.877946831675588</v>
      </c>
      <c r="AE47" s="13">
        <f t="shared" ref="AE47:AI60" si="36">1/ABS(AE14)</f>
        <v>1.2399496947678</v>
      </c>
      <c r="AF47" s="13">
        <f t="shared" si="36"/>
        <v>0.701586907671157</v>
      </c>
      <c r="AG47" s="13">
        <f t="shared" si="36"/>
        <v>1.04513586608876</v>
      </c>
      <c r="AH47" s="13">
        <f t="shared" si="36"/>
        <v>1.12860589379688</v>
      </c>
      <c r="AI47" s="13">
        <f t="shared" si="36"/>
        <v>1.11004278964729</v>
      </c>
      <c r="AJ47" s="13">
        <f t="shared" si="11"/>
        <v>43.8792243050385</v>
      </c>
      <c r="AK47" s="13">
        <f t="shared" si="12"/>
        <v>43.8792243050385</v>
      </c>
      <c r="AL47" s="13">
        <f t="shared" si="12"/>
        <v>43.8792243050385</v>
      </c>
      <c r="AM47" s="13">
        <f t="shared" si="12"/>
        <v>43.8792243050385</v>
      </c>
      <c r="AN47" s="13">
        <f t="shared" si="12"/>
        <v>43.8792243050385</v>
      </c>
      <c r="AO47" s="13">
        <f t="shared" si="12"/>
        <v>43.8792243050385</v>
      </c>
      <c r="AP47" s="13">
        <f t="shared" si="12"/>
        <v>43.8792243050385</v>
      </c>
      <c r="AQ47" s="13">
        <f t="shared" si="12"/>
        <v>43.8792243050385</v>
      </c>
      <c r="AR47" s="13">
        <f t="shared" si="12"/>
        <v>43.8792243050385</v>
      </c>
      <c r="AS47" s="13">
        <f t="shared" si="12"/>
        <v>43.8792243050385</v>
      </c>
      <c r="AT47" s="13">
        <f t="shared" si="12"/>
        <v>43.8792243050385</v>
      </c>
      <c r="AU47" s="13">
        <f t="shared" si="12"/>
        <v>43.8792243050385</v>
      </c>
      <c r="AV47" s="13">
        <f t="shared" si="12"/>
        <v>43.8792243050385</v>
      </c>
      <c r="AW47" s="13">
        <f t="shared" si="12"/>
        <v>43.8792243050385</v>
      </c>
      <c r="AX47" s="13">
        <f t="shared" si="12"/>
        <v>43.8792243050385</v>
      </c>
      <c r="AY47" s="13">
        <f t="shared" si="12"/>
        <v>43.8792243050385</v>
      </c>
      <c r="AZ47" s="13">
        <f t="shared" si="12"/>
        <v>43.8792243050385</v>
      </c>
      <c r="BA47" s="13">
        <f t="shared" si="30"/>
        <v>43.8792243050385</v>
      </c>
      <c r="BB47" s="13">
        <f t="shared" si="30"/>
        <v>43.8792243050385</v>
      </c>
      <c r="BC47" s="13">
        <f t="shared" si="30"/>
        <v>43.8792243050385</v>
      </c>
      <c r="BD47" s="13">
        <f t="shared" si="30"/>
        <v>43.8792243050385</v>
      </c>
      <c r="BE47" s="13">
        <f t="shared" si="30"/>
        <v>43.8792243050385</v>
      </c>
      <c r="BF47" s="13">
        <f t="shared" si="30"/>
        <v>43.8792243050385</v>
      </c>
      <c r="BG47" s="13">
        <f t="shared" si="30"/>
        <v>43.8792243050385</v>
      </c>
      <c r="BH47" s="13">
        <f t="shared" si="30"/>
        <v>43.8792243050385</v>
      </c>
      <c r="BI47" s="13">
        <f t="shared" si="30"/>
        <v>43.8792243050385</v>
      </c>
      <c r="BJ47" s="13">
        <f t="shared" si="30"/>
        <v>43.8792243050385</v>
      </c>
      <c r="BK47" s="13">
        <f t="shared" si="30"/>
        <v>43.8792243050385</v>
      </c>
      <c r="BL47" s="13">
        <f t="shared" si="30"/>
        <v>43.8792243050385</v>
      </c>
      <c r="BM47" s="13">
        <f t="shared" si="30"/>
        <v>43.8792243050385</v>
      </c>
      <c r="BN47" s="13">
        <f t="shared" si="30"/>
        <v>43.8792243050385</v>
      </c>
    </row>
    <row r="48" spans="1:66">
      <c r="A48" s="13"/>
      <c r="B48" s="13"/>
      <c r="C48" s="13"/>
      <c r="D48" s="14" t="s">
        <v>12</v>
      </c>
      <c r="E48" s="13">
        <f t="shared" si="8"/>
        <v>1.71139546635255</v>
      </c>
      <c r="F48" s="13">
        <f t="shared" si="13"/>
        <v>1.48455705213179</v>
      </c>
      <c r="G48" s="13">
        <f t="shared" si="15"/>
        <v>0.60298273721737</v>
      </c>
      <c r="H48" s="13">
        <f t="shared" si="17"/>
        <v>0.539112655856836</v>
      </c>
      <c r="I48" s="13">
        <f t="shared" si="19"/>
        <v>0.905574561619507</v>
      </c>
      <c r="J48" s="13">
        <f t="shared" si="21"/>
        <v>0.828020298901643</v>
      </c>
      <c r="K48" s="13">
        <f t="shared" si="23"/>
        <v>0.668453292416037</v>
      </c>
      <c r="L48" s="13">
        <f t="shared" si="25"/>
        <v>0.568473782816285</v>
      </c>
      <c r="M48" s="13">
        <f t="shared" si="28"/>
        <v>1.78583574202103</v>
      </c>
      <c r="N48" s="13">
        <f t="shared" si="31"/>
        <v>1.25236889049648</v>
      </c>
      <c r="O48" s="13">
        <f t="shared" si="34"/>
        <v>1.16105992422846</v>
      </c>
      <c r="P48" s="13">
        <f t="shared" ref="P48:P60" si="37">1/ABS(P15)</f>
        <v>0.526931796256975</v>
      </c>
      <c r="Q48" s="13">
        <v>0</v>
      </c>
      <c r="R48" s="13">
        <f t="shared" ref="R48:AC48" si="38">1/ABS(R15)</f>
        <v>0.52130730070542</v>
      </c>
      <c r="S48" s="13">
        <f t="shared" si="38"/>
        <v>0.893784008235964</v>
      </c>
      <c r="T48" s="13">
        <f t="shared" si="38"/>
        <v>0.567083799124697</v>
      </c>
      <c r="U48" s="13">
        <f t="shared" si="38"/>
        <v>0.708330535166098</v>
      </c>
      <c r="V48" s="13">
        <f t="shared" si="38"/>
        <v>0.592494789018962</v>
      </c>
      <c r="W48" s="13">
        <f t="shared" si="38"/>
        <v>1.01563376270601</v>
      </c>
      <c r="X48" s="13">
        <f t="shared" si="38"/>
        <v>0.471586223987087</v>
      </c>
      <c r="Y48" s="13">
        <f t="shared" si="38"/>
        <v>0.576213311448041</v>
      </c>
      <c r="Z48" s="13">
        <f t="shared" si="38"/>
        <v>0.705698282636275</v>
      </c>
      <c r="AA48" s="13">
        <f t="shared" si="38"/>
        <v>0.529226278504</v>
      </c>
      <c r="AB48" s="13">
        <f t="shared" si="38"/>
        <v>0.390781355764574</v>
      </c>
      <c r="AC48" s="13">
        <f t="shared" si="38"/>
        <v>0.425378468400459</v>
      </c>
      <c r="AD48" s="13">
        <f t="shared" si="33"/>
        <v>0.462618101032937</v>
      </c>
      <c r="AE48" s="13">
        <f t="shared" si="36"/>
        <v>0.653368919932286</v>
      </c>
      <c r="AF48" s="13">
        <f t="shared" si="36"/>
        <v>0.369688449489539</v>
      </c>
      <c r="AG48" s="13">
        <f t="shared" si="36"/>
        <v>0.550715319250739</v>
      </c>
      <c r="AH48" s="13">
        <f t="shared" si="36"/>
        <v>0.5946983308846</v>
      </c>
      <c r="AI48" s="13">
        <f t="shared" si="36"/>
        <v>0.584916841070948</v>
      </c>
      <c r="AJ48" s="13">
        <f t="shared" si="11"/>
        <v>22.6482902776736</v>
      </c>
      <c r="AK48" s="13">
        <f t="shared" si="12"/>
        <v>22.6482902776736</v>
      </c>
      <c r="AL48" s="13">
        <f t="shared" si="12"/>
        <v>22.6482902776736</v>
      </c>
      <c r="AM48" s="13">
        <f t="shared" si="12"/>
        <v>22.6482902776736</v>
      </c>
      <c r="AN48" s="13">
        <f t="shared" si="12"/>
        <v>22.6482902776736</v>
      </c>
      <c r="AO48" s="13">
        <f t="shared" si="12"/>
        <v>22.6482902776736</v>
      </c>
      <c r="AP48" s="13">
        <f t="shared" si="12"/>
        <v>22.6482902776736</v>
      </c>
      <c r="AQ48" s="13">
        <f t="shared" si="12"/>
        <v>22.6482902776736</v>
      </c>
      <c r="AR48" s="13">
        <f t="shared" si="12"/>
        <v>22.6482902776736</v>
      </c>
      <c r="AS48" s="13">
        <f t="shared" si="12"/>
        <v>22.6482902776736</v>
      </c>
      <c r="AT48" s="13">
        <f t="shared" si="12"/>
        <v>22.6482902776736</v>
      </c>
      <c r="AU48" s="13">
        <f t="shared" si="12"/>
        <v>22.6482902776736</v>
      </c>
      <c r="AV48" s="13">
        <f t="shared" si="12"/>
        <v>22.6482902776736</v>
      </c>
      <c r="AW48" s="13">
        <f t="shared" si="12"/>
        <v>22.6482902776736</v>
      </c>
      <c r="AX48" s="13">
        <f t="shared" si="12"/>
        <v>22.6482902776736</v>
      </c>
      <c r="AY48" s="13">
        <f t="shared" si="12"/>
        <v>22.6482902776736</v>
      </c>
      <c r="AZ48" s="13">
        <f t="shared" si="12"/>
        <v>22.6482902776736</v>
      </c>
      <c r="BA48" s="13">
        <f t="shared" si="30"/>
        <v>22.6482902776736</v>
      </c>
      <c r="BB48" s="13">
        <f t="shared" si="30"/>
        <v>22.6482902776736</v>
      </c>
      <c r="BC48" s="13">
        <f t="shared" si="30"/>
        <v>22.6482902776736</v>
      </c>
      <c r="BD48" s="13">
        <f t="shared" si="30"/>
        <v>22.6482902776736</v>
      </c>
      <c r="BE48" s="13">
        <f t="shared" si="30"/>
        <v>22.6482902776736</v>
      </c>
      <c r="BF48" s="13">
        <f t="shared" si="30"/>
        <v>22.6482902776736</v>
      </c>
      <c r="BG48" s="13">
        <f t="shared" si="30"/>
        <v>22.6482902776736</v>
      </c>
      <c r="BH48" s="13">
        <f t="shared" si="30"/>
        <v>22.6482902776736</v>
      </c>
      <c r="BI48" s="13">
        <f t="shared" si="30"/>
        <v>22.6482902776736</v>
      </c>
      <c r="BJ48" s="13">
        <f t="shared" si="30"/>
        <v>22.6482902776736</v>
      </c>
      <c r="BK48" s="13">
        <f t="shared" si="30"/>
        <v>22.6482902776736</v>
      </c>
      <c r="BL48" s="13">
        <f t="shared" si="30"/>
        <v>22.6482902776736</v>
      </c>
      <c r="BM48" s="13">
        <f t="shared" si="30"/>
        <v>22.6482902776736</v>
      </c>
      <c r="BN48" s="13">
        <f t="shared" si="30"/>
        <v>22.6482902776736</v>
      </c>
    </row>
    <row r="49" spans="1:66">
      <c r="A49" s="13"/>
      <c r="B49" s="13"/>
      <c r="C49" s="13"/>
      <c r="D49" s="14" t="s">
        <v>13</v>
      </c>
      <c r="E49" s="13">
        <f t="shared" si="8"/>
        <v>3.28289180688001</v>
      </c>
      <c r="F49" s="13">
        <f t="shared" si="13"/>
        <v>2.84775803086381</v>
      </c>
      <c r="G49" s="13">
        <f t="shared" si="15"/>
        <v>1.15667426180571</v>
      </c>
      <c r="H49" s="13">
        <f t="shared" si="17"/>
        <v>1.03415520006592</v>
      </c>
      <c r="I49" s="13">
        <f t="shared" si="19"/>
        <v>1.73712234682712</v>
      </c>
      <c r="J49" s="13">
        <f t="shared" si="21"/>
        <v>1.58835354460064</v>
      </c>
      <c r="K49" s="13">
        <f t="shared" si="23"/>
        <v>1.28226343945597</v>
      </c>
      <c r="L49" s="13">
        <f t="shared" si="25"/>
        <v>1.09047730973083</v>
      </c>
      <c r="M49" s="13">
        <f t="shared" si="28"/>
        <v>3.42568718988682</v>
      </c>
      <c r="N49" s="13">
        <f t="shared" si="31"/>
        <v>2.40236207857019</v>
      </c>
      <c r="O49" s="13">
        <f t="shared" si="34"/>
        <v>2.22720825635349</v>
      </c>
      <c r="P49" s="13">
        <f t="shared" si="37"/>
        <v>1.01078921308784</v>
      </c>
      <c r="Q49" s="13">
        <f t="shared" ref="Q49:Q60" si="39">1/ABS(Q16)</f>
        <v>1.91825435524656</v>
      </c>
      <c r="R49" s="13">
        <v>0</v>
      </c>
      <c r="S49" s="13">
        <f t="shared" ref="S49:AC49" si="40">1/ABS(S16)</f>
        <v>1.71450506644837</v>
      </c>
      <c r="T49" s="13">
        <f t="shared" si="40"/>
        <v>1.08781096746072</v>
      </c>
      <c r="U49" s="13">
        <f t="shared" si="40"/>
        <v>1.3587581340365</v>
      </c>
      <c r="V49" s="13">
        <f t="shared" si="40"/>
        <v>1.13655570949652</v>
      </c>
      <c r="W49" s="13">
        <f t="shared" si="40"/>
        <v>1.94824388864626</v>
      </c>
      <c r="X49" s="13">
        <f t="shared" si="40"/>
        <v>0.90462232803751</v>
      </c>
      <c r="Y49" s="13">
        <f t="shared" si="40"/>
        <v>1.10532369423625</v>
      </c>
      <c r="Z49" s="13">
        <f t="shared" si="40"/>
        <v>1.35370880415705</v>
      </c>
      <c r="AA49" s="13">
        <f t="shared" si="40"/>
        <v>1.01519061365123</v>
      </c>
      <c r="AB49" s="13">
        <f t="shared" si="40"/>
        <v>0.74961803764455</v>
      </c>
      <c r="AC49" s="13">
        <f t="shared" si="40"/>
        <v>0.815984099637292</v>
      </c>
      <c r="AD49" s="13">
        <f t="shared" si="33"/>
        <v>0.887419187122326</v>
      </c>
      <c r="AE49" s="13">
        <f t="shared" si="36"/>
        <v>1.25332777624285</v>
      </c>
      <c r="AF49" s="13">
        <f t="shared" si="36"/>
        <v>0.709156478317657</v>
      </c>
      <c r="AG49" s="13">
        <f t="shared" si="36"/>
        <v>1.05641205965373</v>
      </c>
      <c r="AH49" s="13">
        <f t="shared" si="36"/>
        <v>1.14078266327724</v>
      </c>
      <c r="AI49" s="13">
        <f t="shared" si="36"/>
        <v>1.12201927784141</v>
      </c>
      <c r="AJ49" s="13">
        <f t="shared" si="11"/>
        <v>44.3634358192824</v>
      </c>
      <c r="AK49" s="13">
        <f t="shared" si="12"/>
        <v>44.3634358192824</v>
      </c>
      <c r="AL49" s="13">
        <f t="shared" si="12"/>
        <v>44.3634358192824</v>
      </c>
      <c r="AM49" s="13">
        <f t="shared" si="12"/>
        <v>44.3634358192824</v>
      </c>
      <c r="AN49" s="13">
        <f t="shared" si="12"/>
        <v>44.3634358192824</v>
      </c>
      <c r="AO49" s="13">
        <f t="shared" si="12"/>
        <v>44.3634358192824</v>
      </c>
      <c r="AP49" s="13">
        <f t="shared" si="12"/>
        <v>44.3634358192824</v>
      </c>
      <c r="AQ49" s="13">
        <f t="shared" si="12"/>
        <v>44.3634358192824</v>
      </c>
      <c r="AR49" s="13">
        <f t="shared" si="12"/>
        <v>44.3634358192824</v>
      </c>
      <c r="AS49" s="13">
        <f t="shared" si="12"/>
        <v>44.3634358192824</v>
      </c>
      <c r="AT49" s="13">
        <f t="shared" si="12"/>
        <v>44.3634358192824</v>
      </c>
      <c r="AU49" s="13">
        <f t="shared" si="12"/>
        <v>44.3634358192824</v>
      </c>
      <c r="AV49" s="13">
        <f t="shared" si="12"/>
        <v>44.3634358192824</v>
      </c>
      <c r="AW49" s="13">
        <f t="shared" si="12"/>
        <v>44.3634358192824</v>
      </c>
      <c r="AX49" s="13">
        <f t="shared" si="12"/>
        <v>44.3634358192824</v>
      </c>
      <c r="AY49" s="13">
        <f t="shared" si="12"/>
        <v>44.3634358192824</v>
      </c>
      <c r="AZ49" s="13">
        <f t="shared" si="12"/>
        <v>44.3634358192824</v>
      </c>
      <c r="BA49" s="13">
        <f t="shared" si="30"/>
        <v>44.3634358192824</v>
      </c>
      <c r="BB49" s="13">
        <f t="shared" si="30"/>
        <v>44.3634358192824</v>
      </c>
      <c r="BC49" s="13">
        <f t="shared" si="30"/>
        <v>44.3634358192824</v>
      </c>
      <c r="BD49" s="13">
        <f t="shared" si="30"/>
        <v>44.3634358192824</v>
      </c>
      <c r="BE49" s="13">
        <f t="shared" si="30"/>
        <v>44.3634358192824</v>
      </c>
      <c r="BF49" s="13">
        <f t="shared" si="30"/>
        <v>44.3634358192824</v>
      </c>
      <c r="BG49" s="13">
        <f t="shared" si="30"/>
        <v>44.3634358192824</v>
      </c>
      <c r="BH49" s="13">
        <f t="shared" si="30"/>
        <v>44.3634358192824</v>
      </c>
      <c r="BI49" s="13">
        <f t="shared" si="30"/>
        <v>44.3634358192824</v>
      </c>
      <c r="BJ49" s="13">
        <f t="shared" si="30"/>
        <v>44.3634358192824</v>
      </c>
      <c r="BK49" s="13">
        <f t="shared" si="30"/>
        <v>44.3634358192824</v>
      </c>
      <c r="BL49" s="13">
        <f t="shared" si="30"/>
        <v>44.3634358192824</v>
      </c>
      <c r="BM49" s="13">
        <f t="shared" si="30"/>
        <v>44.3634358192824</v>
      </c>
      <c r="BN49" s="13">
        <f t="shared" si="30"/>
        <v>44.3634358192824</v>
      </c>
    </row>
    <row r="50" spans="1:66">
      <c r="A50" s="13"/>
      <c r="B50" s="13"/>
      <c r="C50" s="13"/>
      <c r="D50" s="14" t="s">
        <v>14</v>
      </c>
      <c r="E50" s="13">
        <f t="shared" si="8"/>
        <v>1.91477521479746</v>
      </c>
      <c r="F50" s="13">
        <f t="shared" si="13"/>
        <v>1.66097965330776</v>
      </c>
      <c r="G50" s="13">
        <f t="shared" si="15"/>
        <v>0.674640328827833</v>
      </c>
      <c r="H50" s="13">
        <f t="shared" si="17"/>
        <v>0.603180019880717</v>
      </c>
      <c r="I50" s="13">
        <f t="shared" si="19"/>
        <v>1.01319172560137</v>
      </c>
      <c r="J50" s="13">
        <f t="shared" si="21"/>
        <v>0.926421027084477</v>
      </c>
      <c r="K50" s="13">
        <f t="shared" si="23"/>
        <v>0.747891309596536</v>
      </c>
      <c r="L50" s="13">
        <f t="shared" si="25"/>
        <v>0.636030380469959</v>
      </c>
      <c r="M50" s="13">
        <f t="shared" si="28"/>
        <v>1.9980618645725</v>
      </c>
      <c r="N50" s="13">
        <f t="shared" si="31"/>
        <v>1.40119858820058</v>
      </c>
      <c r="O50" s="13">
        <f t="shared" si="34"/>
        <v>1.29903859716624</v>
      </c>
      <c r="P50" s="13">
        <f t="shared" si="37"/>
        <v>0.589551604639878</v>
      </c>
      <c r="Q50" s="13">
        <f t="shared" si="39"/>
        <v>1.11883854576193</v>
      </c>
      <c r="R50" s="13">
        <f t="shared" ref="R50:R60" si="41">1/ABS(R17)</f>
        <v>0.583258702216331</v>
      </c>
      <c r="S50" s="13">
        <v>0</v>
      </c>
      <c r="T50" s="13">
        <f t="shared" ref="T50:AC50" si="42">1/ABS(T17)</f>
        <v>0.634475213137829</v>
      </c>
      <c r="U50" s="13">
        <f t="shared" si="42"/>
        <v>0.792507505884011</v>
      </c>
      <c r="V50" s="13">
        <f t="shared" si="42"/>
        <v>0.6629060081175</v>
      </c>
      <c r="W50" s="13">
        <f t="shared" si="42"/>
        <v>1.13633020209272</v>
      </c>
      <c r="X50" s="13">
        <f t="shared" si="42"/>
        <v>0.527628845047074</v>
      </c>
      <c r="Y50" s="13">
        <f t="shared" si="42"/>
        <v>0.644689663429195</v>
      </c>
      <c r="Z50" s="13">
        <f t="shared" si="42"/>
        <v>0.789562440291465</v>
      </c>
      <c r="AA50" s="13">
        <f t="shared" si="42"/>
        <v>0.592118759820416</v>
      </c>
      <c r="AB50" s="13">
        <f t="shared" si="42"/>
        <v>0.437221243794513</v>
      </c>
      <c r="AC50" s="13">
        <f t="shared" si="42"/>
        <v>0.475929826983609</v>
      </c>
      <c r="AD50" s="13">
        <f t="shared" si="33"/>
        <v>0.517594963402839</v>
      </c>
      <c r="AE50" s="13">
        <f t="shared" si="36"/>
        <v>0.731014332223085</v>
      </c>
      <c r="AF50" s="13">
        <f t="shared" si="36"/>
        <v>0.41362168721186</v>
      </c>
      <c r="AG50" s="13">
        <f t="shared" si="36"/>
        <v>0.616161526919317</v>
      </c>
      <c r="AH50" s="13">
        <f t="shared" si="36"/>
        <v>0.665371415693976</v>
      </c>
      <c r="AI50" s="13">
        <f t="shared" si="36"/>
        <v>0.654427507855484</v>
      </c>
      <c r="AJ50" s="13">
        <f t="shared" si="11"/>
        <v>25.4586187040285</v>
      </c>
      <c r="AK50" s="13">
        <f t="shared" si="12"/>
        <v>25.4586187040285</v>
      </c>
      <c r="AL50" s="13">
        <f t="shared" si="12"/>
        <v>25.4586187040285</v>
      </c>
      <c r="AM50" s="13">
        <f t="shared" si="12"/>
        <v>25.4586187040285</v>
      </c>
      <c r="AN50" s="13">
        <f t="shared" si="12"/>
        <v>25.4586187040285</v>
      </c>
      <c r="AO50" s="13">
        <f t="shared" si="12"/>
        <v>25.4586187040285</v>
      </c>
      <c r="AP50" s="13">
        <f t="shared" si="12"/>
        <v>25.4586187040285</v>
      </c>
      <c r="AQ50" s="13">
        <f t="shared" si="12"/>
        <v>25.4586187040285</v>
      </c>
      <c r="AR50" s="13">
        <f t="shared" si="12"/>
        <v>25.4586187040285</v>
      </c>
      <c r="AS50" s="13">
        <f t="shared" si="12"/>
        <v>25.4586187040285</v>
      </c>
      <c r="AT50" s="13">
        <f t="shared" si="12"/>
        <v>25.4586187040285</v>
      </c>
      <c r="AU50" s="13">
        <f t="shared" si="12"/>
        <v>25.4586187040285</v>
      </c>
      <c r="AV50" s="13">
        <f t="shared" si="12"/>
        <v>25.4586187040285</v>
      </c>
      <c r="AW50" s="13">
        <f t="shared" si="12"/>
        <v>25.4586187040285</v>
      </c>
      <c r="AX50" s="13">
        <f t="shared" si="12"/>
        <v>25.4586187040285</v>
      </c>
      <c r="AY50" s="13">
        <f t="shared" si="12"/>
        <v>25.4586187040285</v>
      </c>
      <c r="AZ50" s="13">
        <f t="shared" si="12"/>
        <v>25.4586187040285</v>
      </c>
      <c r="BA50" s="13">
        <f t="shared" si="30"/>
        <v>25.4586187040285</v>
      </c>
      <c r="BB50" s="13">
        <f t="shared" si="30"/>
        <v>25.4586187040285</v>
      </c>
      <c r="BC50" s="13">
        <f t="shared" si="30"/>
        <v>25.4586187040285</v>
      </c>
      <c r="BD50" s="13">
        <f t="shared" si="30"/>
        <v>25.4586187040285</v>
      </c>
      <c r="BE50" s="13">
        <f t="shared" si="30"/>
        <v>25.4586187040285</v>
      </c>
      <c r="BF50" s="13">
        <f t="shared" si="30"/>
        <v>25.4586187040285</v>
      </c>
      <c r="BG50" s="13">
        <f t="shared" si="30"/>
        <v>25.4586187040285</v>
      </c>
      <c r="BH50" s="13">
        <f t="shared" si="30"/>
        <v>25.4586187040285</v>
      </c>
      <c r="BI50" s="13">
        <f t="shared" si="30"/>
        <v>25.4586187040285</v>
      </c>
      <c r="BJ50" s="13">
        <f t="shared" si="30"/>
        <v>25.4586187040285</v>
      </c>
      <c r="BK50" s="13">
        <f t="shared" si="30"/>
        <v>25.4586187040285</v>
      </c>
      <c r="BL50" s="13">
        <f t="shared" si="30"/>
        <v>25.4586187040285</v>
      </c>
      <c r="BM50" s="13">
        <f t="shared" si="30"/>
        <v>25.4586187040285</v>
      </c>
      <c r="BN50" s="13">
        <f t="shared" si="30"/>
        <v>25.4586187040285</v>
      </c>
    </row>
    <row r="51" spans="1:66">
      <c r="A51" s="13"/>
      <c r="B51" s="13"/>
      <c r="C51" s="13"/>
      <c r="D51" s="14" t="s">
        <v>15</v>
      </c>
      <c r="E51" s="13">
        <f t="shared" si="8"/>
        <v>3.01788813045642</v>
      </c>
      <c r="F51" s="13">
        <f t="shared" si="13"/>
        <v>2.6178794993319</v>
      </c>
      <c r="G51" s="13">
        <f t="shared" si="15"/>
        <v>1.06330446778427</v>
      </c>
      <c r="H51" s="13">
        <f t="shared" si="17"/>
        <v>0.95067546752167</v>
      </c>
      <c r="I51" s="13">
        <f t="shared" si="19"/>
        <v>1.59689725401656</v>
      </c>
      <c r="J51" s="13">
        <f t="shared" si="21"/>
        <v>1.46013746148225</v>
      </c>
      <c r="K51" s="13">
        <f t="shared" si="23"/>
        <v>1.17875575611189</v>
      </c>
      <c r="L51" s="13">
        <f t="shared" si="25"/>
        <v>1.00245110809678</v>
      </c>
      <c r="M51" s="13">
        <f t="shared" si="28"/>
        <v>3.14915669390926</v>
      </c>
      <c r="N51" s="13">
        <f t="shared" si="31"/>
        <v>2.20843708183788</v>
      </c>
      <c r="O51" s="13">
        <f t="shared" si="34"/>
        <v>2.04742213764628</v>
      </c>
      <c r="P51" s="13">
        <f t="shared" si="37"/>
        <v>0.929195644577225</v>
      </c>
      <c r="Q51" s="13">
        <f t="shared" si="39"/>
        <v>1.76340780946928</v>
      </c>
      <c r="R51" s="13">
        <f t="shared" si="41"/>
        <v>0.919277365197288</v>
      </c>
      <c r="S51" s="13">
        <f t="shared" ref="S51:S60" si="43">1/ABS(S18)</f>
        <v>1.57610570010206</v>
      </c>
      <c r="T51" s="13">
        <v>0</v>
      </c>
      <c r="U51" s="13">
        <f t="shared" ref="U51:AC51" si="44">1/ABS(U18)</f>
        <v>1.24907559739745</v>
      </c>
      <c r="V51" s="13">
        <f t="shared" si="44"/>
        <v>1.04480993802589</v>
      </c>
      <c r="W51" s="13">
        <f t="shared" si="44"/>
        <v>1.79097650871645</v>
      </c>
      <c r="X51" s="13">
        <f t="shared" si="44"/>
        <v>0.831598830216958</v>
      </c>
      <c r="Y51" s="13">
        <f t="shared" si="44"/>
        <v>1.01609905332763</v>
      </c>
      <c r="Z51" s="13">
        <f t="shared" si="44"/>
        <v>1.24443386272987</v>
      </c>
      <c r="AA51" s="13">
        <f t="shared" si="44"/>
        <v>0.933241752490318</v>
      </c>
      <c r="AB51" s="13">
        <f t="shared" si="44"/>
        <v>0.689106894550244</v>
      </c>
      <c r="AC51" s="13">
        <f t="shared" si="44"/>
        <v>0.750115713157451</v>
      </c>
      <c r="AD51" s="13">
        <f t="shared" si="33"/>
        <v>0.81578437216333</v>
      </c>
      <c r="AE51" s="13">
        <f t="shared" si="36"/>
        <v>1.1521558558731</v>
      </c>
      <c r="AF51" s="13">
        <f t="shared" si="36"/>
        <v>0.651911498900443</v>
      </c>
      <c r="AG51" s="13">
        <f t="shared" si="36"/>
        <v>0.971135694761122</v>
      </c>
      <c r="AH51" s="13">
        <f t="shared" si="36"/>
        <v>1.04869568096025</v>
      </c>
      <c r="AI51" s="13">
        <f t="shared" si="36"/>
        <v>1.03144692543461</v>
      </c>
      <c r="AJ51" s="13">
        <f t="shared" si="11"/>
        <v>40.7015797562461</v>
      </c>
      <c r="AK51" s="13">
        <f t="shared" si="12"/>
        <v>40.7015797562461</v>
      </c>
      <c r="AL51" s="13">
        <f t="shared" si="12"/>
        <v>40.7015797562461</v>
      </c>
      <c r="AM51" s="13">
        <f t="shared" si="12"/>
        <v>40.7015797562461</v>
      </c>
      <c r="AN51" s="13">
        <f t="shared" si="12"/>
        <v>40.7015797562461</v>
      </c>
      <c r="AO51" s="13">
        <f t="shared" si="12"/>
        <v>40.7015797562461</v>
      </c>
      <c r="AP51" s="13">
        <f t="shared" si="12"/>
        <v>40.7015797562461</v>
      </c>
      <c r="AQ51" s="13">
        <f t="shared" si="12"/>
        <v>40.7015797562461</v>
      </c>
      <c r="AR51" s="13">
        <f t="shared" si="12"/>
        <v>40.7015797562461</v>
      </c>
      <c r="AS51" s="13">
        <f t="shared" si="12"/>
        <v>40.7015797562461</v>
      </c>
      <c r="AT51" s="13">
        <f t="shared" si="12"/>
        <v>40.7015797562461</v>
      </c>
      <c r="AU51" s="13">
        <f t="shared" si="12"/>
        <v>40.7015797562461</v>
      </c>
      <c r="AV51" s="13">
        <f t="shared" si="12"/>
        <v>40.7015797562461</v>
      </c>
      <c r="AW51" s="13">
        <f t="shared" si="12"/>
        <v>40.7015797562461</v>
      </c>
      <c r="AX51" s="13">
        <f t="shared" si="12"/>
        <v>40.7015797562461</v>
      </c>
      <c r="AY51" s="13">
        <f t="shared" si="12"/>
        <v>40.7015797562461</v>
      </c>
      <c r="AZ51" s="13">
        <f t="shared" si="12"/>
        <v>40.7015797562461</v>
      </c>
      <c r="BA51" s="13">
        <f t="shared" si="30"/>
        <v>40.7015797562461</v>
      </c>
      <c r="BB51" s="13">
        <f t="shared" si="30"/>
        <v>40.7015797562461</v>
      </c>
      <c r="BC51" s="13">
        <f t="shared" si="30"/>
        <v>40.7015797562461</v>
      </c>
      <c r="BD51" s="13">
        <f t="shared" si="30"/>
        <v>40.7015797562461</v>
      </c>
      <c r="BE51" s="13">
        <f t="shared" si="30"/>
        <v>40.7015797562461</v>
      </c>
      <c r="BF51" s="13">
        <f t="shared" si="30"/>
        <v>40.7015797562461</v>
      </c>
      <c r="BG51" s="13">
        <f t="shared" si="30"/>
        <v>40.7015797562461</v>
      </c>
      <c r="BH51" s="13">
        <f t="shared" si="30"/>
        <v>40.7015797562461</v>
      </c>
      <c r="BI51" s="13">
        <f t="shared" si="30"/>
        <v>40.7015797562461</v>
      </c>
      <c r="BJ51" s="13">
        <f t="shared" si="30"/>
        <v>40.7015797562461</v>
      </c>
      <c r="BK51" s="13">
        <f t="shared" si="30"/>
        <v>40.7015797562461</v>
      </c>
      <c r="BL51" s="13">
        <f t="shared" si="30"/>
        <v>40.7015797562461</v>
      </c>
      <c r="BM51" s="13">
        <f t="shared" si="30"/>
        <v>40.7015797562461</v>
      </c>
      <c r="BN51" s="13">
        <f t="shared" si="30"/>
        <v>40.7015797562461</v>
      </c>
    </row>
    <row r="52" spans="1:66">
      <c r="A52" s="13"/>
      <c r="B52" s="13"/>
      <c r="C52" s="13"/>
      <c r="D52" s="14" t="s">
        <v>16</v>
      </c>
      <c r="E52" s="13">
        <f t="shared" si="8"/>
        <v>2.41609726164247</v>
      </c>
      <c r="F52" s="13">
        <f t="shared" si="13"/>
        <v>2.09585352943125</v>
      </c>
      <c r="G52" s="13">
        <f t="shared" si="15"/>
        <v>0.851273109489731</v>
      </c>
      <c r="H52" s="13">
        <f t="shared" si="17"/>
        <v>0.761103226660161</v>
      </c>
      <c r="I52" s="13">
        <f t="shared" si="19"/>
        <v>1.27846325502141</v>
      </c>
      <c r="J52" s="13">
        <f t="shared" si="21"/>
        <v>1.1689744516061</v>
      </c>
      <c r="K52" s="13">
        <f t="shared" si="23"/>
        <v>0.943702493722495</v>
      </c>
      <c r="L52" s="13">
        <f t="shared" si="25"/>
        <v>0.802554393173213</v>
      </c>
      <c r="M52" s="13">
        <f t="shared" si="28"/>
        <v>2.5211898306802</v>
      </c>
      <c r="N52" s="13">
        <f t="shared" si="31"/>
        <v>1.76805718279929</v>
      </c>
      <c r="O52" s="13">
        <f t="shared" si="34"/>
        <v>1.63914989766212</v>
      </c>
      <c r="P52" s="13">
        <f t="shared" si="37"/>
        <v>0.743906651057211</v>
      </c>
      <c r="Q52" s="13">
        <f t="shared" si="39"/>
        <v>1.41177028287437</v>
      </c>
      <c r="R52" s="13">
        <f t="shared" si="41"/>
        <v>0.735966155381367</v>
      </c>
      <c r="S52" s="13">
        <f t="shared" si="43"/>
        <v>1.26181770213588</v>
      </c>
      <c r="T52" s="13">
        <f t="shared" ref="T52:T60" si="45">1/ABS(T19)</f>
        <v>0.800592055503749</v>
      </c>
      <c r="U52" s="13">
        <v>0</v>
      </c>
      <c r="V52" s="13">
        <f t="shared" ref="V52:AC52" si="46">1/ABS(V19)</f>
        <v>0.836466535894893</v>
      </c>
      <c r="W52" s="13">
        <f t="shared" si="46"/>
        <v>1.43384156447223</v>
      </c>
      <c r="X52" s="13">
        <f t="shared" si="46"/>
        <v>0.665771416837908</v>
      </c>
      <c r="Y52" s="13">
        <f t="shared" si="46"/>
        <v>0.813480829698981</v>
      </c>
      <c r="Z52" s="13">
        <f t="shared" si="46"/>
        <v>0.996283864101375</v>
      </c>
      <c r="AA52" s="13">
        <f t="shared" si="46"/>
        <v>0.747145932908144</v>
      </c>
      <c r="AB52" s="13">
        <f t="shared" si="46"/>
        <v>0.551693505169784</v>
      </c>
      <c r="AC52" s="13">
        <f t="shared" si="46"/>
        <v>0.600536680662384</v>
      </c>
      <c r="AD52" s="13">
        <f t="shared" si="33"/>
        <v>0.653110487358076</v>
      </c>
      <c r="AE52" s="13">
        <f t="shared" si="36"/>
        <v>0.922406824914128</v>
      </c>
      <c r="AF52" s="13">
        <f t="shared" si="36"/>
        <v>0.521915166911235</v>
      </c>
      <c r="AG52" s="13">
        <f t="shared" si="36"/>
        <v>0.777483522041868</v>
      </c>
      <c r="AH52" s="13">
        <f t="shared" si="36"/>
        <v>0.83957743081787</v>
      </c>
      <c r="AI52" s="13">
        <f t="shared" si="36"/>
        <v>0.825768214176718</v>
      </c>
      <c r="AJ52" s="13">
        <f t="shared" si="11"/>
        <v>32.3859534548066</v>
      </c>
      <c r="AK52" s="13">
        <f t="shared" si="12"/>
        <v>32.3859534548066</v>
      </c>
      <c r="AL52" s="13">
        <f t="shared" si="12"/>
        <v>32.3859534548066</v>
      </c>
      <c r="AM52" s="13">
        <f t="shared" si="12"/>
        <v>32.3859534548066</v>
      </c>
      <c r="AN52" s="13">
        <f t="shared" si="12"/>
        <v>32.3859534548066</v>
      </c>
      <c r="AO52" s="13">
        <f t="shared" si="12"/>
        <v>32.3859534548066</v>
      </c>
      <c r="AP52" s="13">
        <f t="shared" si="12"/>
        <v>32.3859534548066</v>
      </c>
      <c r="AQ52" s="13">
        <f t="shared" si="12"/>
        <v>32.3859534548066</v>
      </c>
      <c r="AR52" s="13">
        <f t="shared" si="12"/>
        <v>32.3859534548066</v>
      </c>
      <c r="AS52" s="13">
        <f t="shared" si="12"/>
        <v>32.3859534548066</v>
      </c>
      <c r="AT52" s="13">
        <f t="shared" si="12"/>
        <v>32.3859534548066</v>
      </c>
      <c r="AU52" s="13">
        <f t="shared" si="12"/>
        <v>32.3859534548066</v>
      </c>
      <c r="AV52" s="13">
        <f t="shared" si="12"/>
        <v>32.3859534548066</v>
      </c>
      <c r="AW52" s="13">
        <f t="shared" si="12"/>
        <v>32.3859534548066</v>
      </c>
      <c r="AX52" s="13">
        <f t="shared" si="12"/>
        <v>32.3859534548066</v>
      </c>
      <c r="AY52" s="13">
        <f t="shared" si="12"/>
        <v>32.3859534548066</v>
      </c>
      <c r="AZ52" s="13">
        <f t="shared" si="12"/>
        <v>32.3859534548066</v>
      </c>
      <c r="BA52" s="13">
        <f t="shared" si="30"/>
        <v>32.3859534548066</v>
      </c>
      <c r="BB52" s="13">
        <f t="shared" si="30"/>
        <v>32.3859534548066</v>
      </c>
      <c r="BC52" s="13">
        <f t="shared" si="30"/>
        <v>32.3859534548066</v>
      </c>
      <c r="BD52" s="13">
        <f t="shared" si="30"/>
        <v>32.3859534548066</v>
      </c>
      <c r="BE52" s="13">
        <f t="shared" si="30"/>
        <v>32.3859534548066</v>
      </c>
      <c r="BF52" s="13">
        <f t="shared" si="30"/>
        <v>32.3859534548066</v>
      </c>
      <c r="BG52" s="13">
        <f t="shared" si="30"/>
        <v>32.3859534548066</v>
      </c>
      <c r="BH52" s="13">
        <f t="shared" si="30"/>
        <v>32.3859534548066</v>
      </c>
      <c r="BI52" s="13">
        <f t="shared" si="30"/>
        <v>32.3859534548066</v>
      </c>
      <c r="BJ52" s="13">
        <f t="shared" si="30"/>
        <v>32.3859534548066</v>
      </c>
      <c r="BK52" s="13">
        <f t="shared" si="30"/>
        <v>32.3859534548066</v>
      </c>
      <c r="BL52" s="13">
        <f t="shared" si="30"/>
        <v>32.3859534548066</v>
      </c>
      <c r="BM52" s="13">
        <f t="shared" si="30"/>
        <v>32.3859534548066</v>
      </c>
      <c r="BN52" s="13">
        <f t="shared" si="30"/>
        <v>32.3859534548066</v>
      </c>
    </row>
    <row r="53" spans="1:66">
      <c r="A53" s="13"/>
      <c r="B53" s="13"/>
      <c r="C53" s="13"/>
      <c r="D53" s="14" t="s">
        <v>17</v>
      </c>
      <c r="E53" s="13">
        <f t="shared" si="8"/>
        <v>2.88845657054004</v>
      </c>
      <c r="F53" s="13">
        <f t="shared" si="13"/>
        <v>2.50560355912984</v>
      </c>
      <c r="G53" s="13">
        <f t="shared" si="15"/>
        <v>1.01770133407548</v>
      </c>
      <c r="H53" s="13">
        <f t="shared" si="17"/>
        <v>0.90990278032569</v>
      </c>
      <c r="I53" s="13">
        <f t="shared" si="19"/>
        <v>1.52840932680427</v>
      </c>
      <c r="J53" s="13">
        <f t="shared" si="21"/>
        <v>1.3975149051904</v>
      </c>
      <c r="K53" s="13">
        <f t="shared" si="23"/>
        <v>1.12820113325021</v>
      </c>
      <c r="L53" s="13">
        <f t="shared" si="25"/>
        <v>0.959457860815198</v>
      </c>
      <c r="M53" s="13">
        <f t="shared" si="28"/>
        <v>3.01409527158538</v>
      </c>
      <c r="N53" s="13">
        <f t="shared" si="31"/>
        <v>2.11372135874836</v>
      </c>
      <c r="O53" s="13">
        <f t="shared" si="34"/>
        <v>1.95961204342559</v>
      </c>
      <c r="P53" s="13">
        <f t="shared" si="37"/>
        <v>0.889344186688047</v>
      </c>
      <c r="Q53" s="13">
        <f t="shared" si="39"/>
        <v>1.68777855693174</v>
      </c>
      <c r="R53" s="13">
        <f t="shared" si="41"/>
        <v>0.879851283702575</v>
      </c>
      <c r="S53" s="13">
        <f t="shared" si="43"/>
        <v>1.50850948362916</v>
      </c>
      <c r="T53" s="13">
        <f t="shared" si="45"/>
        <v>0.957111876146051</v>
      </c>
      <c r="U53" s="13">
        <f t="shared" ref="U53:U60" si="47">1/ABS(U20)</f>
        <v>1.19550508847333</v>
      </c>
      <c r="V53" s="13">
        <v>0</v>
      </c>
      <c r="W53" s="13">
        <f t="shared" ref="W53:AC53" si="48">1/ABS(W20)</f>
        <v>1.71416488639111</v>
      </c>
      <c r="X53" s="13">
        <f t="shared" si="48"/>
        <v>0.795933116589814</v>
      </c>
      <c r="Y53" s="13">
        <f t="shared" si="48"/>
        <v>0.972520471280635</v>
      </c>
      <c r="Z53" s="13">
        <f t="shared" si="48"/>
        <v>1.19106242909706</v>
      </c>
      <c r="AA53" s="13">
        <f t="shared" si="48"/>
        <v>0.893216764623837</v>
      </c>
      <c r="AB53" s="13">
        <f t="shared" si="48"/>
        <v>0.659552392708162</v>
      </c>
      <c r="AC53" s="13">
        <f t="shared" si="48"/>
        <v>0.717944657546761</v>
      </c>
      <c r="AD53" s="13">
        <f t="shared" si="33"/>
        <v>0.780796910971874</v>
      </c>
      <c r="AE53" s="13">
        <f t="shared" si="36"/>
        <v>1.10274205282736</v>
      </c>
      <c r="AF53" s="13">
        <f t="shared" si="36"/>
        <v>0.623952237793787</v>
      </c>
      <c r="AG53" s="13">
        <f t="shared" si="36"/>
        <v>0.929485506805216</v>
      </c>
      <c r="AH53" s="13">
        <f t="shared" si="36"/>
        <v>1.00371909071013</v>
      </c>
      <c r="AI53" s="13">
        <f t="shared" si="36"/>
        <v>0.987210101947797</v>
      </c>
      <c r="AJ53" s="13">
        <f t="shared" si="11"/>
        <v>38.9130772387549</v>
      </c>
      <c r="AK53" s="13">
        <f t="shared" si="12"/>
        <v>38.9130772387549</v>
      </c>
      <c r="AL53" s="13">
        <f t="shared" si="12"/>
        <v>38.9130772387549</v>
      </c>
      <c r="AM53" s="13">
        <f t="shared" si="12"/>
        <v>38.9130772387549</v>
      </c>
      <c r="AN53" s="13">
        <f t="shared" si="12"/>
        <v>38.9130772387549</v>
      </c>
      <c r="AO53" s="13">
        <f t="shared" si="12"/>
        <v>38.9130772387549</v>
      </c>
      <c r="AP53" s="13">
        <f t="shared" si="12"/>
        <v>38.9130772387549</v>
      </c>
      <c r="AQ53" s="13">
        <f t="shared" si="12"/>
        <v>38.9130772387549</v>
      </c>
      <c r="AR53" s="13">
        <f t="shared" si="12"/>
        <v>38.9130772387549</v>
      </c>
      <c r="AS53" s="13">
        <f t="shared" si="12"/>
        <v>38.9130772387549</v>
      </c>
      <c r="AT53" s="13">
        <f t="shared" si="12"/>
        <v>38.9130772387549</v>
      </c>
      <c r="AU53" s="13">
        <f t="shared" si="12"/>
        <v>38.9130772387549</v>
      </c>
      <c r="AV53" s="13">
        <f t="shared" si="12"/>
        <v>38.9130772387549</v>
      </c>
      <c r="AW53" s="13">
        <f t="shared" si="12"/>
        <v>38.9130772387549</v>
      </c>
      <c r="AX53" s="13">
        <f t="shared" si="12"/>
        <v>38.9130772387549</v>
      </c>
      <c r="AY53" s="13">
        <f t="shared" si="12"/>
        <v>38.9130772387549</v>
      </c>
      <c r="AZ53" s="13">
        <f t="shared" si="12"/>
        <v>38.9130772387549</v>
      </c>
      <c r="BA53" s="13">
        <f t="shared" si="30"/>
        <v>38.9130772387549</v>
      </c>
      <c r="BB53" s="13">
        <f t="shared" si="30"/>
        <v>38.9130772387549</v>
      </c>
      <c r="BC53" s="13">
        <f t="shared" si="30"/>
        <v>38.9130772387549</v>
      </c>
      <c r="BD53" s="13">
        <f t="shared" si="30"/>
        <v>38.9130772387549</v>
      </c>
      <c r="BE53" s="13">
        <f t="shared" si="30"/>
        <v>38.9130772387549</v>
      </c>
      <c r="BF53" s="13">
        <f t="shared" si="30"/>
        <v>38.9130772387549</v>
      </c>
      <c r="BG53" s="13">
        <f t="shared" si="30"/>
        <v>38.9130772387549</v>
      </c>
      <c r="BH53" s="13">
        <f t="shared" si="30"/>
        <v>38.9130772387549</v>
      </c>
      <c r="BI53" s="13">
        <f t="shared" si="30"/>
        <v>38.9130772387549</v>
      </c>
      <c r="BJ53" s="13">
        <f t="shared" si="30"/>
        <v>38.9130772387549</v>
      </c>
      <c r="BK53" s="13">
        <f t="shared" si="30"/>
        <v>38.9130772387549</v>
      </c>
      <c r="BL53" s="13">
        <f t="shared" si="30"/>
        <v>38.9130772387549</v>
      </c>
      <c r="BM53" s="13">
        <f t="shared" si="30"/>
        <v>38.9130772387549</v>
      </c>
      <c r="BN53" s="13">
        <f t="shared" si="30"/>
        <v>38.9130772387549</v>
      </c>
    </row>
    <row r="54" spans="1:66">
      <c r="A54" s="13"/>
      <c r="B54" s="13"/>
      <c r="C54" s="13"/>
      <c r="D54" s="14" t="s">
        <v>18</v>
      </c>
      <c r="E54" s="13">
        <f t="shared" si="8"/>
        <v>1.68505176688178</v>
      </c>
      <c r="F54" s="13">
        <f t="shared" si="13"/>
        <v>1.46170510142987</v>
      </c>
      <c r="G54" s="13">
        <f t="shared" si="15"/>
        <v>0.593700957332107</v>
      </c>
      <c r="H54" s="13">
        <f t="shared" si="17"/>
        <v>0.53081403518966</v>
      </c>
      <c r="I54" s="13">
        <f t="shared" si="19"/>
        <v>0.891634952354018</v>
      </c>
      <c r="J54" s="13">
        <f t="shared" si="21"/>
        <v>0.81527449096956</v>
      </c>
      <c r="K54" s="13">
        <f t="shared" si="23"/>
        <v>0.658163717042094</v>
      </c>
      <c r="L54" s="13">
        <f t="shared" si="25"/>
        <v>0.55972320307831</v>
      </c>
      <c r="M54" s="13">
        <f t="shared" si="28"/>
        <v>1.7583461751635</v>
      </c>
      <c r="N54" s="13">
        <f t="shared" si="31"/>
        <v>1.23309103781635</v>
      </c>
      <c r="O54" s="13">
        <f t="shared" si="34"/>
        <v>1.14318760055296</v>
      </c>
      <c r="P54" s="13">
        <f t="shared" si="37"/>
        <v>0.518820676907234</v>
      </c>
      <c r="Q54" s="13">
        <f t="shared" si="39"/>
        <v>0.984606889530378</v>
      </c>
      <c r="R54" s="13">
        <f t="shared" si="41"/>
        <v>0.51328275983704</v>
      </c>
      <c r="S54" s="13">
        <f t="shared" si="43"/>
        <v>0.880025892261206</v>
      </c>
      <c r="T54" s="13">
        <f t="shared" si="45"/>
        <v>0.558354615559237</v>
      </c>
      <c r="U54" s="13">
        <f t="shared" si="47"/>
        <v>0.69742712498928</v>
      </c>
      <c r="V54" s="13">
        <f t="shared" ref="V54:V60" si="49">1/ABS(V21)</f>
        <v>0.583374451278917</v>
      </c>
      <c r="W54" s="13">
        <v>0</v>
      </c>
      <c r="X54" s="13">
        <f t="shared" ref="X54:AC54" si="50">1/ABS(X21)</f>
        <v>0.464327045145301</v>
      </c>
      <c r="Y54" s="13">
        <f t="shared" si="50"/>
        <v>0.567343596290854</v>
      </c>
      <c r="Z54" s="13">
        <f t="shared" si="50"/>
        <v>0.694835391013432</v>
      </c>
      <c r="AA54" s="13">
        <f t="shared" si="50"/>
        <v>0.52107983993556</v>
      </c>
      <c r="AB54" s="13">
        <f t="shared" si="50"/>
        <v>0.384766015185821</v>
      </c>
      <c r="AC54" s="13">
        <f t="shared" si="50"/>
        <v>0.418830570644972</v>
      </c>
      <c r="AD54" s="13">
        <f t="shared" si="33"/>
        <v>0.45549696949849</v>
      </c>
      <c r="AE54" s="13">
        <f t="shared" si="36"/>
        <v>0.64331153997035</v>
      </c>
      <c r="AF54" s="13">
        <f t="shared" si="36"/>
        <v>0.363997794347203</v>
      </c>
      <c r="AG54" s="13">
        <f t="shared" si="36"/>
        <v>0.542238097504199</v>
      </c>
      <c r="AH54" s="13">
        <f t="shared" si="36"/>
        <v>0.585544073781193</v>
      </c>
      <c r="AI54" s="13">
        <f t="shared" si="36"/>
        <v>0.5759131515208</v>
      </c>
      <c r="AJ54" s="13">
        <f t="shared" si="11"/>
        <v>22.2842695330117</v>
      </c>
      <c r="AK54" s="13">
        <f t="shared" si="12"/>
        <v>22.2842695330117</v>
      </c>
      <c r="AL54" s="13">
        <f t="shared" si="12"/>
        <v>22.2842695330117</v>
      </c>
      <c r="AM54" s="13">
        <f t="shared" si="12"/>
        <v>22.2842695330117</v>
      </c>
      <c r="AN54" s="13">
        <f t="shared" si="12"/>
        <v>22.2842695330117</v>
      </c>
      <c r="AO54" s="13">
        <f t="shared" si="12"/>
        <v>22.2842695330117</v>
      </c>
      <c r="AP54" s="13">
        <f t="shared" si="12"/>
        <v>22.2842695330117</v>
      </c>
      <c r="AQ54" s="13">
        <f t="shared" si="12"/>
        <v>22.2842695330117</v>
      </c>
      <c r="AR54" s="13">
        <f t="shared" si="12"/>
        <v>22.2842695330117</v>
      </c>
      <c r="AS54" s="13">
        <f t="shared" si="12"/>
        <v>22.2842695330117</v>
      </c>
      <c r="AT54" s="13">
        <f t="shared" si="12"/>
        <v>22.2842695330117</v>
      </c>
      <c r="AU54" s="13">
        <f t="shared" si="12"/>
        <v>22.2842695330117</v>
      </c>
      <c r="AV54" s="13">
        <f t="shared" si="12"/>
        <v>22.2842695330117</v>
      </c>
      <c r="AW54" s="13">
        <f t="shared" si="12"/>
        <v>22.2842695330117</v>
      </c>
      <c r="AX54" s="13">
        <f t="shared" si="12"/>
        <v>22.2842695330117</v>
      </c>
      <c r="AY54" s="13">
        <f t="shared" si="12"/>
        <v>22.2842695330117</v>
      </c>
      <c r="AZ54" s="13">
        <f t="shared" si="12"/>
        <v>22.2842695330117</v>
      </c>
      <c r="BA54" s="13">
        <f t="shared" si="30"/>
        <v>22.2842695330117</v>
      </c>
      <c r="BB54" s="13">
        <f t="shared" si="30"/>
        <v>22.2842695330117</v>
      </c>
      <c r="BC54" s="13">
        <f t="shared" si="30"/>
        <v>22.2842695330117</v>
      </c>
      <c r="BD54" s="13">
        <f t="shared" si="30"/>
        <v>22.2842695330117</v>
      </c>
      <c r="BE54" s="13">
        <f t="shared" si="30"/>
        <v>22.2842695330117</v>
      </c>
      <c r="BF54" s="13">
        <f t="shared" si="30"/>
        <v>22.2842695330117</v>
      </c>
      <c r="BG54" s="13">
        <f t="shared" si="30"/>
        <v>22.2842695330117</v>
      </c>
      <c r="BH54" s="13">
        <f t="shared" si="30"/>
        <v>22.2842695330117</v>
      </c>
      <c r="BI54" s="13">
        <f t="shared" si="30"/>
        <v>22.2842695330117</v>
      </c>
      <c r="BJ54" s="13">
        <f t="shared" si="30"/>
        <v>22.2842695330117</v>
      </c>
      <c r="BK54" s="13">
        <f t="shared" si="30"/>
        <v>22.2842695330117</v>
      </c>
      <c r="BL54" s="13">
        <f t="shared" si="30"/>
        <v>22.2842695330117</v>
      </c>
      <c r="BM54" s="13">
        <f t="shared" si="30"/>
        <v>22.2842695330117</v>
      </c>
      <c r="BN54" s="13">
        <f t="shared" si="30"/>
        <v>22.2842695330117</v>
      </c>
    </row>
    <row r="55" spans="1:66">
      <c r="A55" s="13"/>
      <c r="B55" s="13"/>
      <c r="C55" s="13"/>
      <c r="D55" s="14" t="s">
        <v>19</v>
      </c>
      <c r="E55" s="13">
        <f t="shared" si="8"/>
        <v>3.62901921070412</v>
      </c>
      <c r="F55" s="13">
        <f t="shared" si="13"/>
        <v>3.14800767414369</v>
      </c>
      <c r="G55" s="13">
        <f t="shared" si="15"/>
        <v>1.27862669973557</v>
      </c>
      <c r="H55" s="13">
        <f t="shared" si="17"/>
        <v>1.14319000096915</v>
      </c>
      <c r="I55" s="13">
        <f t="shared" si="19"/>
        <v>1.92027356940839</v>
      </c>
      <c r="J55" s="13">
        <f t="shared" si="21"/>
        <v>1.75581952310023</v>
      </c>
      <c r="K55" s="13">
        <f t="shared" si="23"/>
        <v>1.41745720806794</v>
      </c>
      <c r="L55" s="13">
        <f t="shared" si="25"/>
        <v>1.20545035860049</v>
      </c>
      <c r="M55" s="13">
        <f t="shared" si="28"/>
        <v>3.78687003815008</v>
      </c>
      <c r="N55" s="13">
        <f t="shared" si="31"/>
        <v>2.65565198217236</v>
      </c>
      <c r="O55" s="13">
        <f t="shared" si="34"/>
        <v>2.46203104580141</v>
      </c>
      <c r="P55" s="13">
        <f t="shared" si="37"/>
        <v>1.11736045171541</v>
      </c>
      <c r="Q55" s="13">
        <f t="shared" si="39"/>
        <v>2.12050299422526</v>
      </c>
      <c r="R55" s="13">
        <f t="shared" si="41"/>
        <v>1.10543369205733</v>
      </c>
      <c r="S55" s="13">
        <f t="shared" si="43"/>
        <v>1.89527166565501</v>
      </c>
      <c r="T55" s="13">
        <f t="shared" si="45"/>
        <v>1.20250289402055</v>
      </c>
      <c r="U55" s="13">
        <f t="shared" si="47"/>
        <v>1.50201702072089</v>
      </c>
      <c r="V55" s="13">
        <f t="shared" si="49"/>
        <v>1.25638697417757</v>
      </c>
      <c r="W55" s="13">
        <f t="shared" ref="W55:W60" si="51">1/ABS(W22)</f>
        <v>2.15365443485436</v>
      </c>
      <c r="X55" s="13">
        <v>0</v>
      </c>
      <c r="Y55" s="13">
        <f>1/ABS(Y22)</f>
        <v>1.22186205223802</v>
      </c>
      <c r="Z55" s="13">
        <f>1/ABS(Z22)</f>
        <v>1.49643532134984</v>
      </c>
      <c r="AA55" s="13">
        <f>1/ABS(AA22)</f>
        <v>1.12222590819042</v>
      </c>
      <c r="AB55" s="13">
        <f>1/ABS(AB22)</f>
        <v>0.828653034986185</v>
      </c>
      <c r="AC55" s="13">
        <f>1/ABS(AC22)</f>
        <v>0.902016315922127</v>
      </c>
      <c r="AD55" s="13">
        <f t="shared" si="33"/>
        <v>0.980983068423146</v>
      </c>
      <c r="AE55" s="13">
        <f t="shared" si="36"/>
        <v>1.38547075105013</v>
      </c>
      <c r="AF55" s="13">
        <f t="shared" si="36"/>
        <v>0.78392546407306</v>
      </c>
      <c r="AG55" s="13">
        <f t="shared" si="36"/>
        <v>1.16779348343691</v>
      </c>
      <c r="AH55" s="13">
        <f t="shared" si="36"/>
        <v>1.26105959130156</v>
      </c>
      <c r="AI55" s="13">
        <f t="shared" si="36"/>
        <v>1.24031791286372</v>
      </c>
      <c r="AJ55" s="13">
        <f t="shared" si="11"/>
        <v>49.1462703421149</v>
      </c>
      <c r="AK55" s="13">
        <f t="shared" si="12"/>
        <v>49.1462703421149</v>
      </c>
      <c r="AL55" s="13">
        <f t="shared" si="12"/>
        <v>49.1462703421149</v>
      </c>
      <c r="AM55" s="13">
        <f t="shared" si="12"/>
        <v>49.1462703421149</v>
      </c>
      <c r="AN55" s="13">
        <f t="shared" si="12"/>
        <v>49.1462703421149</v>
      </c>
      <c r="AO55" s="13">
        <f t="shared" si="12"/>
        <v>49.1462703421149</v>
      </c>
      <c r="AP55" s="13">
        <f t="shared" si="12"/>
        <v>49.1462703421149</v>
      </c>
      <c r="AQ55" s="13">
        <f t="shared" si="12"/>
        <v>49.1462703421149</v>
      </c>
      <c r="AR55" s="13">
        <f t="shared" si="12"/>
        <v>49.1462703421149</v>
      </c>
      <c r="AS55" s="13">
        <f t="shared" si="12"/>
        <v>49.1462703421149</v>
      </c>
      <c r="AT55" s="13">
        <f t="shared" si="12"/>
        <v>49.1462703421149</v>
      </c>
      <c r="AU55" s="13">
        <f t="shared" si="12"/>
        <v>49.1462703421149</v>
      </c>
      <c r="AV55" s="13">
        <f t="shared" si="12"/>
        <v>49.1462703421149</v>
      </c>
      <c r="AW55" s="13">
        <f t="shared" si="12"/>
        <v>49.1462703421149</v>
      </c>
      <c r="AX55" s="13">
        <f t="shared" si="12"/>
        <v>49.1462703421149</v>
      </c>
      <c r="AY55" s="13">
        <f t="shared" si="12"/>
        <v>49.1462703421149</v>
      </c>
      <c r="AZ55" s="13">
        <f t="shared" si="12"/>
        <v>49.1462703421149</v>
      </c>
      <c r="BA55" s="13">
        <f t="shared" si="30"/>
        <v>49.1462703421149</v>
      </c>
      <c r="BB55" s="13">
        <f t="shared" si="30"/>
        <v>49.1462703421149</v>
      </c>
      <c r="BC55" s="13">
        <f t="shared" si="30"/>
        <v>49.1462703421149</v>
      </c>
      <c r="BD55" s="13">
        <f t="shared" si="30"/>
        <v>49.1462703421149</v>
      </c>
      <c r="BE55" s="13">
        <f t="shared" si="30"/>
        <v>49.1462703421149</v>
      </c>
      <c r="BF55" s="13">
        <f t="shared" si="30"/>
        <v>49.1462703421149</v>
      </c>
      <c r="BG55" s="13">
        <f t="shared" si="30"/>
        <v>49.1462703421149</v>
      </c>
      <c r="BH55" s="13">
        <f t="shared" si="30"/>
        <v>49.1462703421149</v>
      </c>
      <c r="BI55" s="13">
        <f t="shared" si="30"/>
        <v>49.1462703421149</v>
      </c>
      <c r="BJ55" s="13">
        <f t="shared" si="30"/>
        <v>49.1462703421149</v>
      </c>
      <c r="BK55" s="13">
        <f t="shared" si="30"/>
        <v>49.1462703421149</v>
      </c>
      <c r="BL55" s="13">
        <f t="shared" si="30"/>
        <v>49.1462703421149</v>
      </c>
      <c r="BM55" s="13">
        <f t="shared" si="30"/>
        <v>49.1462703421149</v>
      </c>
      <c r="BN55" s="13">
        <f t="shared" si="30"/>
        <v>49.1462703421149</v>
      </c>
    </row>
    <row r="56" spans="1:66">
      <c r="A56" s="13"/>
      <c r="B56" s="13"/>
      <c r="C56" s="13"/>
      <c r="D56" s="14" t="s">
        <v>20</v>
      </c>
      <c r="E56" s="13">
        <f t="shared" si="8"/>
        <v>2.9700727705366</v>
      </c>
      <c r="F56" s="13">
        <f t="shared" si="13"/>
        <v>2.57640186826135</v>
      </c>
      <c r="G56" s="13">
        <f t="shared" si="15"/>
        <v>1.04645749280255</v>
      </c>
      <c r="H56" s="13">
        <f t="shared" si="17"/>
        <v>0.93561298419509</v>
      </c>
      <c r="I56" s="13">
        <f t="shared" si="19"/>
        <v>1.57159604547103</v>
      </c>
      <c r="J56" s="13">
        <f t="shared" si="21"/>
        <v>1.4370030723879</v>
      </c>
      <c r="K56" s="13">
        <f t="shared" si="23"/>
        <v>1.16007957319867</v>
      </c>
      <c r="L56" s="13">
        <f t="shared" si="25"/>
        <v>0.98656829254377</v>
      </c>
      <c r="M56" s="13">
        <f t="shared" si="28"/>
        <v>3.09926151746334</v>
      </c>
      <c r="N56" s="13">
        <f t="shared" si="31"/>
        <v>2.17344664834147</v>
      </c>
      <c r="O56" s="13">
        <f t="shared" si="34"/>
        <v>2.01498282174476</v>
      </c>
      <c r="P56" s="13">
        <f t="shared" si="37"/>
        <v>0.914473487141037</v>
      </c>
      <c r="Q56" s="13">
        <f t="shared" si="39"/>
        <v>1.73546841097261</v>
      </c>
      <c r="R56" s="13">
        <f t="shared" si="41"/>
        <v>0.904712352783657</v>
      </c>
      <c r="S56" s="13">
        <f t="shared" si="43"/>
        <v>1.551133912526</v>
      </c>
      <c r="T56" s="13">
        <f t="shared" si="45"/>
        <v>0.984156019755251</v>
      </c>
      <c r="U56" s="13">
        <f t="shared" si="47"/>
        <v>1.22928526830809</v>
      </c>
      <c r="V56" s="13">
        <f t="shared" si="49"/>
        <v>1.02825599000829</v>
      </c>
      <c r="W56" s="13">
        <f t="shared" si="51"/>
        <v>1.76260031229354</v>
      </c>
      <c r="X56" s="13">
        <f>1/ABS(X23)</f>
        <v>0.818422994779445</v>
      </c>
      <c r="Y56" s="13">
        <v>0</v>
      </c>
      <c r="Z56" s="13">
        <f>1/ABS(Z23)</f>
        <v>1.22471707719288</v>
      </c>
      <c r="AA56" s="13">
        <f>1/ABS(AA23)</f>
        <v>0.918455488600287</v>
      </c>
      <c r="AB56" s="13">
        <f>1/ABS(AB23)</f>
        <v>0.678188698526469</v>
      </c>
      <c r="AC56" s="13">
        <f>1/ABS(AC23)</f>
        <v>0.738230894616909</v>
      </c>
      <c r="AD56" s="13">
        <f t="shared" si="33"/>
        <v>0.8028591006868</v>
      </c>
      <c r="AE56" s="13">
        <f t="shared" si="36"/>
        <v>1.13390112125378</v>
      </c>
      <c r="AF56" s="13">
        <f t="shared" si="36"/>
        <v>0.64158262599054</v>
      </c>
      <c r="AG56" s="13">
        <f t="shared" si="36"/>
        <v>0.955749039998356</v>
      </c>
      <c r="AH56" s="13">
        <f t="shared" si="36"/>
        <v>1.03208016730836</v>
      </c>
      <c r="AI56" s="13">
        <f t="shared" si="36"/>
        <v>1.01510470072452</v>
      </c>
      <c r="AJ56" s="13">
        <f t="shared" si="11"/>
        <v>40.0408607504134</v>
      </c>
      <c r="AK56" s="13">
        <f t="shared" si="12"/>
        <v>40.0408607504134</v>
      </c>
      <c r="AL56" s="13">
        <f t="shared" si="12"/>
        <v>40.0408607504134</v>
      </c>
      <c r="AM56" s="13">
        <f t="shared" si="12"/>
        <v>40.0408607504134</v>
      </c>
      <c r="AN56" s="13">
        <f t="shared" si="12"/>
        <v>40.0408607504134</v>
      </c>
      <c r="AO56" s="13">
        <f t="shared" si="12"/>
        <v>40.0408607504134</v>
      </c>
      <c r="AP56" s="13">
        <f t="shared" si="12"/>
        <v>40.0408607504134</v>
      </c>
      <c r="AQ56" s="13">
        <f t="shared" si="12"/>
        <v>40.0408607504134</v>
      </c>
      <c r="AR56" s="13">
        <f t="shared" si="12"/>
        <v>40.0408607504134</v>
      </c>
      <c r="AS56" s="13">
        <f t="shared" si="12"/>
        <v>40.0408607504134</v>
      </c>
      <c r="AT56" s="13">
        <f t="shared" si="12"/>
        <v>40.0408607504134</v>
      </c>
      <c r="AU56" s="13">
        <f t="shared" si="12"/>
        <v>40.0408607504134</v>
      </c>
      <c r="AV56" s="13">
        <f t="shared" si="12"/>
        <v>40.0408607504134</v>
      </c>
      <c r="AW56" s="13">
        <f t="shared" si="12"/>
        <v>40.0408607504134</v>
      </c>
      <c r="AX56" s="13">
        <f t="shared" si="12"/>
        <v>40.0408607504134</v>
      </c>
      <c r="AY56" s="13">
        <f t="shared" si="12"/>
        <v>40.0408607504134</v>
      </c>
      <c r="AZ56" s="13">
        <f t="shared" si="12"/>
        <v>40.0408607504134</v>
      </c>
      <c r="BA56" s="13">
        <f t="shared" si="30"/>
        <v>40.0408607504134</v>
      </c>
      <c r="BB56" s="13">
        <f t="shared" si="30"/>
        <v>40.0408607504134</v>
      </c>
      <c r="BC56" s="13">
        <f t="shared" si="30"/>
        <v>40.0408607504134</v>
      </c>
      <c r="BD56" s="13">
        <f t="shared" si="30"/>
        <v>40.0408607504134</v>
      </c>
      <c r="BE56" s="13">
        <f t="shared" si="30"/>
        <v>40.0408607504134</v>
      </c>
      <c r="BF56" s="13">
        <f t="shared" si="30"/>
        <v>40.0408607504134</v>
      </c>
      <c r="BG56" s="13">
        <f t="shared" si="30"/>
        <v>40.0408607504134</v>
      </c>
      <c r="BH56" s="13">
        <f t="shared" si="30"/>
        <v>40.0408607504134</v>
      </c>
      <c r="BI56" s="13">
        <f t="shared" si="30"/>
        <v>40.0408607504134</v>
      </c>
      <c r="BJ56" s="13">
        <f t="shared" si="30"/>
        <v>40.0408607504134</v>
      </c>
      <c r="BK56" s="13">
        <f t="shared" si="30"/>
        <v>40.0408607504134</v>
      </c>
      <c r="BL56" s="13">
        <f t="shared" si="30"/>
        <v>40.0408607504134</v>
      </c>
      <c r="BM56" s="13">
        <f t="shared" si="30"/>
        <v>40.0408607504134</v>
      </c>
      <c r="BN56" s="13">
        <f t="shared" si="30"/>
        <v>40.0408607504134</v>
      </c>
    </row>
    <row r="57" spans="1:66">
      <c r="A57" s="13"/>
      <c r="B57" s="13"/>
      <c r="C57" s="13"/>
      <c r="D57" s="14" t="s">
        <v>21</v>
      </c>
      <c r="E57" s="13">
        <f t="shared" si="8"/>
        <v>2.42510929736047</v>
      </c>
      <c r="F57" s="13">
        <f t="shared" si="13"/>
        <v>2.10367105696494</v>
      </c>
      <c r="G57" s="13">
        <f t="shared" si="15"/>
        <v>0.854448355697861</v>
      </c>
      <c r="H57" s="13">
        <f t="shared" si="17"/>
        <v>0.763942139469115</v>
      </c>
      <c r="I57" s="13">
        <f t="shared" si="19"/>
        <v>1.28323191922269</v>
      </c>
      <c r="J57" s="13">
        <f t="shared" si="21"/>
        <v>1.17333472289094</v>
      </c>
      <c r="K57" s="13">
        <f t="shared" si="23"/>
        <v>0.947222501263426</v>
      </c>
      <c r="L57" s="13">
        <f t="shared" si="25"/>
        <v>0.805547918712001</v>
      </c>
      <c r="M57" s="13">
        <f t="shared" si="28"/>
        <v>2.53059386137329</v>
      </c>
      <c r="N57" s="13">
        <f t="shared" si="31"/>
        <v>1.77465203091896</v>
      </c>
      <c r="O57" s="13">
        <f t="shared" si="34"/>
        <v>1.64526392198532</v>
      </c>
      <c r="P57" s="13">
        <f t="shared" si="37"/>
        <v>0.746681420689472</v>
      </c>
      <c r="Q57" s="13">
        <f t="shared" si="39"/>
        <v>1.41703618189958</v>
      </c>
      <c r="R57" s="13">
        <f t="shared" si="41"/>
        <v>0.738711306987985</v>
      </c>
      <c r="S57" s="13">
        <f t="shared" si="43"/>
        <v>1.2665242784736</v>
      </c>
      <c r="T57" s="13">
        <f t="shared" si="45"/>
        <v>0.803578261528771</v>
      </c>
      <c r="U57" s="13">
        <f t="shared" si="47"/>
        <v>1.00372999707466</v>
      </c>
      <c r="V57" s="13">
        <f t="shared" si="49"/>
        <v>0.839586553626828</v>
      </c>
      <c r="W57" s="13">
        <f t="shared" si="51"/>
        <v>1.43918978931323</v>
      </c>
      <c r="X57" s="13">
        <f>1/ABS(X24)</f>
        <v>0.668254742275103</v>
      </c>
      <c r="Y57" s="13">
        <f>1/ABS(Y24)</f>
        <v>0.816515110814047</v>
      </c>
      <c r="Z57" s="13">
        <v>0</v>
      </c>
      <c r="AA57" s="13">
        <f>1/ABS(AA24)</f>
        <v>0.749932785052233</v>
      </c>
      <c r="AB57" s="13">
        <f>1/ABS(AB24)</f>
        <v>0.553751320330174</v>
      </c>
      <c r="AC57" s="13">
        <f>1/ABS(AC24)</f>
        <v>0.602776680724478</v>
      </c>
      <c r="AD57" s="13">
        <f t="shared" si="33"/>
        <v>0.655546587565349</v>
      </c>
      <c r="AE57" s="13">
        <f t="shared" si="36"/>
        <v>0.9258473996727</v>
      </c>
      <c r="AF57" s="13">
        <f t="shared" si="36"/>
        <v>0.523861908957033</v>
      </c>
      <c r="AG57" s="13">
        <f t="shared" si="36"/>
        <v>0.780383533304677</v>
      </c>
      <c r="AH57" s="13">
        <f t="shared" si="36"/>
        <v>0.842709052178768</v>
      </c>
      <c r="AI57" s="13">
        <f t="shared" si="36"/>
        <v>0.828848327199941</v>
      </c>
      <c r="AJ57" s="13">
        <f t="shared" si="11"/>
        <v>32.5104829635277</v>
      </c>
      <c r="AK57" s="13">
        <f t="shared" si="12"/>
        <v>32.5104829635277</v>
      </c>
      <c r="AL57" s="13">
        <f t="shared" si="12"/>
        <v>32.5104829635277</v>
      </c>
      <c r="AM57" s="13">
        <f t="shared" si="12"/>
        <v>32.5104829635277</v>
      </c>
      <c r="AN57" s="13">
        <f t="shared" si="12"/>
        <v>32.5104829635277</v>
      </c>
      <c r="AO57" s="13">
        <f t="shared" si="12"/>
        <v>32.5104829635277</v>
      </c>
      <c r="AP57" s="13">
        <f t="shared" si="12"/>
        <v>32.5104829635277</v>
      </c>
      <c r="AQ57" s="13">
        <f t="shared" si="12"/>
        <v>32.5104829635277</v>
      </c>
      <c r="AR57" s="13">
        <f t="shared" si="12"/>
        <v>32.5104829635277</v>
      </c>
      <c r="AS57" s="13">
        <f t="shared" si="12"/>
        <v>32.5104829635277</v>
      </c>
      <c r="AT57" s="13">
        <f t="shared" si="12"/>
        <v>32.5104829635277</v>
      </c>
      <c r="AU57" s="13">
        <f t="shared" si="12"/>
        <v>32.5104829635277</v>
      </c>
      <c r="AV57" s="13">
        <f t="shared" si="12"/>
        <v>32.5104829635277</v>
      </c>
      <c r="AW57" s="13">
        <f t="shared" si="12"/>
        <v>32.5104829635277</v>
      </c>
      <c r="AX57" s="13">
        <f t="shared" si="12"/>
        <v>32.5104829635277</v>
      </c>
      <c r="AY57" s="13">
        <f t="shared" si="12"/>
        <v>32.5104829635277</v>
      </c>
      <c r="AZ57" s="13">
        <f t="shared" si="12"/>
        <v>32.5104829635277</v>
      </c>
      <c r="BA57" s="13">
        <f t="shared" si="30"/>
        <v>32.5104829635277</v>
      </c>
      <c r="BB57" s="13">
        <f t="shared" si="30"/>
        <v>32.5104829635277</v>
      </c>
      <c r="BC57" s="13">
        <f t="shared" si="30"/>
        <v>32.5104829635277</v>
      </c>
      <c r="BD57" s="13">
        <f t="shared" si="30"/>
        <v>32.5104829635277</v>
      </c>
      <c r="BE57" s="13">
        <f t="shared" si="30"/>
        <v>32.5104829635277</v>
      </c>
      <c r="BF57" s="13">
        <f t="shared" si="30"/>
        <v>32.5104829635277</v>
      </c>
      <c r="BG57" s="13">
        <f t="shared" si="30"/>
        <v>32.5104829635277</v>
      </c>
      <c r="BH57" s="13">
        <f t="shared" si="30"/>
        <v>32.5104829635277</v>
      </c>
      <c r="BI57" s="13">
        <f t="shared" si="30"/>
        <v>32.5104829635277</v>
      </c>
      <c r="BJ57" s="13">
        <f t="shared" si="30"/>
        <v>32.5104829635277</v>
      </c>
      <c r="BK57" s="13">
        <f t="shared" si="30"/>
        <v>32.5104829635277</v>
      </c>
      <c r="BL57" s="13">
        <f t="shared" si="30"/>
        <v>32.5104829635277</v>
      </c>
      <c r="BM57" s="13">
        <f t="shared" si="30"/>
        <v>32.5104829635277</v>
      </c>
      <c r="BN57" s="13">
        <f t="shared" si="30"/>
        <v>32.5104829635277</v>
      </c>
    </row>
    <row r="58" spans="1:66">
      <c r="A58" s="13"/>
      <c r="B58" s="13"/>
      <c r="C58" s="13"/>
      <c r="D58" s="14" t="s">
        <v>22</v>
      </c>
      <c r="E58" s="13">
        <f t="shared" si="8"/>
        <v>3.23376887328851</v>
      </c>
      <c r="F58" s="13">
        <f t="shared" si="13"/>
        <v>2.80514613962159</v>
      </c>
      <c r="G58" s="13">
        <f t="shared" si="15"/>
        <v>1.13936658421774</v>
      </c>
      <c r="H58" s="13">
        <f t="shared" si="17"/>
        <v>1.01868081339571</v>
      </c>
      <c r="I58" s="13">
        <f t="shared" si="19"/>
        <v>1.71112924358057</v>
      </c>
      <c r="J58" s="13">
        <f t="shared" si="21"/>
        <v>1.56458651532245</v>
      </c>
      <c r="K58" s="13">
        <f t="shared" si="23"/>
        <v>1.26307653184872</v>
      </c>
      <c r="L58" s="13">
        <f t="shared" si="25"/>
        <v>1.07416015777453</v>
      </c>
      <c r="M58" s="13">
        <f t="shared" si="28"/>
        <v>3.37442756446104</v>
      </c>
      <c r="N58" s="13">
        <f t="shared" si="31"/>
        <v>2.36641478582024</v>
      </c>
      <c r="O58" s="13">
        <f t="shared" si="34"/>
        <v>2.19388184485191</v>
      </c>
      <c r="P58" s="13">
        <f t="shared" si="37"/>
        <v>0.995664458965433</v>
      </c>
      <c r="Q58" s="13">
        <f t="shared" si="39"/>
        <v>1.88955091728772</v>
      </c>
      <c r="R58" s="13">
        <f t="shared" si="41"/>
        <v>0.985036688236712</v>
      </c>
      <c r="S58" s="13">
        <f t="shared" si="43"/>
        <v>1.68885039261936</v>
      </c>
      <c r="T58" s="13">
        <f t="shared" si="45"/>
        <v>1.07153371281508</v>
      </c>
      <c r="U58" s="13">
        <f t="shared" si="47"/>
        <v>1.338426612466</v>
      </c>
      <c r="V58" s="13">
        <f t="shared" si="49"/>
        <v>1.11954907207897</v>
      </c>
      <c r="W58" s="13">
        <f t="shared" si="51"/>
        <v>1.91909170794953</v>
      </c>
      <c r="X58" s="13">
        <f>1/ABS(X25)</f>
        <v>0.891086182115053</v>
      </c>
      <c r="Y58" s="13">
        <f>1/ABS(Y25)</f>
        <v>1.08878439120004</v>
      </c>
      <c r="Z58" s="13">
        <f>1/ABS(Z25)</f>
        <v>1.33345283728374</v>
      </c>
      <c r="AA58" s="13">
        <v>0</v>
      </c>
      <c r="AB58" s="13">
        <f>1/ABS(AB25)</f>
        <v>0.738401269243891</v>
      </c>
      <c r="AC58" s="13">
        <f>1/ABS(AC25)</f>
        <v>0.803774275160533</v>
      </c>
      <c r="AD58" s="13">
        <f t="shared" si="33"/>
        <v>0.874140457160691</v>
      </c>
      <c r="AE58" s="13">
        <f t="shared" si="36"/>
        <v>1.23457384198534</v>
      </c>
      <c r="AF58" s="13">
        <f t="shared" si="36"/>
        <v>0.698545148843634</v>
      </c>
      <c r="AG58" s="13">
        <f t="shared" si="36"/>
        <v>1.04060463665463</v>
      </c>
      <c r="AH58" s="13">
        <f t="shared" si="36"/>
        <v>1.12371277663247</v>
      </c>
      <c r="AI58" s="13">
        <f t="shared" si="36"/>
        <v>1.10523015358265</v>
      </c>
      <c r="AJ58" s="13">
        <f t="shared" si="11"/>
        <v>43.6846485864645</v>
      </c>
      <c r="AK58" s="13">
        <f t="shared" si="12"/>
        <v>43.6846485864645</v>
      </c>
      <c r="AL58" s="13">
        <f t="shared" si="12"/>
        <v>43.6846485864645</v>
      </c>
      <c r="AM58" s="13">
        <f t="shared" si="12"/>
        <v>43.6846485864645</v>
      </c>
      <c r="AN58" s="13">
        <f t="shared" si="12"/>
        <v>43.6846485864645</v>
      </c>
      <c r="AO58" s="13">
        <f t="shared" si="12"/>
        <v>43.6846485864645</v>
      </c>
      <c r="AP58" s="13">
        <f t="shared" si="12"/>
        <v>43.6846485864645</v>
      </c>
      <c r="AQ58" s="13">
        <f t="shared" si="12"/>
        <v>43.6846485864645</v>
      </c>
      <c r="AR58" s="13">
        <f t="shared" si="12"/>
        <v>43.6846485864645</v>
      </c>
      <c r="AS58" s="13">
        <f t="shared" si="12"/>
        <v>43.6846485864645</v>
      </c>
      <c r="AT58" s="13">
        <f t="shared" si="12"/>
        <v>43.6846485864645</v>
      </c>
      <c r="AU58" s="13">
        <f t="shared" si="12"/>
        <v>43.6846485864645</v>
      </c>
      <c r="AV58" s="13">
        <f t="shared" si="12"/>
        <v>43.6846485864645</v>
      </c>
      <c r="AW58" s="13">
        <f t="shared" si="12"/>
        <v>43.6846485864645</v>
      </c>
      <c r="AX58" s="13">
        <f t="shared" si="12"/>
        <v>43.6846485864645</v>
      </c>
      <c r="AY58" s="13">
        <f t="shared" si="12"/>
        <v>43.6846485864645</v>
      </c>
      <c r="AZ58" s="13">
        <f t="shared" si="12"/>
        <v>43.6846485864645</v>
      </c>
      <c r="BA58" s="13">
        <f t="shared" si="30"/>
        <v>43.6846485864645</v>
      </c>
      <c r="BB58" s="13">
        <f t="shared" si="30"/>
        <v>43.6846485864645</v>
      </c>
      <c r="BC58" s="13">
        <f t="shared" si="30"/>
        <v>43.6846485864645</v>
      </c>
      <c r="BD58" s="13">
        <f t="shared" si="30"/>
        <v>43.6846485864645</v>
      </c>
      <c r="BE58" s="13">
        <f t="shared" si="30"/>
        <v>43.6846485864645</v>
      </c>
      <c r="BF58" s="13">
        <f t="shared" si="30"/>
        <v>43.6846485864645</v>
      </c>
      <c r="BG58" s="13">
        <f t="shared" si="30"/>
        <v>43.6846485864645</v>
      </c>
      <c r="BH58" s="13">
        <f t="shared" si="30"/>
        <v>43.6846485864645</v>
      </c>
      <c r="BI58" s="13">
        <f t="shared" si="30"/>
        <v>43.6846485864645</v>
      </c>
      <c r="BJ58" s="13">
        <f t="shared" si="30"/>
        <v>43.6846485864645</v>
      </c>
      <c r="BK58" s="13">
        <f t="shared" si="30"/>
        <v>43.6846485864645</v>
      </c>
      <c r="BL58" s="13">
        <f t="shared" si="30"/>
        <v>43.6846485864645</v>
      </c>
      <c r="BM58" s="13">
        <f t="shared" si="30"/>
        <v>43.6846485864645</v>
      </c>
      <c r="BN58" s="13">
        <f t="shared" si="30"/>
        <v>43.6846485864645</v>
      </c>
    </row>
    <row r="59" spans="1:66">
      <c r="A59" s="13"/>
      <c r="B59" s="13"/>
      <c r="C59" s="13"/>
      <c r="D59" s="14" t="s">
        <v>23</v>
      </c>
      <c r="E59" s="13">
        <f t="shared" si="8"/>
        <v>4.37941944032658</v>
      </c>
      <c r="F59" s="13">
        <f t="shared" si="13"/>
        <v>3.79894544668647</v>
      </c>
      <c r="G59" s="13">
        <f t="shared" si="15"/>
        <v>1.54301818222013</v>
      </c>
      <c r="H59" s="13">
        <f t="shared" si="17"/>
        <v>1.37957619498517</v>
      </c>
      <c r="I59" s="13">
        <f t="shared" si="19"/>
        <v>2.3173433129831</v>
      </c>
      <c r="J59" s="13">
        <f t="shared" si="21"/>
        <v>2.11888383794974</v>
      </c>
      <c r="K59" s="13">
        <f t="shared" si="23"/>
        <v>1.71055574314233</v>
      </c>
      <c r="L59" s="13">
        <f t="shared" si="25"/>
        <v>1.4547106058938</v>
      </c>
      <c r="M59" s="13">
        <f t="shared" si="28"/>
        <v>4.56991029811798</v>
      </c>
      <c r="N59" s="13">
        <f t="shared" si="31"/>
        <v>3.20478157932123</v>
      </c>
      <c r="O59" s="13">
        <f t="shared" si="34"/>
        <v>2.97112415191052</v>
      </c>
      <c r="P59" s="13">
        <f t="shared" si="37"/>
        <v>1.34840567105874</v>
      </c>
      <c r="Q59" s="13">
        <f t="shared" si="39"/>
        <v>2.55897571685188</v>
      </c>
      <c r="R59" s="13">
        <f t="shared" si="41"/>
        <v>1.33401272352277</v>
      </c>
      <c r="S59" s="13">
        <f t="shared" si="43"/>
        <v>2.28717157318637</v>
      </c>
      <c r="T59" s="13">
        <f t="shared" si="45"/>
        <v>1.45115367138021</v>
      </c>
      <c r="U59" s="13">
        <f t="shared" si="47"/>
        <v>1.81260063899474</v>
      </c>
      <c r="V59" s="13">
        <f t="shared" si="49"/>
        <v>1.5161797774608</v>
      </c>
      <c r="W59" s="13">
        <f t="shared" si="51"/>
        <v>2.59898213597959</v>
      </c>
      <c r="X59" s="13">
        <f>1/ABS(X26)</f>
        <v>1.20677769558483</v>
      </c>
      <c r="Y59" s="13">
        <f>1/ABS(Y26)</f>
        <v>1.47451587172235</v>
      </c>
      <c r="Z59" s="13">
        <f>1/ABS(Z26)</f>
        <v>1.8058647686903</v>
      </c>
      <c r="AA59" s="13">
        <f>1/ABS(AA26)</f>
        <v>1.35427719541162</v>
      </c>
      <c r="AB59" s="13">
        <v>0</v>
      </c>
      <c r="AC59" s="13">
        <f>1/ABS(AC26)</f>
        <v>1.08853317110842</v>
      </c>
      <c r="AD59" s="13">
        <f t="shared" si="33"/>
        <v>1.18382848671942</v>
      </c>
      <c r="AE59" s="13">
        <f t="shared" si="36"/>
        <v>1.67195520025246</v>
      </c>
      <c r="AF59" s="13">
        <f t="shared" si="36"/>
        <v>0.946023765044352</v>
      </c>
      <c r="AG59" s="13">
        <f t="shared" si="36"/>
        <v>1.40926712886097</v>
      </c>
      <c r="AH59" s="13">
        <f t="shared" si="36"/>
        <v>1.52181858758604</v>
      </c>
      <c r="AI59" s="13">
        <f t="shared" si="36"/>
        <v>1.49678799267827</v>
      </c>
      <c r="AJ59" s="13">
        <f t="shared" si="11"/>
        <v>59.5154005656312</v>
      </c>
      <c r="AK59" s="13">
        <f t="shared" si="12"/>
        <v>59.5154005656312</v>
      </c>
      <c r="AL59" s="13">
        <f t="shared" si="12"/>
        <v>59.5154005656312</v>
      </c>
      <c r="AM59" s="13">
        <f t="shared" si="12"/>
        <v>59.5154005656312</v>
      </c>
      <c r="AN59" s="13">
        <f t="shared" si="12"/>
        <v>59.5154005656312</v>
      </c>
      <c r="AO59" s="13">
        <f t="shared" si="12"/>
        <v>59.5154005656312</v>
      </c>
      <c r="AP59" s="13">
        <f t="shared" si="12"/>
        <v>59.5154005656312</v>
      </c>
      <c r="AQ59" s="13">
        <f t="shared" si="12"/>
        <v>59.5154005656312</v>
      </c>
      <c r="AR59" s="13">
        <f t="shared" si="12"/>
        <v>59.5154005656312</v>
      </c>
      <c r="AS59" s="13">
        <f t="shared" si="12"/>
        <v>59.5154005656312</v>
      </c>
      <c r="AT59" s="13">
        <f t="shared" si="12"/>
        <v>59.5154005656312</v>
      </c>
      <c r="AU59" s="13">
        <f t="shared" si="12"/>
        <v>59.5154005656312</v>
      </c>
      <c r="AV59" s="13">
        <f t="shared" si="12"/>
        <v>59.5154005656312</v>
      </c>
      <c r="AW59" s="13">
        <f t="shared" si="12"/>
        <v>59.5154005656312</v>
      </c>
      <c r="AX59" s="13">
        <f t="shared" si="12"/>
        <v>59.5154005656312</v>
      </c>
      <c r="AY59" s="13">
        <f t="shared" si="12"/>
        <v>59.5154005656312</v>
      </c>
      <c r="AZ59" s="13">
        <f t="shared" si="12"/>
        <v>59.5154005656312</v>
      </c>
      <c r="BA59" s="13">
        <f t="shared" si="30"/>
        <v>59.5154005656312</v>
      </c>
      <c r="BB59" s="13">
        <f t="shared" si="30"/>
        <v>59.5154005656312</v>
      </c>
      <c r="BC59" s="13">
        <f t="shared" si="30"/>
        <v>59.5154005656312</v>
      </c>
      <c r="BD59" s="13">
        <f t="shared" si="30"/>
        <v>59.5154005656312</v>
      </c>
      <c r="BE59" s="13">
        <f t="shared" si="30"/>
        <v>59.5154005656312</v>
      </c>
      <c r="BF59" s="13">
        <f t="shared" si="30"/>
        <v>59.5154005656312</v>
      </c>
      <c r="BG59" s="13">
        <f t="shared" si="30"/>
        <v>59.5154005656312</v>
      </c>
      <c r="BH59" s="13">
        <f t="shared" si="30"/>
        <v>59.5154005656312</v>
      </c>
      <c r="BI59" s="13">
        <f t="shared" si="30"/>
        <v>59.5154005656312</v>
      </c>
      <c r="BJ59" s="13">
        <f t="shared" si="30"/>
        <v>59.5154005656312</v>
      </c>
      <c r="BK59" s="13">
        <f t="shared" si="30"/>
        <v>59.5154005656312</v>
      </c>
      <c r="BL59" s="13">
        <f t="shared" si="30"/>
        <v>59.5154005656312</v>
      </c>
      <c r="BM59" s="13">
        <f t="shared" si="30"/>
        <v>59.5154005656312</v>
      </c>
      <c r="BN59" s="13">
        <f t="shared" si="30"/>
        <v>59.5154005656312</v>
      </c>
    </row>
    <row r="60" spans="1:66">
      <c r="A60" s="13"/>
      <c r="B60" s="13"/>
      <c r="C60" s="13"/>
      <c r="D60" s="14" t="s">
        <v>24</v>
      </c>
      <c r="E60" s="13">
        <f t="shared" si="8"/>
        <v>4.02323011972815</v>
      </c>
      <c r="F60" s="13">
        <f t="shared" si="13"/>
        <v>3.48996755222271</v>
      </c>
      <c r="G60" s="13">
        <f t="shared" si="15"/>
        <v>1.41752058933484</v>
      </c>
      <c r="H60" s="13">
        <f t="shared" si="17"/>
        <v>1.26737175457905</v>
      </c>
      <c r="I60" s="13">
        <f t="shared" si="19"/>
        <v>2.12886788798859</v>
      </c>
      <c r="J60" s="13">
        <f t="shared" si="21"/>
        <v>1.94654962677173</v>
      </c>
      <c r="K60" s="13">
        <f t="shared" si="23"/>
        <v>1.57143189435424</v>
      </c>
      <c r="L60" s="13">
        <f t="shared" si="25"/>
        <v>1.33639529277047</v>
      </c>
      <c r="M60" s="13">
        <f t="shared" si="28"/>
        <v>4.19822787160871</v>
      </c>
      <c r="N60" s="13">
        <f t="shared" si="31"/>
        <v>2.9441285432376</v>
      </c>
      <c r="O60" s="13">
        <f t="shared" si="34"/>
        <v>2.72947506862388</v>
      </c>
      <c r="P60" s="13">
        <f t="shared" si="37"/>
        <v>1.23873640863484</v>
      </c>
      <c r="Q60" s="13">
        <f t="shared" si="39"/>
        <v>2.35084771394349</v>
      </c>
      <c r="R60" s="13">
        <f t="shared" si="41"/>
        <v>1.22551407612538</v>
      </c>
      <c r="S60" s="13">
        <f t="shared" si="43"/>
        <v>2.10115009252076</v>
      </c>
      <c r="T60" s="13">
        <f t="shared" si="45"/>
        <v>1.33312765278668</v>
      </c>
      <c r="U60" s="13">
        <f t="shared" si="47"/>
        <v>1.66517721931159</v>
      </c>
      <c r="V60" s="13">
        <f t="shared" si="49"/>
        <v>1.39286502028865</v>
      </c>
      <c r="W60" s="13">
        <f t="shared" si="51"/>
        <v>2.38760030926125</v>
      </c>
      <c r="X60" s="13">
        <f>1/ABS(X27)</f>
        <v>1.10862739658728</v>
      </c>
      <c r="Y60" s="13">
        <f>1/ABS(Y27)</f>
        <v>1.35458974596143</v>
      </c>
      <c r="Z60" s="13">
        <f>1/ABS(Z27)</f>
        <v>1.65898919446933</v>
      </c>
      <c r="AA60" s="13">
        <f>1/ABS(AA27)</f>
        <v>1.24413038697995</v>
      </c>
      <c r="AB60" s="13">
        <f>1/ABS(AB27)</f>
        <v>0.918667456850885</v>
      </c>
      <c r="AC60" s="13">
        <v>0</v>
      </c>
      <c r="AD60" s="13">
        <f t="shared" si="33"/>
        <v>1.08754470524216</v>
      </c>
      <c r="AE60" s="13">
        <f t="shared" si="36"/>
        <v>1.53597083178454</v>
      </c>
      <c r="AF60" s="13">
        <f t="shared" si="36"/>
        <v>0.869081246353795</v>
      </c>
      <c r="AG60" s="13">
        <f t="shared" si="36"/>
        <v>1.29464784929426</v>
      </c>
      <c r="AH60" s="13">
        <f t="shared" si="36"/>
        <v>1.39804521164607</v>
      </c>
      <c r="AI60" s="13">
        <f t="shared" si="36"/>
        <v>1.37505041867868</v>
      </c>
      <c r="AJ60" s="13">
        <f t="shared" si="11"/>
        <v>54.593529137941</v>
      </c>
      <c r="AK60" s="13">
        <f t="shared" si="12"/>
        <v>54.593529137941</v>
      </c>
      <c r="AL60" s="13">
        <f t="shared" si="12"/>
        <v>54.593529137941</v>
      </c>
      <c r="AM60" s="13">
        <f t="shared" si="12"/>
        <v>54.593529137941</v>
      </c>
      <c r="AN60" s="13">
        <f t="shared" si="12"/>
        <v>54.593529137941</v>
      </c>
      <c r="AO60" s="13">
        <f t="shared" si="12"/>
        <v>54.593529137941</v>
      </c>
      <c r="AP60" s="13">
        <f t="shared" si="12"/>
        <v>54.593529137941</v>
      </c>
      <c r="AQ60" s="13">
        <f t="shared" si="12"/>
        <v>54.593529137941</v>
      </c>
      <c r="AR60" s="13">
        <f t="shared" ref="AR60:BG66" si="52">$AJ60</f>
        <v>54.593529137941</v>
      </c>
      <c r="AS60" s="13">
        <f t="shared" si="52"/>
        <v>54.593529137941</v>
      </c>
      <c r="AT60" s="13">
        <f t="shared" si="52"/>
        <v>54.593529137941</v>
      </c>
      <c r="AU60" s="13">
        <f t="shared" si="52"/>
        <v>54.593529137941</v>
      </c>
      <c r="AV60" s="13">
        <f t="shared" si="52"/>
        <v>54.593529137941</v>
      </c>
      <c r="AW60" s="13">
        <f t="shared" si="52"/>
        <v>54.593529137941</v>
      </c>
      <c r="AX60" s="13">
        <f t="shared" si="52"/>
        <v>54.593529137941</v>
      </c>
      <c r="AY60" s="13">
        <f t="shared" si="52"/>
        <v>54.593529137941</v>
      </c>
      <c r="AZ60" s="13">
        <f t="shared" si="52"/>
        <v>54.593529137941</v>
      </c>
      <c r="BA60" s="13">
        <f t="shared" si="52"/>
        <v>54.593529137941</v>
      </c>
      <c r="BB60" s="13">
        <f t="shared" si="52"/>
        <v>54.593529137941</v>
      </c>
      <c r="BC60" s="13">
        <f t="shared" si="52"/>
        <v>54.593529137941</v>
      </c>
      <c r="BD60" s="13">
        <f t="shared" si="52"/>
        <v>54.593529137941</v>
      </c>
      <c r="BE60" s="13">
        <f t="shared" si="52"/>
        <v>54.593529137941</v>
      </c>
      <c r="BF60" s="13">
        <f t="shared" si="52"/>
        <v>54.593529137941</v>
      </c>
      <c r="BG60" s="13">
        <f t="shared" si="52"/>
        <v>54.593529137941</v>
      </c>
      <c r="BH60" s="13">
        <f t="shared" si="30"/>
        <v>54.593529137941</v>
      </c>
      <c r="BI60" s="13">
        <f t="shared" si="30"/>
        <v>54.593529137941</v>
      </c>
      <c r="BJ60" s="13">
        <f t="shared" si="30"/>
        <v>54.593529137941</v>
      </c>
      <c r="BK60" s="13">
        <f t="shared" si="30"/>
        <v>54.593529137941</v>
      </c>
      <c r="BL60" s="13">
        <f t="shared" si="30"/>
        <v>54.593529137941</v>
      </c>
      <c r="BM60" s="13">
        <f t="shared" si="30"/>
        <v>54.593529137941</v>
      </c>
      <c r="BN60" s="13">
        <f t="shared" si="30"/>
        <v>54.593529137941</v>
      </c>
    </row>
    <row r="61" spans="1:66">
      <c r="A61" s="13"/>
      <c r="B61" s="13"/>
      <c r="C61" s="13"/>
      <c r="D61" s="14" t="s">
        <v>25</v>
      </c>
      <c r="E61" s="13">
        <f t="shared" si="8"/>
        <v>3.69936987448467</v>
      </c>
      <c r="F61" s="13">
        <f t="shared" si="13"/>
        <v>3.20903364744497</v>
      </c>
      <c r="G61" s="13">
        <f t="shared" ref="G61:AI61" si="53">1/ABS(G28)</f>
        <v>1.3034136275062</v>
      </c>
      <c r="H61" s="13">
        <f t="shared" si="53"/>
        <v>1.16535140897665</v>
      </c>
      <c r="I61" s="13">
        <f t="shared" si="53"/>
        <v>1.95749919771305</v>
      </c>
      <c r="J61" s="13">
        <f t="shared" si="53"/>
        <v>1.78985711335729</v>
      </c>
      <c r="K61" s="13">
        <f t="shared" si="53"/>
        <v>1.44493544658869</v>
      </c>
      <c r="L61" s="13">
        <f t="shared" si="53"/>
        <v>1.2288187201214</v>
      </c>
      <c r="M61" s="13">
        <f t="shared" si="53"/>
        <v>3.86028073271151</v>
      </c>
      <c r="N61" s="13">
        <f t="shared" si="53"/>
        <v>2.70713335189476</v>
      </c>
      <c r="O61" s="13">
        <f t="shared" si="53"/>
        <v>2.50975896022235</v>
      </c>
      <c r="P61" s="13">
        <f t="shared" si="53"/>
        <v>1.1390211387761</v>
      </c>
      <c r="Q61" s="13">
        <f t="shared" si="53"/>
        <v>2.16161018725206</v>
      </c>
      <c r="R61" s="13">
        <f t="shared" si="53"/>
        <v>1.12686317189371</v>
      </c>
      <c r="S61" s="13">
        <f t="shared" si="53"/>
        <v>1.93201261740584</v>
      </c>
      <c r="T61" s="13">
        <f t="shared" si="53"/>
        <v>1.22581411721355</v>
      </c>
      <c r="U61" s="13">
        <f t="shared" si="53"/>
        <v>1.53113450075674</v>
      </c>
      <c r="V61" s="13">
        <f t="shared" si="53"/>
        <v>1.28074277183715</v>
      </c>
      <c r="W61" s="13">
        <f t="shared" si="53"/>
        <v>2.19540428798246</v>
      </c>
      <c r="X61" s="13">
        <f t="shared" si="53"/>
        <v>1.01938558593822</v>
      </c>
      <c r="Y61" s="13">
        <f t="shared" si="53"/>
        <v>1.24554856405633</v>
      </c>
      <c r="Z61" s="13">
        <f t="shared" si="53"/>
        <v>1.52544459687286</v>
      </c>
      <c r="AA61" s="13">
        <f t="shared" si="53"/>
        <v>1.14398091497574</v>
      </c>
      <c r="AB61" s="13">
        <f t="shared" si="53"/>
        <v>0.844716959608875</v>
      </c>
      <c r="AC61" s="13">
        <f t="shared" si="53"/>
        <v>0.91950243073211</v>
      </c>
      <c r="AD61" s="13">
        <v>0</v>
      </c>
      <c r="AE61" s="13">
        <f t="shared" si="53"/>
        <v>1.4123289133595</v>
      </c>
      <c r="AF61" s="13">
        <f t="shared" si="53"/>
        <v>0.799122318526006</v>
      </c>
      <c r="AG61" s="13">
        <f t="shared" si="53"/>
        <v>1.19043184436817</v>
      </c>
      <c r="AH61" s="13">
        <f t="shared" si="53"/>
        <v>1.28550597038195</v>
      </c>
      <c r="AI61" s="13">
        <f t="shared" si="53"/>
        <v>1.26436220235426</v>
      </c>
      <c r="AJ61" s="13">
        <f t="shared" si="11"/>
        <v>50.1183851753132</v>
      </c>
      <c r="AK61" s="13">
        <f t="shared" ref="AK61:AZ66" si="54">$AJ61</f>
        <v>50.1183851753132</v>
      </c>
      <c r="AL61" s="13">
        <f t="shared" si="54"/>
        <v>50.1183851753132</v>
      </c>
      <c r="AM61" s="13">
        <f t="shared" si="54"/>
        <v>50.1183851753132</v>
      </c>
      <c r="AN61" s="13">
        <f t="shared" si="54"/>
        <v>50.1183851753132</v>
      </c>
      <c r="AO61" s="13">
        <f t="shared" si="54"/>
        <v>50.1183851753132</v>
      </c>
      <c r="AP61" s="13">
        <f t="shared" si="54"/>
        <v>50.1183851753132</v>
      </c>
      <c r="AQ61" s="13">
        <f t="shared" si="54"/>
        <v>50.1183851753132</v>
      </c>
      <c r="AR61" s="13">
        <f t="shared" si="54"/>
        <v>50.1183851753132</v>
      </c>
      <c r="AS61" s="13">
        <f t="shared" si="54"/>
        <v>50.1183851753132</v>
      </c>
      <c r="AT61" s="13">
        <f t="shared" si="54"/>
        <v>50.1183851753132</v>
      </c>
      <c r="AU61" s="13">
        <f t="shared" si="54"/>
        <v>50.1183851753132</v>
      </c>
      <c r="AV61" s="13">
        <f t="shared" si="54"/>
        <v>50.1183851753132</v>
      </c>
      <c r="AW61" s="13">
        <f t="shared" si="54"/>
        <v>50.1183851753132</v>
      </c>
      <c r="AX61" s="13">
        <f t="shared" si="54"/>
        <v>50.1183851753132</v>
      </c>
      <c r="AY61" s="13">
        <f t="shared" si="54"/>
        <v>50.1183851753132</v>
      </c>
      <c r="AZ61" s="13">
        <f t="shared" si="54"/>
        <v>50.1183851753132</v>
      </c>
      <c r="BA61" s="13">
        <f t="shared" si="52"/>
        <v>50.1183851753132</v>
      </c>
      <c r="BB61" s="13">
        <f t="shared" si="52"/>
        <v>50.1183851753132</v>
      </c>
      <c r="BC61" s="13">
        <f t="shared" si="52"/>
        <v>50.1183851753132</v>
      </c>
      <c r="BD61" s="13">
        <f t="shared" si="52"/>
        <v>50.1183851753132</v>
      </c>
      <c r="BE61" s="13">
        <f t="shared" si="52"/>
        <v>50.1183851753132</v>
      </c>
      <c r="BF61" s="13">
        <f t="shared" si="52"/>
        <v>50.1183851753132</v>
      </c>
      <c r="BG61" s="13">
        <f t="shared" si="52"/>
        <v>50.1183851753132</v>
      </c>
      <c r="BH61" s="13">
        <f t="shared" si="30"/>
        <v>50.1183851753132</v>
      </c>
      <c r="BI61" s="13">
        <f t="shared" si="30"/>
        <v>50.1183851753132</v>
      </c>
      <c r="BJ61" s="13">
        <f t="shared" si="30"/>
        <v>50.1183851753132</v>
      </c>
      <c r="BK61" s="13">
        <f t="shared" si="30"/>
        <v>50.1183851753132</v>
      </c>
      <c r="BL61" s="13">
        <f t="shared" si="30"/>
        <v>50.1183851753132</v>
      </c>
      <c r="BM61" s="13">
        <f t="shared" si="30"/>
        <v>50.1183851753132</v>
      </c>
      <c r="BN61" s="13">
        <f t="shared" si="30"/>
        <v>50.1183851753132</v>
      </c>
    </row>
    <row r="62" spans="1:66">
      <c r="A62" s="13"/>
      <c r="B62" s="13"/>
      <c r="C62" s="13"/>
      <c r="D62" s="14" t="s">
        <v>26</v>
      </c>
      <c r="E62" s="13">
        <f t="shared" si="8"/>
        <v>2.61934018307745</v>
      </c>
      <c r="F62" s="13">
        <f t="shared" si="13"/>
        <v>2.27215743945343</v>
      </c>
      <c r="G62" s="13">
        <f t="shared" ref="G62:AC62" si="55">1/ABS(G29)</f>
        <v>0.922882492298321</v>
      </c>
      <c r="H62" s="13">
        <f t="shared" si="55"/>
        <v>0.825127488330344</v>
      </c>
      <c r="I62" s="13">
        <f t="shared" si="55"/>
        <v>1.38600801781842</v>
      </c>
      <c r="J62" s="13">
        <f t="shared" si="55"/>
        <v>1.26730897911008</v>
      </c>
      <c r="K62" s="13">
        <f t="shared" si="55"/>
        <v>1.02308706769418</v>
      </c>
      <c r="L62" s="13">
        <f t="shared" si="55"/>
        <v>0.87006554103492</v>
      </c>
      <c r="M62" s="13">
        <f t="shared" si="55"/>
        <v>2.73327317468072</v>
      </c>
      <c r="N62" s="13">
        <f t="shared" si="55"/>
        <v>1.91678675292097</v>
      </c>
      <c r="O62" s="13">
        <f t="shared" si="55"/>
        <v>1.77703574321961</v>
      </c>
      <c r="P62" s="13">
        <f t="shared" si="55"/>
        <v>0.806484330952848</v>
      </c>
      <c r="Q62" s="13">
        <f t="shared" si="55"/>
        <v>1.53052887808566</v>
      </c>
      <c r="R62" s="13">
        <f t="shared" si="55"/>
        <v>0.797875878086529</v>
      </c>
      <c r="S62" s="13">
        <f t="shared" si="55"/>
        <v>1.36796223537629</v>
      </c>
      <c r="T62" s="13">
        <f t="shared" si="55"/>
        <v>0.867938130854876</v>
      </c>
      <c r="U62" s="13">
        <f t="shared" si="55"/>
        <v>1.08412033930158</v>
      </c>
      <c r="V62" s="13">
        <f t="shared" si="55"/>
        <v>0.906830384708791</v>
      </c>
      <c r="W62" s="13">
        <f t="shared" si="55"/>
        <v>1.55445680338035</v>
      </c>
      <c r="X62" s="13">
        <f t="shared" si="55"/>
        <v>0.721776334319608</v>
      </c>
      <c r="Y62" s="13">
        <f t="shared" si="55"/>
        <v>0.881911113108593</v>
      </c>
      <c r="Z62" s="13">
        <f t="shared" si="55"/>
        <v>1.08009160079027</v>
      </c>
      <c r="AA62" s="13">
        <f t="shared" si="55"/>
        <v>0.809996102292175</v>
      </c>
      <c r="AB62" s="13">
        <f t="shared" si="55"/>
        <v>0.598102150015146</v>
      </c>
      <c r="AC62" s="13">
        <f t="shared" si="55"/>
        <v>0.65105403000275</v>
      </c>
      <c r="AD62" s="13">
        <f t="shared" ref="AD62:AD66" si="56">1/ABS(AD29)</f>
        <v>0.708050363156059</v>
      </c>
      <c r="AE62" s="13">
        <v>0</v>
      </c>
      <c r="AF62" s="13">
        <f>1/ABS(AF29)</f>
        <v>0.565818847838451</v>
      </c>
      <c r="AG62" s="13">
        <f>1/ABS(AG29)</f>
        <v>0.842885699717419</v>
      </c>
      <c r="AH62" s="13">
        <f>1/ABS(AH29)</f>
        <v>0.910202969168221</v>
      </c>
      <c r="AI62" s="13">
        <f>1/ABS(AI29)</f>
        <v>0.895232116537725</v>
      </c>
      <c r="AJ62" s="13">
        <f t="shared" si="11"/>
        <v>35.1943911873318</v>
      </c>
      <c r="AK62" s="13">
        <f t="shared" si="54"/>
        <v>35.1943911873318</v>
      </c>
      <c r="AL62" s="13">
        <f t="shared" si="54"/>
        <v>35.1943911873318</v>
      </c>
      <c r="AM62" s="13">
        <f t="shared" si="54"/>
        <v>35.1943911873318</v>
      </c>
      <c r="AN62" s="13">
        <f t="shared" si="54"/>
        <v>35.1943911873318</v>
      </c>
      <c r="AO62" s="13">
        <f t="shared" si="54"/>
        <v>35.1943911873318</v>
      </c>
      <c r="AP62" s="13">
        <f t="shared" si="54"/>
        <v>35.1943911873318</v>
      </c>
      <c r="AQ62" s="13">
        <f t="shared" si="54"/>
        <v>35.1943911873318</v>
      </c>
      <c r="AR62" s="13">
        <f t="shared" si="54"/>
        <v>35.1943911873318</v>
      </c>
      <c r="AS62" s="13">
        <f t="shared" si="54"/>
        <v>35.1943911873318</v>
      </c>
      <c r="AT62" s="13">
        <f t="shared" si="54"/>
        <v>35.1943911873318</v>
      </c>
      <c r="AU62" s="13">
        <f t="shared" si="54"/>
        <v>35.1943911873318</v>
      </c>
      <c r="AV62" s="13">
        <f t="shared" si="54"/>
        <v>35.1943911873318</v>
      </c>
      <c r="AW62" s="13">
        <f t="shared" si="54"/>
        <v>35.1943911873318</v>
      </c>
      <c r="AX62" s="13">
        <f t="shared" si="54"/>
        <v>35.1943911873318</v>
      </c>
      <c r="AY62" s="13">
        <f t="shared" si="54"/>
        <v>35.1943911873318</v>
      </c>
      <c r="AZ62" s="13">
        <f t="shared" si="54"/>
        <v>35.1943911873318</v>
      </c>
      <c r="BA62" s="13">
        <f t="shared" si="52"/>
        <v>35.1943911873318</v>
      </c>
      <c r="BB62" s="13">
        <f t="shared" si="52"/>
        <v>35.1943911873318</v>
      </c>
      <c r="BC62" s="13">
        <f t="shared" si="52"/>
        <v>35.1943911873318</v>
      </c>
      <c r="BD62" s="13">
        <f t="shared" si="52"/>
        <v>35.1943911873318</v>
      </c>
      <c r="BE62" s="13">
        <f t="shared" si="52"/>
        <v>35.1943911873318</v>
      </c>
      <c r="BF62" s="13">
        <f t="shared" si="52"/>
        <v>35.1943911873318</v>
      </c>
      <c r="BG62" s="13">
        <f t="shared" si="52"/>
        <v>35.1943911873318</v>
      </c>
      <c r="BH62" s="13">
        <f t="shared" si="30"/>
        <v>35.1943911873318</v>
      </c>
      <c r="BI62" s="13">
        <f t="shared" si="30"/>
        <v>35.1943911873318</v>
      </c>
      <c r="BJ62" s="13">
        <f t="shared" si="30"/>
        <v>35.1943911873318</v>
      </c>
      <c r="BK62" s="13">
        <f t="shared" si="30"/>
        <v>35.1943911873318</v>
      </c>
      <c r="BL62" s="13">
        <f t="shared" si="30"/>
        <v>35.1943911873318</v>
      </c>
      <c r="BM62" s="13">
        <f t="shared" si="30"/>
        <v>35.1943911873318</v>
      </c>
      <c r="BN62" s="13">
        <f t="shared" si="30"/>
        <v>35.1943911873318</v>
      </c>
    </row>
    <row r="63" spans="1:66">
      <c r="A63" s="13"/>
      <c r="B63" s="13"/>
      <c r="C63" s="13"/>
      <c r="D63" s="14" t="s">
        <v>27</v>
      </c>
      <c r="E63" s="13">
        <f t="shared" si="8"/>
        <v>4.6292911469526</v>
      </c>
      <c r="F63" s="13">
        <f t="shared" si="13"/>
        <v>4.01569768863931</v>
      </c>
      <c r="G63" s="13">
        <f t="shared" ref="G63:AC63" si="57">1/ABS(G30)</f>
        <v>1.63105646944058</v>
      </c>
      <c r="H63" s="13">
        <f t="shared" si="57"/>
        <v>1.45828915293739</v>
      </c>
      <c r="I63" s="13">
        <f t="shared" si="57"/>
        <v>2.44956141548353</v>
      </c>
      <c r="J63" s="13">
        <f t="shared" si="57"/>
        <v>2.23977865698797</v>
      </c>
      <c r="K63" s="13">
        <f t="shared" si="57"/>
        <v>1.80815303626345</v>
      </c>
      <c r="L63" s="13">
        <f t="shared" si="57"/>
        <v>1.53771042509234</v>
      </c>
      <c r="M63" s="13">
        <f t="shared" si="57"/>
        <v>4.83065063159775</v>
      </c>
      <c r="N63" s="13">
        <f t="shared" si="57"/>
        <v>3.38763326856909</v>
      </c>
      <c r="O63" s="13">
        <f t="shared" si="57"/>
        <v>3.14064430693369</v>
      </c>
      <c r="P63" s="13">
        <f t="shared" si="57"/>
        <v>1.4253401667933</v>
      </c>
      <c r="Q63" s="13">
        <f t="shared" si="57"/>
        <v>2.70498037301622</v>
      </c>
      <c r="R63" s="13">
        <f t="shared" si="57"/>
        <v>1.41012601671822</v>
      </c>
      <c r="S63" s="13">
        <f t="shared" si="57"/>
        <v>2.41766819999405</v>
      </c>
      <c r="T63" s="13">
        <f t="shared" si="57"/>
        <v>1.53395054648778</v>
      </c>
      <c r="U63" s="13">
        <f t="shared" si="57"/>
        <v>1.91602019523237</v>
      </c>
      <c r="V63" s="13">
        <f t="shared" si="57"/>
        <v>1.60268677541068</v>
      </c>
      <c r="W63" s="13">
        <f t="shared" si="57"/>
        <v>2.74726939429237</v>
      </c>
      <c r="X63" s="13">
        <f t="shared" si="57"/>
        <v>1.2756314800699</v>
      </c>
      <c r="Y63" s="13">
        <f t="shared" si="57"/>
        <v>1.55864569813763</v>
      </c>
      <c r="Z63" s="13">
        <f t="shared" si="57"/>
        <v>1.90890000380238</v>
      </c>
      <c r="AA63" s="13">
        <f t="shared" si="57"/>
        <v>1.43154669623773</v>
      </c>
      <c r="AB63" s="13">
        <f t="shared" si="57"/>
        <v>1.05705589748384</v>
      </c>
      <c r="AC63" s="13">
        <f t="shared" si="57"/>
        <v>1.15064040812694</v>
      </c>
      <c r="AD63" s="13">
        <f t="shared" si="56"/>
        <v>1.25137288349613</v>
      </c>
      <c r="AE63" s="13">
        <f>1/ABS(AE30)</f>
        <v>1.76735010475564</v>
      </c>
      <c r="AF63" s="13">
        <v>0</v>
      </c>
      <c r="AG63" s="13">
        <f>1/ABS(AG30)</f>
        <v>1.48967412969261</v>
      </c>
      <c r="AH63" s="13">
        <f>1/ABS(AH30)</f>
        <v>1.60864731290835</v>
      </c>
      <c r="AI63" s="13">
        <f>1/ABS(AI30)</f>
        <v>1.58218857494356</v>
      </c>
      <c r="AJ63" s="13">
        <f t="shared" si="11"/>
        <v>62.9681610564974</v>
      </c>
      <c r="AK63" s="13">
        <f t="shared" si="54"/>
        <v>62.9681610564974</v>
      </c>
      <c r="AL63" s="13">
        <f t="shared" si="54"/>
        <v>62.9681610564974</v>
      </c>
      <c r="AM63" s="13">
        <f t="shared" si="54"/>
        <v>62.9681610564974</v>
      </c>
      <c r="AN63" s="13">
        <f t="shared" si="54"/>
        <v>62.9681610564974</v>
      </c>
      <c r="AO63" s="13">
        <f t="shared" si="54"/>
        <v>62.9681610564974</v>
      </c>
      <c r="AP63" s="13">
        <f t="shared" si="54"/>
        <v>62.9681610564974</v>
      </c>
      <c r="AQ63" s="13">
        <f t="shared" si="54"/>
        <v>62.9681610564974</v>
      </c>
      <c r="AR63" s="13">
        <f t="shared" si="54"/>
        <v>62.9681610564974</v>
      </c>
      <c r="AS63" s="13">
        <f t="shared" si="54"/>
        <v>62.9681610564974</v>
      </c>
      <c r="AT63" s="13">
        <f t="shared" si="54"/>
        <v>62.9681610564974</v>
      </c>
      <c r="AU63" s="13">
        <f t="shared" si="54"/>
        <v>62.9681610564974</v>
      </c>
      <c r="AV63" s="13">
        <f t="shared" si="54"/>
        <v>62.9681610564974</v>
      </c>
      <c r="AW63" s="13">
        <f t="shared" si="54"/>
        <v>62.9681610564974</v>
      </c>
      <c r="AX63" s="13">
        <f t="shared" si="54"/>
        <v>62.9681610564974</v>
      </c>
      <c r="AY63" s="13">
        <f t="shared" si="54"/>
        <v>62.9681610564974</v>
      </c>
      <c r="AZ63" s="13">
        <f t="shared" si="54"/>
        <v>62.9681610564974</v>
      </c>
      <c r="BA63" s="13">
        <f t="shared" si="52"/>
        <v>62.9681610564974</v>
      </c>
      <c r="BB63" s="13">
        <f t="shared" si="52"/>
        <v>62.9681610564974</v>
      </c>
      <c r="BC63" s="13">
        <f t="shared" si="52"/>
        <v>62.9681610564974</v>
      </c>
      <c r="BD63" s="13">
        <f t="shared" si="52"/>
        <v>62.9681610564974</v>
      </c>
      <c r="BE63" s="13">
        <f t="shared" si="52"/>
        <v>62.9681610564974</v>
      </c>
      <c r="BF63" s="13">
        <f t="shared" si="52"/>
        <v>62.9681610564974</v>
      </c>
      <c r="BG63" s="13">
        <f t="shared" si="52"/>
        <v>62.9681610564974</v>
      </c>
      <c r="BH63" s="13">
        <f t="shared" si="30"/>
        <v>62.9681610564974</v>
      </c>
      <c r="BI63" s="13">
        <f t="shared" si="30"/>
        <v>62.9681610564974</v>
      </c>
      <c r="BJ63" s="13">
        <f t="shared" si="30"/>
        <v>62.9681610564974</v>
      </c>
      <c r="BK63" s="13">
        <f t="shared" si="30"/>
        <v>62.9681610564974</v>
      </c>
      <c r="BL63" s="13">
        <f t="shared" si="30"/>
        <v>62.9681610564974</v>
      </c>
      <c r="BM63" s="13">
        <f t="shared" si="30"/>
        <v>62.9681610564974</v>
      </c>
      <c r="BN63" s="13">
        <f t="shared" si="30"/>
        <v>62.9681610564974</v>
      </c>
    </row>
    <row r="64" spans="1:66">
      <c r="A64" s="13"/>
      <c r="B64" s="13"/>
      <c r="C64" s="13"/>
      <c r="D64" s="14" t="s">
        <v>28</v>
      </c>
      <c r="E64" s="13">
        <f t="shared" si="8"/>
        <v>3.10758645443338</v>
      </c>
      <c r="F64" s="13">
        <f t="shared" si="13"/>
        <v>2.69568868022696</v>
      </c>
      <c r="G64" s="13">
        <f t="shared" ref="G64:AC64" si="58">1/ABS(G31)</f>
        <v>1.09490823323699</v>
      </c>
      <c r="H64" s="13">
        <f t="shared" si="58"/>
        <v>0.978931649459673</v>
      </c>
      <c r="I64" s="13">
        <f t="shared" si="58"/>
        <v>1.64436057971215</v>
      </c>
      <c r="J64" s="13">
        <f t="shared" si="58"/>
        <v>1.50353598303418</v>
      </c>
      <c r="K64" s="13">
        <f t="shared" si="58"/>
        <v>1.21379098973583</v>
      </c>
      <c r="L64" s="13">
        <f t="shared" si="58"/>
        <v>1.03224617682636</v>
      </c>
      <c r="M64" s="13">
        <f t="shared" si="58"/>
        <v>3.24275661053101</v>
      </c>
      <c r="N64" s="13">
        <f t="shared" si="58"/>
        <v>2.27407672661142</v>
      </c>
      <c r="O64" s="13">
        <f t="shared" si="58"/>
        <v>2.10827606141066</v>
      </c>
      <c r="P64" s="13">
        <f t="shared" si="58"/>
        <v>0.956813398570204</v>
      </c>
      <c r="Q64" s="13">
        <f t="shared" si="58"/>
        <v>1.81582019792099</v>
      </c>
      <c r="R64" s="13">
        <f t="shared" si="58"/>
        <v>0.946600325944574</v>
      </c>
      <c r="S64" s="13">
        <f t="shared" si="58"/>
        <v>1.62295105473365</v>
      </c>
      <c r="T64" s="13">
        <f t="shared" si="58"/>
        <v>1.0297222163644</v>
      </c>
      <c r="U64" s="13">
        <f t="shared" si="58"/>
        <v>1.28620089255879</v>
      </c>
      <c r="V64" s="13">
        <f t="shared" si="58"/>
        <v>1.07586400506357</v>
      </c>
      <c r="W64" s="13">
        <f t="shared" si="58"/>
        <v>1.84420830001207</v>
      </c>
      <c r="X64" s="13">
        <f t="shared" si="58"/>
        <v>0.856315790577045</v>
      </c>
      <c r="Y64" s="13">
        <f t="shared" si="58"/>
        <v>1.04629976923829</v>
      </c>
      <c r="Z64" s="13">
        <f t="shared" si="58"/>
        <v>1.28142119524911</v>
      </c>
      <c r="AA64" s="13">
        <f t="shared" si="58"/>
        <v>0.960979765778123</v>
      </c>
      <c r="AB64" s="13">
        <f t="shared" si="58"/>
        <v>0.709588678768263</v>
      </c>
      <c r="AC64" s="13">
        <f t="shared" si="58"/>
        <v>0.77241081468225</v>
      </c>
      <c r="AD64" s="13">
        <f t="shared" si="56"/>
        <v>0.840031291779462</v>
      </c>
      <c r="AE64" s="13">
        <f>1/ABS(AE31)</f>
        <v>1.18640048150687</v>
      </c>
      <c r="AF64" s="13">
        <f>1/ABS(AF31)</f>
        <v>0.6712877535212</v>
      </c>
      <c r="AG64" s="13">
        <v>0</v>
      </c>
      <c r="AH64" s="13">
        <f>1/ABS(AH31)</f>
        <v>1.07986524089016</v>
      </c>
      <c r="AI64" s="13">
        <f>1/ABS(AI31)</f>
        <v>1.06210381412077</v>
      </c>
      <c r="AJ64" s="13">
        <f t="shared" si="11"/>
        <v>41.9410431324984</v>
      </c>
      <c r="AK64" s="13">
        <f t="shared" si="54"/>
        <v>41.9410431324984</v>
      </c>
      <c r="AL64" s="13">
        <f t="shared" si="54"/>
        <v>41.9410431324984</v>
      </c>
      <c r="AM64" s="13">
        <f t="shared" si="54"/>
        <v>41.9410431324984</v>
      </c>
      <c r="AN64" s="13">
        <f t="shared" si="54"/>
        <v>41.9410431324984</v>
      </c>
      <c r="AO64" s="13">
        <f t="shared" si="54"/>
        <v>41.9410431324984</v>
      </c>
      <c r="AP64" s="13">
        <f t="shared" si="54"/>
        <v>41.9410431324984</v>
      </c>
      <c r="AQ64" s="13">
        <f t="shared" si="54"/>
        <v>41.9410431324984</v>
      </c>
      <c r="AR64" s="13">
        <f t="shared" si="54"/>
        <v>41.9410431324984</v>
      </c>
      <c r="AS64" s="13">
        <f t="shared" si="54"/>
        <v>41.9410431324984</v>
      </c>
      <c r="AT64" s="13">
        <f t="shared" si="54"/>
        <v>41.9410431324984</v>
      </c>
      <c r="AU64" s="13">
        <f t="shared" si="54"/>
        <v>41.9410431324984</v>
      </c>
      <c r="AV64" s="13">
        <f t="shared" si="54"/>
        <v>41.9410431324984</v>
      </c>
      <c r="AW64" s="13">
        <f t="shared" si="54"/>
        <v>41.9410431324984</v>
      </c>
      <c r="AX64" s="13">
        <f t="shared" si="54"/>
        <v>41.9410431324984</v>
      </c>
      <c r="AY64" s="13">
        <f t="shared" si="54"/>
        <v>41.9410431324984</v>
      </c>
      <c r="AZ64" s="13">
        <f t="shared" si="54"/>
        <v>41.9410431324984</v>
      </c>
      <c r="BA64" s="13">
        <f t="shared" si="52"/>
        <v>41.9410431324984</v>
      </c>
      <c r="BB64" s="13">
        <f t="shared" si="52"/>
        <v>41.9410431324984</v>
      </c>
      <c r="BC64" s="13">
        <f t="shared" si="52"/>
        <v>41.9410431324984</v>
      </c>
      <c r="BD64" s="13">
        <f t="shared" si="52"/>
        <v>41.9410431324984</v>
      </c>
      <c r="BE64" s="13">
        <f t="shared" si="52"/>
        <v>41.9410431324984</v>
      </c>
      <c r="BF64" s="13">
        <f t="shared" si="52"/>
        <v>41.9410431324984</v>
      </c>
      <c r="BG64" s="13">
        <f t="shared" si="52"/>
        <v>41.9410431324984</v>
      </c>
      <c r="BH64" s="13">
        <f t="shared" si="30"/>
        <v>41.9410431324984</v>
      </c>
      <c r="BI64" s="13">
        <f t="shared" si="30"/>
        <v>41.9410431324984</v>
      </c>
      <c r="BJ64" s="13">
        <f t="shared" si="30"/>
        <v>41.9410431324984</v>
      </c>
      <c r="BK64" s="13">
        <f t="shared" si="30"/>
        <v>41.9410431324984</v>
      </c>
      <c r="BL64" s="13">
        <f t="shared" si="30"/>
        <v>41.9410431324984</v>
      </c>
      <c r="BM64" s="13">
        <f t="shared" si="30"/>
        <v>41.9410431324984</v>
      </c>
      <c r="BN64" s="13">
        <f t="shared" si="30"/>
        <v>41.9410431324984</v>
      </c>
    </row>
    <row r="65" spans="1:66">
      <c r="A65" s="13"/>
      <c r="B65" s="13"/>
      <c r="C65" s="13"/>
      <c r="D65" s="14" t="s">
        <v>29</v>
      </c>
      <c r="E65" s="13">
        <f t="shared" si="8"/>
        <v>2.87775394258614</v>
      </c>
      <c r="F65" s="13">
        <f t="shared" si="13"/>
        <v>2.49631952039204</v>
      </c>
      <c r="G65" s="13">
        <f t="shared" ref="G65:AC65" si="59">1/ABS(G32)</f>
        <v>1.01393043481465</v>
      </c>
      <c r="H65" s="13">
        <f t="shared" si="59"/>
        <v>0.906531308159077</v>
      </c>
      <c r="I65" s="13">
        <f t="shared" si="59"/>
        <v>1.52274609594496</v>
      </c>
      <c r="J65" s="13">
        <f t="shared" si="59"/>
        <v>1.39233667878298</v>
      </c>
      <c r="K65" s="13">
        <f t="shared" si="59"/>
        <v>1.12402079794259</v>
      </c>
      <c r="L65" s="13">
        <f t="shared" si="59"/>
        <v>0.955902771697196</v>
      </c>
      <c r="M65" s="13">
        <f t="shared" si="59"/>
        <v>3.00292711325529</v>
      </c>
      <c r="N65" s="13">
        <f t="shared" si="59"/>
        <v>2.10588936517379</v>
      </c>
      <c r="O65" s="13">
        <f t="shared" si="59"/>
        <v>1.95235107268826</v>
      </c>
      <c r="P65" s="13">
        <f t="shared" si="59"/>
        <v>0.886048890490706</v>
      </c>
      <c r="Q65" s="13">
        <f t="shared" si="59"/>
        <v>1.68152481361857</v>
      </c>
      <c r="R65" s="13">
        <f t="shared" si="59"/>
        <v>0.876591161656679</v>
      </c>
      <c r="S65" s="13">
        <f t="shared" si="59"/>
        <v>1.50291998786424</v>
      </c>
      <c r="T65" s="13">
        <f t="shared" si="59"/>
        <v>0.953565479629265</v>
      </c>
      <c r="U65" s="13">
        <f t="shared" si="59"/>
        <v>1.19107537112551</v>
      </c>
      <c r="V65" s="13">
        <f t="shared" si="59"/>
        <v>0.996294689675082</v>
      </c>
      <c r="W65" s="13">
        <f t="shared" si="59"/>
        <v>1.70781337353895</v>
      </c>
      <c r="X65" s="13">
        <f t="shared" si="59"/>
        <v>0.79298393739497</v>
      </c>
      <c r="Y65" s="13">
        <f t="shared" si="59"/>
        <v>0.968916981137205</v>
      </c>
      <c r="Z65" s="13">
        <f t="shared" si="59"/>
        <v>1.18664917318091</v>
      </c>
      <c r="AA65" s="13">
        <f t="shared" si="59"/>
        <v>0.889907119323486</v>
      </c>
      <c r="AB65" s="13">
        <f t="shared" si="59"/>
        <v>0.657108546417636</v>
      </c>
      <c r="AC65" s="13">
        <f t="shared" si="59"/>
        <v>0.715284449794433</v>
      </c>
      <c r="AD65" s="13">
        <f t="shared" si="56"/>
        <v>0.777903816115985</v>
      </c>
      <c r="AE65" s="13">
        <f>1/ABS(AE32)</f>
        <v>1.0986560513133</v>
      </c>
      <c r="AF65" s="13">
        <f>1/ABS(AF32)</f>
        <v>0.621640301124834</v>
      </c>
      <c r="AG65" s="13">
        <f>1/ABS(AG32)</f>
        <v>0.926041474559989</v>
      </c>
      <c r="AH65" s="13">
        <v>0</v>
      </c>
      <c r="AI65" s="13">
        <f>1/ABS(AI32)</f>
        <v>0.983552182164186</v>
      </c>
      <c r="AJ65" s="13">
        <f t="shared" si="11"/>
        <v>38.7651869015629</v>
      </c>
      <c r="AK65" s="13">
        <f t="shared" si="54"/>
        <v>38.7651869015629</v>
      </c>
      <c r="AL65" s="13">
        <f t="shared" si="54"/>
        <v>38.7651869015629</v>
      </c>
      <c r="AM65" s="13">
        <f t="shared" si="54"/>
        <v>38.7651869015629</v>
      </c>
      <c r="AN65" s="13">
        <f t="shared" si="54"/>
        <v>38.7651869015629</v>
      </c>
      <c r="AO65" s="13">
        <f t="shared" si="54"/>
        <v>38.7651869015629</v>
      </c>
      <c r="AP65" s="13">
        <f t="shared" si="54"/>
        <v>38.7651869015629</v>
      </c>
      <c r="AQ65" s="13">
        <f t="shared" si="54"/>
        <v>38.7651869015629</v>
      </c>
      <c r="AR65" s="13">
        <f t="shared" si="54"/>
        <v>38.7651869015629</v>
      </c>
      <c r="AS65" s="13">
        <f t="shared" si="54"/>
        <v>38.7651869015629</v>
      </c>
      <c r="AT65" s="13">
        <f t="shared" si="54"/>
        <v>38.7651869015629</v>
      </c>
      <c r="AU65" s="13">
        <f t="shared" si="54"/>
        <v>38.7651869015629</v>
      </c>
      <c r="AV65" s="13">
        <f t="shared" si="54"/>
        <v>38.7651869015629</v>
      </c>
      <c r="AW65" s="13">
        <f t="shared" si="54"/>
        <v>38.7651869015629</v>
      </c>
      <c r="AX65" s="13">
        <f t="shared" si="54"/>
        <v>38.7651869015629</v>
      </c>
      <c r="AY65" s="13">
        <f t="shared" si="54"/>
        <v>38.7651869015629</v>
      </c>
      <c r="AZ65" s="13">
        <f t="shared" si="54"/>
        <v>38.7651869015629</v>
      </c>
      <c r="BA65" s="13">
        <f t="shared" si="52"/>
        <v>38.7651869015629</v>
      </c>
      <c r="BB65" s="13">
        <f t="shared" si="52"/>
        <v>38.7651869015629</v>
      </c>
      <c r="BC65" s="13">
        <f t="shared" si="52"/>
        <v>38.7651869015629</v>
      </c>
      <c r="BD65" s="13">
        <f t="shared" si="52"/>
        <v>38.7651869015629</v>
      </c>
      <c r="BE65" s="13">
        <f t="shared" si="52"/>
        <v>38.7651869015629</v>
      </c>
      <c r="BF65" s="13">
        <f t="shared" si="52"/>
        <v>38.7651869015629</v>
      </c>
      <c r="BG65" s="13">
        <f t="shared" si="52"/>
        <v>38.7651869015629</v>
      </c>
      <c r="BH65" s="13">
        <f t="shared" si="30"/>
        <v>38.7651869015629</v>
      </c>
      <c r="BI65" s="13">
        <f t="shared" si="30"/>
        <v>38.7651869015629</v>
      </c>
      <c r="BJ65" s="13">
        <f t="shared" si="30"/>
        <v>38.7651869015629</v>
      </c>
      <c r="BK65" s="13">
        <f t="shared" si="30"/>
        <v>38.7651869015629</v>
      </c>
      <c r="BL65" s="13">
        <f t="shared" si="30"/>
        <v>38.7651869015629</v>
      </c>
      <c r="BM65" s="13">
        <f t="shared" si="30"/>
        <v>38.7651869015629</v>
      </c>
      <c r="BN65" s="13">
        <f t="shared" si="30"/>
        <v>38.7651869015629</v>
      </c>
    </row>
    <row r="66" spans="1:66">
      <c r="A66" s="13"/>
      <c r="B66" s="13"/>
      <c r="C66" s="13"/>
      <c r="D66" s="14" t="s">
        <v>30</v>
      </c>
      <c r="E66" s="13">
        <f t="shared" si="8"/>
        <v>2.92587825513639</v>
      </c>
      <c r="F66" s="13">
        <f t="shared" si="13"/>
        <v>2.53806515369545</v>
      </c>
      <c r="G66" s="13">
        <f t="shared" ref="G66:AC66" si="60">1/ABS(G33)</f>
        <v>1.03088626429929</v>
      </c>
      <c r="H66" s="13">
        <f t="shared" si="60"/>
        <v>0.921691115731517</v>
      </c>
      <c r="I66" s="13">
        <f t="shared" si="60"/>
        <v>1.54821078490654</v>
      </c>
      <c r="J66" s="13">
        <f t="shared" si="60"/>
        <v>1.41562054767578</v>
      </c>
      <c r="K66" s="13">
        <f t="shared" si="60"/>
        <v>1.14281765454409</v>
      </c>
      <c r="L66" s="13">
        <f t="shared" si="60"/>
        <v>0.97188821196436</v>
      </c>
      <c r="M66" s="13">
        <f t="shared" si="60"/>
        <v>3.05314468079133</v>
      </c>
      <c r="N66" s="13">
        <f t="shared" si="60"/>
        <v>2.14110588473307</v>
      </c>
      <c r="O66" s="13">
        <f t="shared" si="60"/>
        <v>1.98499999094338</v>
      </c>
      <c r="P66" s="13">
        <f t="shared" si="60"/>
        <v>0.900866173201978</v>
      </c>
      <c r="Q66" s="13">
        <f t="shared" si="60"/>
        <v>1.70964473884708</v>
      </c>
      <c r="R66" s="13">
        <f t="shared" si="60"/>
        <v>0.891250283973594</v>
      </c>
      <c r="S66" s="13">
        <f t="shared" si="60"/>
        <v>1.52805312734627</v>
      </c>
      <c r="T66" s="13">
        <f t="shared" si="60"/>
        <v>0.969511833658953</v>
      </c>
      <c r="U66" s="13">
        <f t="shared" si="60"/>
        <v>1.21099357281146</v>
      </c>
      <c r="V66" s="13">
        <f t="shared" si="60"/>
        <v>1.01295559884058</v>
      </c>
      <c r="W66" s="13">
        <f t="shared" si="60"/>
        <v>1.7363729190058</v>
      </c>
      <c r="X66" s="13">
        <f t="shared" si="60"/>
        <v>0.806244906752284</v>
      </c>
      <c r="Y66" s="13">
        <f t="shared" si="60"/>
        <v>0.985120056370798</v>
      </c>
      <c r="Z66" s="13">
        <f t="shared" si="60"/>
        <v>1.20649335612253</v>
      </c>
      <c r="AA66" s="13">
        <f t="shared" si="60"/>
        <v>0.904788922703983</v>
      </c>
      <c r="AB66" s="13">
        <f t="shared" si="60"/>
        <v>0.668097288922433</v>
      </c>
      <c r="AC66" s="13">
        <f t="shared" si="60"/>
        <v>0.727246060519674</v>
      </c>
      <c r="AD66" s="13">
        <f t="shared" si="56"/>
        <v>0.790912602526388</v>
      </c>
      <c r="AE66" s="13">
        <f>1/ABS(AE33)</f>
        <v>1.11702873648843</v>
      </c>
      <c r="AF66" s="13">
        <f>1/ABS(AF33)</f>
        <v>0.632035912682325</v>
      </c>
      <c r="AG66" s="13">
        <f>1/ABS(AG33)</f>
        <v>0.941527548159516</v>
      </c>
      <c r="AH66" s="13">
        <f>1/ABS(AH33)</f>
        <v>1.016722872598</v>
      </c>
      <c r="AI66" s="13">
        <v>0</v>
      </c>
      <c r="AJ66" s="13">
        <f t="shared" si="11"/>
        <v>39.4301750559533</v>
      </c>
      <c r="AK66" s="13">
        <f t="shared" si="54"/>
        <v>39.4301750559533</v>
      </c>
      <c r="AL66" s="13">
        <f t="shared" si="54"/>
        <v>39.4301750559533</v>
      </c>
      <c r="AM66" s="13">
        <f t="shared" si="54"/>
        <v>39.4301750559533</v>
      </c>
      <c r="AN66" s="13">
        <f t="shared" si="54"/>
        <v>39.4301750559533</v>
      </c>
      <c r="AO66" s="13">
        <f t="shared" si="54"/>
        <v>39.4301750559533</v>
      </c>
      <c r="AP66" s="13">
        <f t="shared" si="54"/>
        <v>39.4301750559533</v>
      </c>
      <c r="AQ66" s="13">
        <f t="shared" si="54"/>
        <v>39.4301750559533</v>
      </c>
      <c r="AR66" s="13">
        <f t="shared" si="54"/>
        <v>39.4301750559533</v>
      </c>
      <c r="AS66" s="13">
        <f t="shared" si="54"/>
        <v>39.4301750559533</v>
      </c>
      <c r="AT66" s="13">
        <f t="shared" si="54"/>
        <v>39.4301750559533</v>
      </c>
      <c r="AU66" s="13">
        <f t="shared" si="54"/>
        <v>39.4301750559533</v>
      </c>
      <c r="AV66" s="13">
        <f t="shared" si="54"/>
        <v>39.4301750559533</v>
      </c>
      <c r="AW66" s="13">
        <f t="shared" si="54"/>
        <v>39.4301750559533</v>
      </c>
      <c r="AX66" s="13">
        <f t="shared" si="54"/>
        <v>39.4301750559533</v>
      </c>
      <c r="AY66" s="13">
        <f t="shared" si="54"/>
        <v>39.4301750559533</v>
      </c>
      <c r="AZ66" s="13">
        <f t="shared" si="54"/>
        <v>39.4301750559533</v>
      </c>
      <c r="BA66" s="13">
        <f t="shared" si="52"/>
        <v>39.4301750559533</v>
      </c>
      <c r="BB66" s="13">
        <f t="shared" si="52"/>
        <v>39.4301750559533</v>
      </c>
      <c r="BC66" s="13">
        <f t="shared" si="52"/>
        <v>39.4301750559533</v>
      </c>
      <c r="BD66" s="13">
        <f t="shared" si="52"/>
        <v>39.4301750559533</v>
      </c>
      <c r="BE66" s="13">
        <f t="shared" si="52"/>
        <v>39.4301750559533</v>
      </c>
      <c r="BF66" s="13">
        <f t="shared" si="52"/>
        <v>39.4301750559533</v>
      </c>
      <c r="BG66" s="13">
        <f t="shared" si="52"/>
        <v>39.4301750559533</v>
      </c>
      <c r="BH66" s="13">
        <f t="shared" si="30"/>
        <v>39.4301750559533</v>
      </c>
      <c r="BI66" s="13">
        <f t="shared" si="30"/>
        <v>39.4301750559533</v>
      </c>
      <c r="BJ66" s="13">
        <f t="shared" si="30"/>
        <v>39.4301750559533</v>
      </c>
      <c r="BK66" s="13">
        <f t="shared" ref="BK66:BN66" si="61">$AJ66</f>
        <v>39.4301750559533</v>
      </c>
      <c r="BL66" s="13">
        <f t="shared" si="61"/>
        <v>39.4301750559533</v>
      </c>
      <c r="BM66" s="13">
        <f t="shared" si="61"/>
        <v>39.4301750559533</v>
      </c>
      <c r="BN66" s="13">
        <f t="shared" si="61"/>
        <v>39.4301750559533</v>
      </c>
    </row>
    <row r="67" spans="1:3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</row>
    <row r="68" spans="1:35">
      <c r="A68" s="13"/>
      <c r="B68" s="16" t="s">
        <v>35</v>
      </c>
      <c r="C68" s="16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</row>
    <row r="69" spans="1:35">
      <c r="A69" s="13"/>
      <c r="B69" s="13"/>
      <c r="C69" s="13"/>
      <c r="D69" s="13"/>
      <c r="E69" s="14" t="s">
        <v>0</v>
      </c>
      <c r="F69" s="14" t="s">
        <v>1</v>
      </c>
      <c r="G69" s="14" t="s">
        <v>2</v>
      </c>
      <c r="H69" s="14" t="s">
        <v>3</v>
      </c>
      <c r="I69" s="14" t="s">
        <v>4</v>
      </c>
      <c r="J69" s="14" t="s">
        <v>5</v>
      </c>
      <c r="K69" s="14" t="s">
        <v>6</v>
      </c>
      <c r="L69" s="14" t="s">
        <v>7</v>
      </c>
      <c r="M69" s="14" t="s">
        <v>8</v>
      </c>
      <c r="N69" s="14" t="s">
        <v>9</v>
      </c>
      <c r="O69" s="14" t="s">
        <v>10</v>
      </c>
      <c r="P69" s="14" t="s">
        <v>11</v>
      </c>
      <c r="Q69" s="14" t="s">
        <v>12</v>
      </c>
      <c r="R69" s="14" t="s">
        <v>13</v>
      </c>
      <c r="S69" s="14" t="s">
        <v>14</v>
      </c>
      <c r="T69" s="14" t="s">
        <v>15</v>
      </c>
      <c r="U69" s="14" t="s">
        <v>16</v>
      </c>
      <c r="V69" s="14" t="s">
        <v>17</v>
      </c>
      <c r="W69" s="14" t="s">
        <v>18</v>
      </c>
      <c r="X69" s="14" t="s">
        <v>19</v>
      </c>
      <c r="Y69" s="14" t="s">
        <v>20</v>
      </c>
      <c r="Z69" s="14" t="s">
        <v>21</v>
      </c>
      <c r="AA69" s="14" t="s">
        <v>22</v>
      </c>
      <c r="AB69" s="14" t="s">
        <v>23</v>
      </c>
      <c r="AC69" s="14" t="s">
        <v>24</v>
      </c>
      <c r="AD69" s="14" t="s">
        <v>25</v>
      </c>
      <c r="AE69" s="14" t="s">
        <v>26</v>
      </c>
      <c r="AF69" s="14" t="s">
        <v>27</v>
      </c>
      <c r="AG69" s="14" t="s">
        <v>28</v>
      </c>
      <c r="AH69" s="14" t="s">
        <v>29</v>
      </c>
      <c r="AI69" s="14" t="s">
        <v>30</v>
      </c>
    </row>
    <row r="70" spans="1:35">
      <c r="A70" s="13"/>
      <c r="B70" s="13"/>
      <c r="C70" s="13"/>
      <c r="D70" s="14" t="s">
        <v>0</v>
      </c>
      <c r="E70" s="13">
        <f t="shared" ref="E70:E94" si="62">E36/AJ36</f>
        <v>0</v>
      </c>
      <c r="F70" s="13">
        <f t="shared" ref="F70:F94" si="63">F36/AK36</f>
        <v>0.0676739832551712</v>
      </c>
      <c r="G70" s="13">
        <f t="shared" ref="G70:G94" si="64">G36/AL36</f>
        <v>0.0274871508663198</v>
      </c>
      <c r="H70" s="13">
        <f t="shared" ref="H70:H94" si="65">H36/AM36</f>
        <v>0.0245756138457032</v>
      </c>
      <c r="I70" s="13">
        <f t="shared" ref="I70:I94" si="66">I36/AN36</f>
        <v>0.0412808909104202</v>
      </c>
      <c r="J70" s="13">
        <f t="shared" ref="J70:J94" si="67">J36/AO36</f>
        <v>0.0377455563343597</v>
      </c>
      <c r="K70" s="13">
        <f t="shared" ref="K70:K94" si="68">K36/AP36</f>
        <v>0.0304716459720209</v>
      </c>
      <c r="L70" s="13">
        <f t="shared" ref="L70:L94" si="69">L36/AQ36</f>
        <v>0.0259140497187829</v>
      </c>
      <c r="M70" s="13">
        <f t="shared" ref="M70:M94" si="70">M36/AR36</f>
        <v>0.081407863664433</v>
      </c>
      <c r="N70" s="13">
        <f t="shared" ref="N70:N94" si="71">N36/AS36</f>
        <v>0.0570896155207058</v>
      </c>
      <c r="O70" s="13">
        <f t="shared" ref="O70:O94" si="72">O36/AT36</f>
        <v>0.0529272686136632</v>
      </c>
      <c r="P70" s="13">
        <f t="shared" ref="P70:P94" si="73">P36/AU36</f>
        <v>0.0240203456682957</v>
      </c>
      <c r="Q70" s="13">
        <f t="shared" ref="Q70:Q94" si="74">Q36/AV36</f>
        <v>0.0455853031434479</v>
      </c>
      <c r="R70" s="13">
        <f t="shared" ref="R70:R94" si="75">R36/AW36</f>
        <v>0.0237639513335491</v>
      </c>
      <c r="S70" s="13">
        <f t="shared" ref="S70:S94" si="76">S36/AX36</f>
        <v>0.0407434149602024</v>
      </c>
      <c r="T70" s="13">
        <f t="shared" ref="T70:T94" si="77">T36/AY36</f>
        <v>0.0258506868908374</v>
      </c>
      <c r="U70" s="13">
        <f t="shared" ref="U70:U94" si="78">U36/AZ36</f>
        <v>0.0322894621713073</v>
      </c>
      <c r="V70" s="13">
        <f t="shared" ref="V70:V94" si="79">V36/BA36</f>
        <v>0.0270090545683426</v>
      </c>
      <c r="W70" s="13">
        <f t="shared" ref="W70:W94" si="80">W36/BB36</f>
        <v>0.0462979729556742</v>
      </c>
      <c r="X70" s="13">
        <f t="shared" ref="X70:X94" si="81">X36/BC36</f>
        <v>0.0214974009787253</v>
      </c>
      <c r="Y70" s="13">
        <f t="shared" ref="Y70:Y94" si="82">Y36/BD36</f>
        <v>0.0262668584776489</v>
      </c>
      <c r="Z70" s="13">
        <f t="shared" ref="Z70:Z94" si="83">Z36/BE36</f>
        <v>0.0321694701417852</v>
      </c>
      <c r="AA70" s="13">
        <f t="shared" ref="AA70:AA94" si="84">AA36/BF36</f>
        <v>0.0241249403370836</v>
      </c>
      <c r="AB70" s="13">
        <f t="shared" ref="AB70:AB94" si="85">AB36/BG36</f>
        <v>0.0178138865653357</v>
      </c>
      <c r="AC70" s="13">
        <f t="shared" ref="AC70:AC94" si="86">AC36/BH36</f>
        <v>0.0193910064327305</v>
      </c>
      <c r="AD70" s="13">
        <f t="shared" ref="AD70:AE85" si="87">AD36/BI36</f>
        <v>0.0210885863752326</v>
      </c>
      <c r="AE70" s="13">
        <f t="shared" si="87"/>
        <v>0.0297840202796204</v>
      </c>
      <c r="AF70" s="13">
        <f t="shared" ref="AF70:AF93" si="88">AF36/BJ36</f>
        <v>0.0168523600386119</v>
      </c>
      <c r="AG70" s="13">
        <f t="shared" ref="AG70:AG93" si="89">AG36/BK36</f>
        <v>0.0251045247737856</v>
      </c>
      <c r="AH70" s="13">
        <f t="shared" ref="AH70:AH93" si="90">AH36/BL36</f>
        <v>0.027109503692277</v>
      </c>
      <c r="AI70" s="13">
        <f t="shared" ref="AI70:AI93" si="91">AI36/BM36</f>
        <v>0.0266636115139271</v>
      </c>
    </row>
    <row r="71" spans="1:35">
      <c r="A71" s="13"/>
      <c r="B71" s="13"/>
      <c r="C71" s="13"/>
      <c r="D71" s="14" t="s">
        <v>1</v>
      </c>
      <c r="E71" s="13">
        <f t="shared" si="62"/>
        <v>0.0772160289486031</v>
      </c>
      <c r="F71" s="13">
        <f t="shared" si="63"/>
        <v>0</v>
      </c>
      <c r="G71" s="13">
        <f t="shared" si="64"/>
        <v>0.0272058290488031</v>
      </c>
      <c r="H71" s="13">
        <f t="shared" si="65"/>
        <v>0.024324090638104</v>
      </c>
      <c r="I71" s="13">
        <f t="shared" si="66"/>
        <v>0.0408583947660906</v>
      </c>
      <c r="J71" s="13">
        <f t="shared" si="67"/>
        <v>0.0373592431597859</v>
      </c>
      <c r="K71" s="13">
        <f t="shared" si="68"/>
        <v>0.0301597788429298</v>
      </c>
      <c r="L71" s="13">
        <f t="shared" si="69"/>
        <v>0.0256488280666168</v>
      </c>
      <c r="M71" s="13">
        <f t="shared" si="70"/>
        <v>0.0805746813430786</v>
      </c>
      <c r="N71" s="13">
        <f t="shared" si="71"/>
        <v>0.0565053223548655</v>
      </c>
      <c r="O71" s="13">
        <f t="shared" si="72"/>
        <v>0.0523855756795719</v>
      </c>
      <c r="P71" s="13">
        <f t="shared" si="73"/>
        <v>0.0237745054452167</v>
      </c>
      <c r="Q71" s="13">
        <f t="shared" si="74"/>
        <v>0.0451187527761607</v>
      </c>
      <c r="R71" s="13">
        <f t="shared" si="75"/>
        <v>0.0235207352209355</v>
      </c>
      <c r="S71" s="13">
        <f t="shared" si="76"/>
        <v>0.0403264197028844</v>
      </c>
      <c r="T71" s="13">
        <f t="shared" si="77"/>
        <v>0.0255861137360732</v>
      </c>
      <c r="U71" s="13">
        <f t="shared" si="78"/>
        <v>0.0319589902999648</v>
      </c>
      <c r="V71" s="13">
        <f t="shared" si="79"/>
        <v>0.02673262590691</v>
      </c>
      <c r="W71" s="13">
        <f t="shared" si="80"/>
        <v>0.0458241286506544</v>
      </c>
      <c r="X71" s="13">
        <f t="shared" si="81"/>
        <v>0.0212773822527165</v>
      </c>
      <c r="Y71" s="13">
        <f t="shared" si="82"/>
        <v>0.025998025945557</v>
      </c>
      <c r="Z71" s="13">
        <f t="shared" si="83"/>
        <v>0.0318402263488273</v>
      </c>
      <c r="AA71" s="13">
        <f t="shared" si="84"/>
        <v>0.0238780296224695</v>
      </c>
      <c r="AB71" s="13">
        <f t="shared" si="85"/>
        <v>0.0176315673802747</v>
      </c>
      <c r="AC71" s="13">
        <f t="shared" si="86"/>
        <v>0.0191925459520622</v>
      </c>
      <c r="AD71" s="13">
        <f t="shared" si="87"/>
        <v>0.020872751730282</v>
      </c>
      <c r="AE71" s="13">
        <f t="shared" ref="AE71:AE93" si="92">AE37/BI37</f>
        <v>0.0294791907700519</v>
      </c>
      <c r="AF71" s="13">
        <f t="shared" si="88"/>
        <v>0.0166798817567207</v>
      </c>
      <c r="AG71" s="13">
        <f t="shared" si="89"/>
        <v>0.0248475883393185</v>
      </c>
      <c r="AH71" s="13">
        <f t="shared" si="90"/>
        <v>0.0268320469675776</v>
      </c>
      <c r="AI71" s="13">
        <f t="shared" si="91"/>
        <v>0.026390718346893</v>
      </c>
    </row>
    <row r="72" spans="1:35">
      <c r="A72" s="13"/>
      <c r="B72" s="13"/>
      <c r="C72" s="13"/>
      <c r="D72" s="14" t="s">
        <v>2</v>
      </c>
      <c r="E72" s="13">
        <f t="shared" si="62"/>
        <v>0.07426220992487</v>
      </c>
      <c r="F72" s="13">
        <f t="shared" si="63"/>
        <v>0.0644190601286461</v>
      </c>
      <c r="G72" s="13">
        <f t="shared" si="64"/>
        <v>0</v>
      </c>
      <c r="H72" s="13">
        <f t="shared" si="65"/>
        <v>0.0233935978033888</v>
      </c>
      <c r="I72" s="13">
        <f t="shared" si="66"/>
        <v>0.0392953992924488</v>
      </c>
      <c r="J72" s="13">
        <f t="shared" si="67"/>
        <v>0.0359301040981139</v>
      </c>
      <c r="K72" s="13">
        <f t="shared" si="68"/>
        <v>0.0290060478144003</v>
      </c>
      <c r="L72" s="13">
        <f t="shared" si="69"/>
        <v>0.0246676587768822</v>
      </c>
      <c r="M72" s="13">
        <f t="shared" si="70"/>
        <v>0.0774923805588615</v>
      </c>
      <c r="N72" s="13">
        <f t="shared" si="71"/>
        <v>0.054343769910553</v>
      </c>
      <c r="O72" s="13">
        <f t="shared" si="72"/>
        <v>0.0503816198673075</v>
      </c>
      <c r="P72" s="13">
        <f t="shared" si="73"/>
        <v>0.0228650364214902</v>
      </c>
      <c r="Q72" s="13">
        <f t="shared" si="74"/>
        <v>0.0433927817298378</v>
      </c>
      <c r="R72" s="13">
        <f t="shared" si="75"/>
        <v>0.0226209739136811</v>
      </c>
      <c r="S72" s="13">
        <f t="shared" si="76"/>
        <v>0.0387837743830026</v>
      </c>
      <c r="T72" s="13">
        <f t="shared" si="77"/>
        <v>0.0246073435179451</v>
      </c>
      <c r="U72" s="13">
        <f t="shared" si="78"/>
        <v>0.0307364323050415</v>
      </c>
      <c r="V72" s="13">
        <f t="shared" si="79"/>
        <v>0.025709997055966</v>
      </c>
      <c r="W72" s="13">
        <f t="shared" si="80"/>
        <v>0.0440711741825557</v>
      </c>
      <c r="X72" s="13">
        <f t="shared" si="81"/>
        <v>0.02046343808427</v>
      </c>
      <c r="Y72" s="13">
        <f t="shared" si="82"/>
        <v>0.0250034984534918</v>
      </c>
      <c r="Z72" s="13">
        <f t="shared" si="83"/>
        <v>0.0306222115455573</v>
      </c>
      <c r="AA72" s="13">
        <f t="shared" si="84"/>
        <v>0.0229646003888183</v>
      </c>
      <c r="AB72" s="13">
        <f t="shared" si="85"/>
        <v>0.0169570900747822</v>
      </c>
      <c r="AC72" s="13">
        <f t="shared" si="86"/>
        <v>0.0184583550318738</v>
      </c>
      <c r="AD72" s="13">
        <f t="shared" si="87"/>
        <v>0.0200742862823942</v>
      </c>
      <c r="AE72" s="13">
        <f t="shared" si="92"/>
        <v>0.0283514949316813</v>
      </c>
      <c r="AF72" s="13">
        <f t="shared" si="88"/>
        <v>0.0160418101967417</v>
      </c>
      <c r="AG72" s="13">
        <f t="shared" si="89"/>
        <v>0.0238970696435252</v>
      </c>
      <c r="AH72" s="13">
        <f t="shared" si="90"/>
        <v>0.0258056148671742</v>
      </c>
      <c r="AI72" s="13">
        <f t="shared" si="91"/>
        <v>0.0253811688146978</v>
      </c>
    </row>
    <row r="73" spans="1:35">
      <c r="A73" s="13"/>
      <c r="B73" s="13"/>
      <c r="C73" s="13"/>
      <c r="D73" s="14" t="s">
        <v>3</v>
      </c>
      <c r="E73" s="13">
        <f t="shared" si="62"/>
        <v>0.0740569610204071</v>
      </c>
      <c r="F73" s="13">
        <f t="shared" si="63"/>
        <v>0.0642410161203772</v>
      </c>
      <c r="G73" s="13">
        <f t="shared" si="64"/>
        <v>0.0260927821441864</v>
      </c>
      <c r="H73" s="13">
        <f t="shared" si="65"/>
        <v>0</v>
      </c>
      <c r="I73" s="13">
        <f t="shared" si="66"/>
        <v>0.0391867930758634</v>
      </c>
      <c r="J73" s="13">
        <f t="shared" si="67"/>
        <v>0.0358307990207289</v>
      </c>
      <c r="K73" s="13">
        <f t="shared" si="68"/>
        <v>0.0289258797242947</v>
      </c>
      <c r="L73" s="13">
        <f t="shared" si="69"/>
        <v>0.0245994813021648</v>
      </c>
      <c r="M73" s="13">
        <f t="shared" si="70"/>
        <v>0.0772782039779325</v>
      </c>
      <c r="N73" s="13">
        <f t="shared" si="71"/>
        <v>0.054193572397581</v>
      </c>
      <c r="O73" s="13">
        <f t="shared" si="72"/>
        <v>0.0502423731051483</v>
      </c>
      <c r="P73" s="13">
        <f t="shared" si="73"/>
        <v>0.0228018411074703</v>
      </c>
      <c r="Q73" s="13">
        <f t="shared" si="74"/>
        <v>0.0432728510016697</v>
      </c>
      <c r="R73" s="13">
        <f t="shared" si="75"/>
        <v>0.0225584531495083</v>
      </c>
      <c r="S73" s="13">
        <f t="shared" si="76"/>
        <v>0.0386765822160702</v>
      </c>
      <c r="T73" s="13">
        <f t="shared" si="77"/>
        <v>0.0245393327449839</v>
      </c>
      <c r="U73" s="13">
        <f t="shared" si="78"/>
        <v>0.0306514817081756</v>
      </c>
      <c r="V73" s="13">
        <f t="shared" si="79"/>
        <v>0.0256389387244833</v>
      </c>
      <c r="W73" s="13">
        <f t="shared" si="80"/>
        <v>0.0439493684858425</v>
      </c>
      <c r="X73" s="13">
        <f t="shared" si="81"/>
        <v>0.0204068804050333</v>
      </c>
      <c r="Y73" s="13">
        <f t="shared" si="82"/>
        <v>0.0249343927714699</v>
      </c>
      <c r="Z73" s="13">
        <f t="shared" si="83"/>
        <v>0.0305375766366538</v>
      </c>
      <c r="AA73" s="13">
        <f t="shared" si="84"/>
        <v>0.0229011298958718</v>
      </c>
      <c r="AB73" s="13">
        <f t="shared" si="85"/>
        <v>0.0169102233822309</v>
      </c>
      <c r="AC73" s="13">
        <f t="shared" si="86"/>
        <v>0.0184073390824115</v>
      </c>
      <c r="AD73" s="13">
        <f t="shared" si="87"/>
        <v>0.0200188041566737</v>
      </c>
      <c r="AE73" s="13">
        <f t="shared" si="92"/>
        <v>0.0282731359213516</v>
      </c>
      <c r="AF73" s="13">
        <f t="shared" si="88"/>
        <v>0.0159974731917991</v>
      </c>
      <c r="AG73" s="13">
        <f t="shared" si="89"/>
        <v>0.0238310219542743</v>
      </c>
      <c r="AH73" s="13">
        <f t="shared" si="90"/>
        <v>0.025734292263311</v>
      </c>
      <c r="AI73" s="13">
        <f t="shared" si="91"/>
        <v>0.0253110193120306</v>
      </c>
    </row>
    <row r="74" spans="1:35">
      <c r="A74" s="13"/>
      <c r="B74" s="13"/>
      <c r="C74" s="13"/>
      <c r="D74" s="14" t="s">
        <v>4</v>
      </c>
      <c r="E74" s="13">
        <f t="shared" si="62"/>
        <v>0.0752502686011449</v>
      </c>
      <c r="F74" s="13">
        <f t="shared" si="63"/>
        <v>0.0652761557004314</v>
      </c>
      <c r="G74" s="13">
        <f t="shared" si="64"/>
        <v>0.02651322492642</v>
      </c>
      <c r="H74" s="13">
        <f t="shared" si="65"/>
        <v>0.0237048496137282</v>
      </c>
      <c r="I74" s="13">
        <f t="shared" si="66"/>
        <v>0</v>
      </c>
      <c r="J74" s="13">
        <f t="shared" si="67"/>
        <v>0.0364081541201846</v>
      </c>
      <c r="K74" s="13">
        <f t="shared" si="68"/>
        <v>0.0293919732701128</v>
      </c>
      <c r="L74" s="13">
        <f t="shared" si="69"/>
        <v>0.0249958619680146</v>
      </c>
      <c r="M74" s="13">
        <f t="shared" si="70"/>
        <v>0.0785234166542568</v>
      </c>
      <c r="N74" s="13">
        <f t="shared" si="71"/>
        <v>0.0550668137496192</v>
      </c>
      <c r="O74" s="13">
        <f t="shared" si="72"/>
        <v>0.0510519473014769</v>
      </c>
      <c r="P74" s="13">
        <f t="shared" si="73"/>
        <v>0.023169255722834</v>
      </c>
      <c r="Q74" s="13">
        <f t="shared" si="74"/>
        <v>0.0439701226751076</v>
      </c>
      <c r="R74" s="13">
        <f t="shared" si="75"/>
        <v>0.0229219459634466</v>
      </c>
      <c r="S74" s="13">
        <f t="shared" si="76"/>
        <v>0.0392997924871849</v>
      </c>
      <c r="T74" s="13">
        <f t="shared" si="77"/>
        <v>0.0249347442145791</v>
      </c>
      <c r="U74" s="13">
        <f t="shared" si="78"/>
        <v>0.0311453805257781</v>
      </c>
      <c r="V74" s="13">
        <f t="shared" si="79"/>
        <v>0.0260520685575258</v>
      </c>
      <c r="W74" s="13">
        <f t="shared" si="80"/>
        <v>0.0446575411391645</v>
      </c>
      <c r="X74" s="13">
        <f t="shared" si="81"/>
        <v>0.020735704120603</v>
      </c>
      <c r="Y74" s="13">
        <f t="shared" si="82"/>
        <v>0.0253361699914005</v>
      </c>
      <c r="Z74" s="13">
        <f t="shared" si="83"/>
        <v>0.0310296400591299</v>
      </c>
      <c r="AA74" s="13">
        <f t="shared" si="84"/>
        <v>0.0232701443887116</v>
      </c>
      <c r="AB74" s="13">
        <f t="shared" si="85"/>
        <v>0.0171827041521132</v>
      </c>
      <c r="AC74" s="13">
        <f t="shared" si="86"/>
        <v>0.0187039434389176</v>
      </c>
      <c r="AD74" s="13">
        <f t="shared" si="87"/>
        <v>0.0203413746541436</v>
      </c>
      <c r="AE74" s="13">
        <f t="shared" si="92"/>
        <v>0.0287287115615252</v>
      </c>
      <c r="AF74" s="13">
        <f t="shared" si="88"/>
        <v>0.0162552464756254</v>
      </c>
      <c r="AG74" s="13">
        <f t="shared" si="89"/>
        <v>0.0242150201465161</v>
      </c>
      <c r="AH74" s="13">
        <f t="shared" si="90"/>
        <v>0.0261489585636777</v>
      </c>
      <c r="AI74" s="13">
        <f t="shared" si="91"/>
        <v>0.0257188652566261</v>
      </c>
    </row>
    <row r="75" spans="1:35">
      <c r="A75" s="13"/>
      <c r="B75" s="13"/>
      <c r="C75" s="13"/>
      <c r="D75" s="14" t="s">
        <v>5</v>
      </c>
      <c r="E75" s="13">
        <f t="shared" si="62"/>
        <v>0.0749945319641064</v>
      </c>
      <c r="F75" s="13">
        <f t="shared" si="63"/>
        <v>0.0650543159004152</v>
      </c>
      <c r="G75" s="13">
        <f t="shared" si="64"/>
        <v>0.0264231202250578</v>
      </c>
      <c r="H75" s="13">
        <f t="shared" si="65"/>
        <v>0.0236242891235876</v>
      </c>
      <c r="I75" s="13">
        <f t="shared" si="66"/>
        <v>0.0396829030709058</v>
      </c>
      <c r="J75" s="13">
        <f t="shared" si="67"/>
        <v>0</v>
      </c>
      <c r="K75" s="13">
        <f t="shared" si="68"/>
        <v>0.0292920851960932</v>
      </c>
      <c r="L75" s="13">
        <f t="shared" si="69"/>
        <v>0.0249109139964205</v>
      </c>
      <c r="M75" s="13">
        <f t="shared" si="70"/>
        <v>0.0782565562844904</v>
      </c>
      <c r="N75" s="13">
        <f t="shared" si="71"/>
        <v>0.0548796702081733</v>
      </c>
      <c r="O75" s="13">
        <f t="shared" si="72"/>
        <v>0.0508784482089173</v>
      </c>
      <c r="P75" s="13">
        <f t="shared" si="73"/>
        <v>0.0230905154385614</v>
      </c>
      <c r="Q75" s="13">
        <f t="shared" si="74"/>
        <v>0.0438206910317113</v>
      </c>
      <c r="R75" s="13">
        <f t="shared" si="75"/>
        <v>0.0228440461567875</v>
      </c>
      <c r="S75" s="13">
        <f t="shared" si="76"/>
        <v>0.0391662328739924</v>
      </c>
      <c r="T75" s="13">
        <f t="shared" si="77"/>
        <v>0.0248500039505323</v>
      </c>
      <c r="U75" s="13">
        <f t="shared" si="78"/>
        <v>0.0310395335298402</v>
      </c>
      <c r="V75" s="13">
        <f t="shared" si="79"/>
        <v>0.0259635310874988</v>
      </c>
      <c r="W75" s="13">
        <f t="shared" si="80"/>
        <v>0.0445057733169145</v>
      </c>
      <c r="X75" s="13">
        <f t="shared" si="81"/>
        <v>0.0206652342161494</v>
      </c>
      <c r="Y75" s="13">
        <f t="shared" si="82"/>
        <v>0.0252500654893237</v>
      </c>
      <c r="Z75" s="13">
        <f t="shared" si="83"/>
        <v>0.0309241864050133</v>
      </c>
      <c r="AA75" s="13">
        <f t="shared" si="84"/>
        <v>0.0231910612361861</v>
      </c>
      <c r="AB75" s="13">
        <f t="shared" si="85"/>
        <v>0.0171243090519126</v>
      </c>
      <c r="AC75" s="13">
        <f t="shared" si="86"/>
        <v>0.018640378435319</v>
      </c>
      <c r="AD75" s="13">
        <f t="shared" si="87"/>
        <v>0.0202722448710413</v>
      </c>
      <c r="AE75" s="13">
        <f t="shared" si="92"/>
        <v>0.0286310775700755</v>
      </c>
      <c r="AF75" s="13">
        <f t="shared" si="88"/>
        <v>0.0162000033230734</v>
      </c>
      <c r="AG75" s="13">
        <f t="shared" si="89"/>
        <v>0.0241327258513168</v>
      </c>
      <c r="AH75" s="13">
        <f t="shared" si="90"/>
        <v>0.0260600918147684</v>
      </c>
      <c r="AI75" s="13">
        <f t="shared" si="91"/>
        <v>0.0256314601718145</v>
      </c>
    </row>
    <row r="76" spans="1:35">
      <c r="A76" s="13"/>
      <c r="B76" s="13"/>
      <c r="C76" s="13"/>
      <c r="D76" s="14" t="s">
        <v>6</v>
      </c>
      <c r="E76" s="13">
        <f t="shared" si="62"/>
        <v>0.0744737861913674</v>
      </c>
      <c r="F76" s="13">
        <f t="shared" si="63"/>
        <v>0.0646025928331952</v>
      </c>
      <c r="G76" s="13">
        <f t="shared" si="64"/>
        <v>0.0262396438061856</v>
      </c>
      <c r="H76" s="13">
        <f t="shared" si="65"/>
        <v>0.023460247181157</v>
      </c>
      <c r="I76" s="13">
        <f t="shared" si="66"/>
        <v>0.0394073535943908</v>
      </c>
      <c r="J76" s="13">
        <f t="shared" si="67"/>
        <v>0.0360324705276563</v>
      </c>
      <c r="K76" s="13">
        <f t="shared" si="68"/>
        <v>0</v>
      </c>
      <c r="L76" s="13">
        <f t="shared" si="69"/>
        <v>0.0247379380097858</v>
      </c>
      <c r="M76" s="13">
        <f t="shared" si="70"/>
        <v>0.0777131597220083</v>
      </c>
      <c r="N76" s="13">
        <f t="shared" si="71"/>
        <v>0.0544985976749933</v>
      </c>
      <c r="O76" s="13">
        <f t="shared" si="72"/>
        <v>0.0505251592939206</v>
      </c>
      <c r="P76" s="13">
        <f t="shared" si="73"/>
        <v>0.0229301799048888</v>
      </c>
      <c r="Q76" s="13">
        <f t="shared" si="74"/>
        <v>0.0435164096525809</v>
      </c>
      <c r="R76" s="13">
        <f t="shared" si="75"/>
        <v>0.0226854220523782</v>
      </c>
      <c r="S76" s="13">
        <f t="shared" si="76"/>
        <v>0.0388942710433221</v>
      </c>
      <c r="T76" s="13">
        <f t="shared" si="77"/>
        <v>0.0246774509100522</v>
      </c>
      <c r="U76" s="13">
        <f t="shared" si="78"/>
        <v>0.0308240017377199</v>
      </c>
      <c r="V76" s="13">
        <f t="shared" si="79"/>
        <v>0.0257832459559687</v>
      </c>
      <c r="W76" s="13">
        <f t="shared" si="80"/>
        <v>0.0441967348749071</v>
      </c>
      <c r="X76" s="13">
        <f t="shared" si="81"/>
        <v>0.0205217393095359</v>
      </c>
      <c r="Y76" s="13">
        <f t="shared" si="82"/>
        <v>0.0250747345082432</v>
      </c>
      <c r="Z76" s="13">
        <f t="shared" si="83"/>
        <v>0.0307094555583229</v>
      </c>
      <c r="AA76" s="13">
        <f t="shared" si="84"/>
        <v>0.023030027534291</v>
      </c>
      <c r="AB76" s="13">
        <f t="shared" si="85"/>
        <v>0.0170054015620422</v>
      </c>
      <c r="AC76" s="13">
        <f t="shared" si="86"/>
        <v>0.0185109436883018</v>
      </c>
      <c r="AD76" s="13">
        <f t="shared" si="87"/>
        <v>0.0201314787972484</v>
      </c>
      <c r="AE76" s="13">
        <f t="shared" si="92"/>
        <v>0.0284322695740377</v>
      </c>
      <c r="AF76" s="13">
        <f t="shared" si="88"/>
        <v>0.0160875140118143</v>
      </c>
      <c r="AG76" s="13">
        <f t="shared" si="89"/>
        <v>0.0239651534344671</v>
      </c>
      <c r="AH76" s="13">
        <f t="shared" si="90"/>
        <v>0.0258791361864804</v>
      </c>
      <c r="AI76" s="13">
        <f t="shared" si="91"/>
        <v>0.025453480868737</v>
      </c>
    </row>
    <row r="77" spans="1:35">
      <c r="A77" s="13"/>
      <c r="B77" s="13"/>
      <c r="C77" s="13"/>
      <c r="D77" s="14" t="s">
        <v>7</v>
      </c>
      <c r="E77" s="13">
        <f t="shared" si="62"/>
        <v>0.0741511730274757</v>
      </c>
      <c r="F77" s="13">
        <f t="shared" si="63"/>
        <v>0.0643227407142767</v>
      </c>
      <c r="G77" s="13">
        <f t="shared" si="64"/>
        <v>0.0261259762334646</v>
      </c>
      <c r="H77" s="13">
        <f t="shared" si="65"/>
        <v>0.0233586196830015</v>
      </c>
      <c r="I77" s="13">
        <f t="shared" si="66"/>
        <v>0.039236644789671</v>
      </c>
      <c r="J77" s="13">
        <f t="shared" si="67"/>
        <v>0.035876381386574</v>
      </c>
      <c r="K77" s="13">
        <f t="shared" si="68"/>
        <v>0.0289626779556493</v>
      </c>
      <c r="L77" s="13">
        <f t="shared" si="69"/>
        <v>0</v>
      </c>
      <c r="M77" s="13">
        <f t="shared" si="70"/>
        <v>0.0773765139085466</v>
      </c>
      <c r="N77" s="13">
        <f t="shared" si="71"/>
        <v>0.0542625150756956</v>
      </c>
      <c r="O77" s="13">
        <f t="shared" si="72"/>
        <v>0.0503062892413885</v>
      </c>
      <c r="P77" s="13">
        <f t="shared" si="73"/>
        <v>0.0228308486063737</v>
      </c>
      <c r="Q77" s="13">
        <f t="shared" si="74"/>
        <v>0.0433279008185711</v>
      </c>
      <c r="R77" s="13">
        <f t="shared" si="75"/>
        <v>0.0225871510209614</v>
      </c>
      <c r="S77" s="13">
        <f t="shared" si="76"/>
        <v>0.0387257848620728</v>
      </c>
      <c r="T77" s="13">
        <f t="shared" si="77"/>
        <v>0.0245705506042934</v>
      </c>
      <c r="U77" s="13">
        <f t="shared" si="78"/>
        <v>0.0306904751744422</v>
      </c>
      <c r="V77" s="13">
        <f t="shared" si="79"/>
        <v>0.0256715554541338</v>
      </c>
      <c r="W77" s="13">
        <f t="shared" si="80"/>
        <v>0.0440052789385182</v>
      </c>
      <c r="X77" s="13">
        <f t="shared" si="81"/>
        <v>0.020432841140317</v>
      </c>
      <c r="Y77" s="13">
        <f t="shared" si="82"/>
        <v>0.0249661132087611</v>
      </c>
      <c r="Z77" s="13">
        <f t="shared" si="83"/>
        <v>0.0305764251979006</v>
      </c>
      <c r="AA77" s="13">
        <f t="shared" si="84"/>
        <v>0.0229302637056028</v>
      </c>
      <c r="AB77" s="13">
        <f t="shared" si="85"/>
        <v>0.0169317358243142</v>
      </c>
      <c r="AC77" s="13">
        <f t="shared" si="86"/>
        <v>0.0184307560892108</v>
      </c>
      <c r="AD77" s="13">
        <f t="shared" si="87"/>
        <v>0.0200442711984308</v>
      </c>
      <c r="AE77" s="13">
        <f t="shared" si="92"/>
        <v>0.0283091037607629</v>
      </c>
      <c r="AF77" s="13">
        <f t="shared" si="88"/>
        <v>0.0160178244732541</v>
      </c>
      <c r="AG77" s="13">
        <f t="shared" si="89"/>
        <v>0.0238613387317638</v>
      </c>
      <c r="AH77" s="13">
        <f t="shared" si="90"/>
        <v>0.0257670302975377</v>
      </c>
      <c r="AI77" s="13">
        <f t="shared" si="91"/>
        <v>0.025343218877034</v>
      </c>
    </row>
    <row r="78" spans="1:35">
      <c r="A78" s="13"/>
      <c r="B78" s="13"/>
      <c r="C78" s="13"/>
      <c r="D78" s="14" t="s">
        <v>8</v>
      </c>
      <c r="E78" s="13">
        <f t="shared" si="62"/>
        <v>0.0782801155086067</v>
      </c>
      <c r="F78" s="13">
        <f t="shared" si="63"/>
        <v>0.0679044088901741</v>
      </c>
      <c r="G78" s="13">
        <f t="shared" si="64"/>
        <v>0.0275807428774315</v>
      </c>
      <c r="H78" s="13">
        <f t="shared" si="65"/>
        <v>0.0246592922573112</v>
      </c>
      <c r="I78" s="13">
        <f t="shared" si="66"/>
        <v>0.0414214497344169</v>
      </c>
      <c r="J78" s="13">
        <f t="shared" si="67"/>
        <v>0.0378740775676096</v>
      </c>
      <c r="K78" s="13">
        <f t="shared" si="68"/>
        <v>0.030575400000304</v>
      </c>
      <c r="L78" s="13">
        <f t="shared" si="69"/>
        <v>0.0260022854199301</v>
      </c>
      <c r="M78" s="13">
        <f t="shared" si="70"/>
        <v>0</v>
      </c>
      <c r="N78" s="13">
        <f t="shared" si="71"/>
        <v>0.057284002052659</v>
      </c>
      <c r="O78" s="13">
        <f t="shared" si="72"/>
        <v>0.0531074826175188</v>
      </c>
      <c r="P78" s="13">
        <f t="shared" si="73"/>
        <v>0.0241021334268607</v>
      </c>
      <c r="Q78" s="13">
        <f t="shared" si="74"/>
        <v>0.0457405182189965</v>
      </c>
      <c r="R78" s="13">
        <f t="shared" si="75"/>
        <v>0.0238448660856121</v>
      </c>
      <c r="S78" s="13">
        <f t="shared" si="76"/>
        <v>0.0408821437125649</v>
      </c>
      <c r="T78" s="13">
        <f t="shared" si="77"/>
        <v>0.025938706845561</v>
      </c>
      <c r="U78" s="13">
        <f t="shared" si="78"/>
        <v>0.0323994057488365</v>
      </c>
      <c r="V78" s="13">
        <f t="shared" si="79"/>
        <v>0.0271010186917823</v>
      </c>
      <c r="W78" s="13">
        <f t="shared" si="80"/>
        <v>0.0464556146268823</v>
      </c>
      <c r="X78" s="13">
        <f t="shared" si="81"/>
        <v>0.0215705982701091</v>
      </c>
      <c r="Y78" s="13">
        <f t="shared" si="82"/>
        <v>0.0263562954703174</v>
      </c>
      <c r="Z78" s="13">
        <f t="shared" si="83"/>
        <v>0.0322790051540391</v>
      </c>
      <c r="AA78" s="13">
        <f t="shared" si="84"/>
        <v>0.0242070842338839</v>
      </c>
      <c r="AB78" s="13">
        <f t="shared" si="85"/>
        <v>0.0178745417229937</v>
      </c>
      <c r="AC78" s="13">
        <f t="shared" si="86"/>
        <v>0.0194570315838401</v>
      </c>
      <c r="AD78" s="13">
        <f t="shared" si="87"/>
        <v>0.0211603916787346</v>
      </c>
      <c r="AE78" s="13">
        <f t="shared" si="92"/>
        <v>0.0298854329858888</v>
      </c>
      <c r="AF78" s="13">
        <f t="shared" si="88"/>
        <v>0.0169097412592288</v>
      </c>
      <c r="AG78" s="13">
        <f t="shared" si="89"/>
        <v>0.0251900040936689</v>
      </c>
      <c r="AH78" s="13">
        <f t="shared" si="90"/>
        <v>0.0272018098386339</v>
      </c>
      <c r="AI78" s="13">
        <f t="shared" si="91"/>
        <v>0.0267543994256036</v>
      </c>
    </row>
    <row r="79" spans="1:35">
      <c r="A79" s="13"/>
      <c r="B79" s="13"/>
      <c r="C79" s="13"/>
      <c r="D79" s="14" t="s">
        <v>9</v>
      </c>
      <c r="E79" s="13">
        <f t="shared" si="62"/>
        <v>0.0764154971240619</v>
      </c>
      <c r="F79" s="13">
        <f t="shared" si="63"/>
        <v>0.0662869379860291</v>
      </c>
      <c r="G79" s="13">
        <f t="shared" si="64"/>
        <v>0.0269237745030936</v>
      </c>
      <c r="H79" s="13">
        <f t="shared" si="65"/>
        <v>0.0240719123154945</v>
      </c>
      <c r="I79" s="13">
        <f t="shared" si="66"/>
        <v>0.0404347981922279</v>
      </c>
      <c r="J79" s="13">
        <f t="shared" si="67"/>
        <v>0.0369719237975058</v>
      </c>
      <c r="K79" s="13">
        <f t="shared" si="68"/>
        <v>0.029847099427611</v>
      </c>
      <c r="L79" s="13">
        <f t="shared" si="69"/>
        <v>0.025382915620599</v>
      </c>
      <c r="M79" s="13">
        <f t="shared" si="70"/>
        <v>0.0797393289227886</v>
      </c>
      <c r="N79" s="13">
        <f t="shared" si="71"/>
        <v>0</v>
      </c>
      <c r="O79" s="13">
        <f t="shared" si="72"/>
        <v>0.0518424718570959</v>
      </c>
      <c r="P79" s="13">
        <f t="shared" si="73"/>
        <v>0.0235280249089761</v>
      </c>
      <c r="Q79" s="13">
        <f t="shared" si="74"/>
        <v>0.0446509872361203</v>
      </c>
      <c r="R79" s="13">
        <f t="shared" si="75"/>
        <v>0.023276885629894</v>
      </c>
      <c r="S79" s="13">
        <f t="shared" si="76"/>
        <v>0.0399083383435925</v>
      </c>
      <c r="T79" s="13">
        <f t="shared" si="77"/>
        <v>0.0253208514765275</v>
      </c>
      <c r="U79" s="13">
        <f t="shared" si="78"/>
        <v>0.0316276576846557</v>
      </c>
      <c r="V79" s="13">
        <f t="shared" si="79"/>
        <v>0.0264554772619534</v>
      </c>
      <c r="W79" s="13">
        <f t="shared" si="80"/>
        <v>0.045349050175159</v>
      </c>
      <c r="X79" s="13">
        <f t="shared" si="81"/>
        <v>0.0210567904679776</v>
      </c>
      <c r="Y79" s="13">
        <f t="shared" si="82"/>
        <v>0.0257284932147491</v>
      </c>
      <c r="Z79" s="13">
        <f t="shared" si="83"/>
        <v>0.0315101250105443</v>
      </c>
      <c r="AA79" s="13">
        <f t="shared" si="84"/>
        <v>0.0236304758065016</v>
      </c>
      <c r="AB79" s="13">
        <f t="shared" si="85"/>
        <v>0.0174487733283578</v>
      </c>
      <c r="AC79" s="13">
        <f t="shared" si="86"/>
        <v>0.0189935685630693</v>
      </c>
      <c r="AD79" s="13">
        <f t="shared" si="87"/>
        <v>0.0206563549244199</v>
      </c>
      <c r="AE79" s="13">
        <f t="shared" si="92"/>
        <v>0.0291735673043742</v>
      </c>
      <c r="AF79" s="13">
        <f t="shared" si="88"/>
        <v>0.0165069542394985</v>
      </c>
      <c r="AG79" s="13">
        <f t="shared" si="89"/>
        <v>0.0245899826906007</v>
      </c>
      <c r="AH79" s="13">
        <f t="shared" si="90"/>
        <v>0.0265538675816703</v>
      </c>
      <c r="AI79" s="13">
        <f t="shared" si="91"/>
        <v>0.0261171144048507</v>
      </c>
    </row>
    <row r="80" spans="1:35">
      <c r="A80" s="13"/>
      <c r="B80" s="13"/>
      <c r="C80" s="13"/>
      <c r="D80" s="14" t="s">
        <v>10</v>
      </c>
      <c r="E80" s="13">
        <f t="shared" si="62"/>
        <v>0.0761052134679786</v>
      </c>
      <c r="F80" s="13">
        <f t="shared" si="63"/>
        <v>0.0660177811494848</v>
      </c>
      <c r="G80" s="13">
        <f t="shared" si="64"/>
        <v>0.0268144510346509</v>
      </c>
      <c r="H80" s="13">
        <f t="shared" si="65"/>
        <v>0.0239741687786038</v>
      </c>
      <c r="I80" s="13">
        <f t="shared" si="66"/>
        <v>0.0402706134720041</v>
      </c>
      <c r="J80" s="13">
        <f t="shared" si="67"/>
        <v>0.0368218000121472</v>
      </c>
      <c r="K80" s="13">
        <f t="shared" si="68"/>
        <v>0.0297259058545476</v>
      </c>
      <c r="L80" s="13">
        <f t="shared" si="69"/>
        <v>0.0252798487800074</v>
      </c>
      <c r="M80" s="13">
        <f t="shared" si="70"/>
        <v>0.0794155489116265</v>
      </c>
      <c r="N80" s="13">
        <f t="shared" si="71"/>
        <v>0.0556924472606126</v>
      </c>
      <c r="O80" s="13">
        <f t="shared" si="72"/>
        <v>0</v>
      </c>
      <c r="P80" s="13">
        <f t="shared" si="73"/>
        <v>0.0234324898164369</v>
      </c>
      <c r="Q80" s="13">
        <f t="shared" si="74"/>
        <v>0.0444696827613898</v>
      </c>
      <c r="R80" s="13">
        <f t="shared" si="75"/>
        <v>0.0231823702835664</v>
      </c>
      <c r="S80" s="13">
        <f t="shared" si="76"/>
        <v>0.0397462913034567</v>
      </c>
      <c r="T80" s="13">
        <f t="shared" si="77"/>
        <v>0.0252180366461989</v>
      </c>
      <c r="U80" s="13">
        <f t="shared" si="78"/>
        <v>0.0314992341890418</v>
      </c>
      <c r="V80" s="13">
        <f t="shared" si="79"/>
        <v>0.0263480553054498</v>
      </c>
      <c r="W80" s="13">
        <f t="shared" si="80"/>
        <v>0.0451649112292929</v>
      </c>
      <c r="X80" s="13">
        <f t="shared" si="81"/>
        <v>0.0209712897753474</v>
      </c>
      <c r="Y80" s="13">
        <f t="shared" si="82"/>
        <v>0.0256240231629842</v>
      </c>
      <c r="Z80" s="13">
        <f t="shared" si="83"/>
        <v>0.0313821787540927</v>
      </c>
      <c r="AA80" s="13">
        <f t="shared" si="84"/>
        <v>0.0235345247140637</v>
      </c>
      <c r="AB80" s="13">
        <f t="shared" si="85"/>
        <v>0.0173779229199164</v>
      </c>
      <c r="AC80" s="13">
        <f t="shared" si="86"/>
        <v>0.0189164455432942</v>
      </c>
      <c r="AD80" s="13">
        <f t="shared" si="87"/>
        <v>0.0205724801926113</v>
      </c>
      <c r="AE80" s="13">
        <f t="shared" si="92"/>
        <v>0.0290551085955406</v>
      </c>
      <c r="AF80" s="13">
        <f t="shared" si="88"/>
        <v>0.0164399280693498</v>
      </c>
      <c r="AG80" s="13">
        <f t="shared" si="89"/>
        <v>0.0244901355389178</v>
      </c>
      <c r="AH80" s="13">
        <f t="shared" si="90"/>
        <v>0.0264460461131662</v>
      </c>
      <c r="AI80" s="13">
        <f t="shared" si="91"/>
        <v>0.0260110663642193</v>
      </c>
    </row>
    <row r="81" spans="1:35">
      <c r="A81" s="13"/>
      <c r="B81" s="13"/>
      <c r="C81" s="13"/>
      <c r="D81" s="14" t="s">
        <v>11</v>
      </c>
      <c r="E81" s="13">
        <f t="shared" si="62"/>
        <v>0.074017946122329</v>
      </c>
      <c r="F81" s="13">
        <f t="shared" si="63"/>
        <v>0.0642071724862092</v>
      </c>
      <c r="G81" s="13">
        <f t="shared" si="64"/>
        <v>0.0260790358707515</v>
      </c>
      <c r="H81" s="13">
        <f t="shared" si="65"/>
        <v>0.0233166514108648</v>
      </c>
      <c r="I81" s="13">
        <f t="shared" si="66"/>
        <v>0.0391661485784819</v>
      </c>
      <c r="J81" s="13">
        <f t="shared" si="67"/>
        <v>0.0358119225376462</v>
      </c>
      <c r="K81" s="13">
        <f t="shared" si="68"/>
        <v>0.0289106409103641</v>
      </c>
      <c r="L81" s="13">
        <f t="shared" si="69"/>
        <v>0.0245865217337115</v>
      </c>
      <c r="M81" s="13">
        <f t="shared" si="70"/>
        <v>0.0772374920555106</v>
      </c>
      <c r="N81" s="13">
        <f t="shared" si="71"/>
        <v>0.0541650219861888</v>
      </c>
      <c r="O81" s="13">
        <f t="shared" si="72"/>
        <v>0.0502159042757649</v>
      </c>
      <c r="P81" s="13">
        <f t="shared" si="73"/>
        <v>0</v>
      </c>
      <c r="Q81" s="13">
        <f t="shared" si="74"/>
        <v>0.0432500538756722</v>
      </c>
      <c r="R81" s="13">
        <f t="shared" si="75"/>
        <v>0.0225465688412906</v>
      </c>
      <c r="S81" s="13">
        <f t="shared" si="76"/>
        <v>0.0386562065094198</v>
      </c>
      <c r="T81" s="13">
        <f t="shared" si="77"/>
        <v>0.024526404864164</v>
      </c>
      <c r="U81" s="13">
        <f t="shared" si="78"/>
        <v>0.0306353338077174</v>
      </c>
      <c r="V81" s="13">
        <f t="shared" si="79"/>
        <v>0.025625431546125</v>
      </c>
      <c r="W81" s="13">
        <f t="shared" si="80"/>
        <v>0.0439262149549868</v>
      </c>
      <c r="X81" s="13">
        <f t="shared" si="81"/>
        <v>0.0203961295944663</v>
      </c>
      <c r="Y81" s="13">
        <f t="shared" si="82"/>
        <v>0.0249212567640072</v>
      </c>
      <c r="Z81" s="13">
        <f t="shared" si="83"/>
        <v>0.0305214887439883</v>
      </c>
      <c r="AA81" s="13">
        <f t="shared" si="84"/>
        <v>0.0228890650577194</v>
      </c>
      <c r="AB81" s="13">
        <f t="shared" si="85"/>
        <v>0.0169013146904261</v>
      </c>
      <c r="AC81" s="13">
        <f t="shared" si="86"/>
        <v>0.0183976416758708</v>
      </c>
      <c r="AD81" s="13">
        <f t="shared" si="87"/>
        <v>0.0200082577935357</v>
      </c>
      <c r="AE81" s="13">
        <f t="shared" si="92"/>
        <v>0.0282582409877611</v>
      </c>
      <c r="AF81" s="13">
        <f t="shared" si="88"/>
        <v>0.0159890453576363</v>
      </c>
      <c r="AG81" s="13">
        <f t="shared" si="89"/>
        <v>0.0238184672277525</v>
      </c>
      <c r="AH81" s="13">
        <f t="shared" si="90"/>
        <v>0.0257207348505312</v>
      </c>
      <c r="AI81" s="13">
        <f t="shared" si="91"/>
        <v>0.0252976848891066</v>
      </c>
    </row>
    <row r="82" spans="1:35">
      <c r="A82" s="13"/>
      <c r="B82" s="13"/>
      <c r="C82" s="13"/>
      <c r="D82" s="14" t="s">
        <v>12</v>
      </c>
      <c r="E82" s="13">
        <f t="shared" si="62"/>
        <v>0.0755640026408361</v>
      </c>
      <c r="F82" s="13">
        <f t="shared" si="63"/>
        <v>0.0655483055864595</v>
      </c>
      <c r="G82" s="13">
        <f t="shared" si="64"/>
        <v>0.0266237640821737</v>
      </c>
      <c r="H82" s="13">
        <f t="shared" si="65"/>
        <v>0.0238036800679955</v>
      </c>
      <c r="I82" s="13">
        <f t="shared" si="66"/>
        <v>0.0399842350357109</v>
      </c>
      <c r="J82" s="13">
        <f t="shared" si="67"/>
        <v>0.0365599472962378</v>
      </c>
      <c r="K82" s="13">
        <f t="shared" si="68"/>
        <v>0.0295145145271734</v>
      </c>
      <c r="L82" s="13">
        <f t="shared" si="69"/>
        <v>0.0251000749216235</v>
      </c>
      <c r="M82" s="13">
        <f t="shared" si="70"/>
        <v>0.078850797129772</v>
      </c>
      <c r="N82" s="13">
        <f t="shared" si="71"/>
        <v>0.0552963987630911</v>
      </c>
      <c r="O82" s="13">
        <f t="shared" si="72"/>
        <v>0.0512647935006828</v>
      </c>
      <c r="P82" s="13">
        <f t="shared" si="73"/>
        <v>0.0232658531746397</v>
      </c>
      <c r="Q82" s="13">
        <f t="shared" si="74"/>
        <v>0</v>
      </c>
      <c r="R82" s="13">
        <f t="shared" si="75"/>
        <v>0.0230175123293663</v>
      </c>
      <c r="S82" s="13">
        <f t="shared" si="76"/>
        <v>0.0394636415057363</v>
      </c>
      <c r="T82" s="13">
        <f t="shared" si="77"/>
        <v>0.0250387023555469</v>
      </c>
      <c r="U82" s="13">
        <f t="shared" si="78"/>
        <v>0.0312752321028118</v>
      </c>
      <c r="V82" s="13">
        <f t="shared" si="79"/>
        <v>0.0261606850563478</v>
      </c>
      <c r="W82" s="13">
        <f t="shared" si="80"/>
        <v>0.0448437277275278</v>
      </c>
      <c r="X82" s="13">
        <f t="shared" si="81"/>
        <v>0.0208221555890235</v>
      </c>
      <c r="Y82" s="13">
        <f t="shared" si="82"/>
        <v>0.0254418017600236</v>
      </c>
      <c r="Z82" s="13">
        <f t="shared" si="83"/>
        <v>0.0311590090900567</v>
      </c>
      <c r="AA82" s="13">
        <f t="shared" si="84"/>
        <v>0.0233671624663741</v>
      </c>
      <c r="AB82" s="13">
        <f t="shared" si="85"/>
        <v>0.0172543424237988</v>
      </c>
      <c r="AC82" s="13">
        <f t="shared" si="86"/>
        <v>0.0187819240739683</v>
      </c>
      <c r="AD82" s="13">
        <f t="shared" si="87"/>
        <v>0.0204261820809044</v>
      </c>
      <c r="AE82" s="13">
        <f t="shared" si="92"/>
        <v>0.0288484875424071</v>
      </c>
      <c r="AF82" s="13">
        <f t="shared" si="88"/>
        <v>0.0163230179831267</v>
      </c>
      <c r="AG82" s="13">
        <f t="shared" si="89"/>
        <v>0.024315977607971</v>
      </c>
      <c r="AH82" s="13">
        <f t="shared" si="90"/>
        <v>0.0262579790171113</v>
      </c>
      <c r="AI82" s="13">
        <f t="shared" si="91"/>
        <v>0.0258260925615013</v>
      </c>
    </row>
    <row r="83" spans="1:35">
      <c r="A83" s="13"/>
      <c r="B83" s="13"/>
      <c r="C83" s="13"/>
      <c r="D83" s="14" t="s">
        <v>13</v>
      </c>
      <c r="E83" s="13">
        <f t="shared" si="62"/>
        <v>0.0739999449152925</v>
      </c>
      <c r="F83" s="13">
        <f t="shared" si="63"/>
        <v>0.0641915572649593</v>
      </c>
      <c r="G83" s="13">
        <f t="shared" si="64"/>
        <v>0.0260726934342395</v>
      </c>
      <c r="H83" s="13">
        <f t="shared" si="65"/>
        <v>0.0233109807878413</v>
      </c>
      <c r="I83" s="13">
        <f t="shared" si="66"/>
        <v>0.0391566233486381</v>
      </c>
      <c r="J83" s="13">
        <f t="shared" si="67"/>
        <v>0.0358032130575033</v>
      </c>
      <c r="K83" s="13">
        <f t="shared" si="68"/>
        <v>0.0289036098258792</v>
      </c>
      <c r="L83" s="13">
        <f t="shared" si="69"/>
        <v>0.0245805422774955</v>
      </c>
      <c r="M83" s="13">
        <f t="shared" si="70"/>
        <v>0.0772187078530527</v>
      </c>
      <c r="N83" s="13">
        <f t="shared" si="71"/>
        <v>0.054151849021712</v>
      </c>
      <c r="O83" s="13">
        <f t="shared" si="72"/>
        <v>0.0502036917389848</v>
      </c>
      <c r="P83" s="13">
        <f t="shared" si="73"/>
        <v>0.0227842860775113</v>
      </c>
      <c r="Q83" s="13">
        <f t="shared" si="74"/>
        <v>0.0432395354377129</v>
      </c>
      <c r="R83" s="13">
        <f t="shared" si="75"/>
        <v>0</v>
      </c>
      <c r="S83" s="13">
        <f t="shared" si="76"/>
        <v>0.0386468052977801</v>
      </c>
      <c r="T83" s="13">
        <f t="shared" si="77"/>
        <v>0.0245204400284053</v>
      </c>
      <c r="U83" s="13">
        <f t="shared" si="78"/>
        <v>0.0306278832769287</v>
      </c>
      <c r="V83" s="13">
        <f t="shared" si="79"/>
        <v>0.0256191994264457</v>
      </c>
      <c r="W83" s="13">
        <f t="shared" si="80"/>
        <v>0.0439155320742643</v>
      </c>
      <c r="X83" s="13">
        <f t="shared" si="81"/>
        <v>0.0203911692440269</v>
      </c>
      <c r="Y83" s="13">
        <f t="shared" si="82"/>
        <v>0.0249151959000395</v>
      </c>
      <c r="Z83" s="13">
        <f t="shared" si="83"/>
        <v>0.0305140659003843</v>
      </c>
      <c r="AA83" s="13">
        <f t="shared" si="84"/>
        <v>0.0228834984239427</v>
      </c>
      <c r="AB83" s="13">
        <f t="shared" si="85"/>
        <v>0.0168972042809798</v>
      </c>
      <c r="AC83" s="13">
        <f t="shared" si="86"/>
        <v>0.0183931673588417</v>
      </c>
      <c r="AD83" s="13">
        <f t="shared" si="87"/>
        <v>0.0200033917737411</v>
      </c>
      <c r="AE83" s="13">
        <f t="shared" si="92"/>
        <v>0.0282513685673123</v>
      </c>
      <c r="AF83" s="13">
        <f t="shared" si="88"/>
        <v>0.0159851568126161</v>
      </c>
      <c r="AG83" s="13">
        <f t="shared" si="89"/>
        <v>0.0238126745628337</v>
      </c>
      <c r="AH83" s="13">
        <f t="shared" si="90"/>
        <v>0.0257144795530333</v>
      </c>
      <c r="AI83" s="13">
        <f t="shared" si="91"/>
        <v>0.0252915324776024</v>
      </c>
    </row>
    <row r="84" spans="1:35">
      <c r="A84" s="13"/>
      <c r="B84" s="13"/>
      <c r="C84" s="13"/>
      <c r="D84" s="14" t="s">
        <v>14</v>
      </c>
      <c r="E84" s="13">
        <f t="shared" si="62"/>
        <v>0.0752112766626444</v>
      </c>
      <c r="F84" s="13">
        <f t="shared" si="63"/>
        <v>0.0652423319826434</v>
      </c>
      <c r="G84" s="13">
        <f t="shared" si="64"/>
        <v>0.0264994867424241</v>
      </c>
      <c r="H84" s="13">
        <f t="shared" si="65"/>
        <v>0.0236925666271624</v>
      </c>
      <c r="I84" s="13">
        <f t="shared" si="66"/>
        <v>0.0397975922174068</v>
      </c>
      <c r="J84" s="13">
        <f t="shared" si="67"/>
        <v>0.0363892887455785</v>
      </c>
      <c r="K84" s="13">
        <f t="shared" si="68"/>
        <v>0.0293767434239546</v>
      </c>
      <c r="L84" s="13">
        <f t="shared" si="69"/>
        <v>0.0249829100260383</v>
      </c>
      <c r="M84" s="13">
        <f t="shared" si="70"/>
        <v>0.0784827286900815</v>
      </c>
      <c r="N84" s="13">
        <f t="shared" si="71"/>
        <v>0.0550382801396393</v>
      </c>
      <c r="O84" s="13">
        <f t="shared" si="72"/>
        <v>0.0510254940485316</v>
      </c>
      <c r="P84" s="13">
        <f t="shared" si="73"/>
        <v>0.0231572502614445</v>
      </c>
      <c r="Q84" s="13">
        <f t="shared" si="74"/>
        <v>0.0439473389648155</v>
      </c>
      <c r="R84" s="13">
        <f t="shared" si="75"/>
        <v>0.0229100686489341</v>
      </c>
      <c r="S84" s="13">
        <f t="shared" si="76"/>
        <v>0</v>
      </c>
      <c r="T84" s="13">
        <f t="shared" si="77"/>
        <v>0.0249218239415885</v>
      </c>
      <c r="U84" s="13">
        <f t="shared" si="78"/>
        <v>0.0311292421280738</v>
      </c>
      <c r="V84" s="13">
        <f t="shared" si="79"/>
        <v>0.0260385693279033</v>
      </c>
      <c r="W84" s="13">
        <f t="shared" si="80"/>
        <v>0.0446344012337524</v>
      </c>
      <c r="X84" s="13">
        <f t="shared" si="81"/>
        <v>0.020724959636698</v>
      </c>
      <c r="Y84" s="13">
        <f t="shared" si="82"/>
        <v>0.025323041714246</v>
      </c>
      <c r="Z84" s="13">
        <f t="shared" si="83"/>
        <v>0.0310135616339047</v>
      </c>
      <c r="AA84" s="13">
        <f t="shared" si="84"/>
        <v>0.0232580866505032</v>
      </c>
      <c r="AB84" s="13">
        <f t="shared" si="85"/>
        <v>0.0171738007029159</v>
      </c>
      <c r="AC84" s="13">
        <f t="shared" si="86"/>
        <v>0.0186942517391291</v>
      </c>
      <c r="AD84" s="13">
        <f t="shared" si="87"/>
        <v>0.0203308344973538</v>
      </c>
      <c r="AE84" s="13">
        <f t="shared" si="92"/>
        <v>0.0287138253933397</v>
      </c>
      <c r="AF84" s="13">
        <f t="shared" si="88"/>
        <v>0.0162468236010939</v>
      </c>
      <c r="AG84" s="13">
        <f t="shared" si="89"/>
        <v>0.0242024728082289</v>
      </c>
      <c r="AH84" s="13">
        <f t="shared" si="90"/>
        <v>0.0261354091291956</v>
      </c>
      <c r="AI84" s="13">
        <f t="shared" si="91"/>
        <v>0.0257055386807742</v>
      </c>
    </row>
    <row r="85" spans="1:35">
      <c r="A85" s="13"/>
      <c r="B85" s="13"/>
      <c r="C85" s="13"/>
      <c r="D85" s="14" t="s">
        <v>15</v>
      </c>
      <c r="E85" s="13">
        <f t="shared" si="62"/>
        <v>0.0741467075364142</v>
      </c>
      <c r="F85" s="13">
        <f t="shared" si="63"/>
        <v>0.0643188671056474</v>
      </c>
      <c r="G85" s="13">
        <f t="shared" si="64"/>
        <v>0.0261244028893275</v>
      </c>
      <c r="H85" s="13">
        <f t="shared" si="65"/>
        <v>0.0233572129930848</v>
      </c>
      <c r="I85" s="13">
        <f t="shared" si="66"/>
        <v>0.0392342819020802</v>
      </c>
      <c r="J85" s="13">
        <f t="shared" si="67"/>
        <v>0.0358742208589134</v>
      </c>
      <c r="K85" s="13">
        <f t="shared" si="68"/>
        <v>0.028960933781225</v>
      </c>
      <c r="L85" s="13">
        <f t="shared" si="69"/>
        <v>0.0246292923788282</v>
      </c>
      <c r="M85" s="13">
        <f t="shared" si="70"/>
        <v>0.0773718541827848</v>
      </c>
      <c r="N85" s="13">
        <f t="shared" si="71"/>
        <v>0.0542592473084284</v>
      </c>
      <c r="O85" s="13">
        <f t="shared" si="72"/>
        <v>0.0503032597237723</v>
      </c>
      <c r="P85" s="13">
        <f t="shared" si="73"/>
        <v>0.0228294736995959</v>
      </c>
      <c r="Q85" s="13">
        <f t="shared" si="74"/>
        <v>0.0433252915496152</v>
      </c>
      <c r="R85" s="13">
        <f t="shared" si="75"/>
        <v>0.0225857907900053</v>
      </c>
      <c r="S85" s="13">
        <f t="shared" si="76"/>
        <v>0.038723452739207</v>
      </c>
      <c r="T85" s="13">
        <f t="shared" si="77"/>
        <v>0</v>
      </c>
      <c r="U85" s="13">
        <f t="shared" si="78"/>
        <v>0.0306886269495661</v>
      </c>
      <c r="V85" s="13">
        <f t="shared" si="79"/>
        <v>0.0256700094758743</v>
      </c>
      <c r="W85" s="13">
        <f t="shared" si="80"/>
        <v>0.0440026288768707</v>
      </c>
      <c r="X85" s="13">
        <f t="shared" si="81"/>
        <v>0.0204316106450227</v>
      </c>
      <c r="Y85" s="13">
        <f t="shared" si="82"/>
        <v>0.0249646097132556</v>
      </c>
      <c r="Z85" s="13">
        <f t="shared" si="83"/>
        <v>0.0305745838412795</v>
      </c>
      <c r="AA85" s="13">
        <f t="shared" si="84"/>
        <v>0.0229288828119037</v>
      </c>
      <c r="AB85" s="13">
        <f t="shared" si="85"/>
        <v>0.0169307161706541</v>
      </c>
      <c r="AC85" s="13">
        <f t="shared" si="86"/>
        <v>0.0184296461623787</v>
      </c>
      <c r="AD85" s="13">
        <f t="shared" si="87"/>
        <v>0.0200430641033814</v>
      </c>
      <c r="AE85" s="13">
        <f t="shared" si="92"/>
        <v>0.0283073989455235</v>
      </c>
      <c r="AF85" s="13">
        <f t="shared" si="88"/>
        <v>0.0160168598566595</v>
      </c>
      <c r="AG85" s="13">
        <f t="shared" si="89"/>
        <v>0.0238599017673777</v>
      </c>
      <c r="AH85" s="13">
        <f t="shared" si="90"/>
        <v>0.0257654785696449</v>
      </c>
      <c r="AI85" s="13">
        <f t="shared" si="91"/>
        <v>0.0253416926716787</v>
      </c>
    </row>
    <row r="86" spans="1:35">
      <c r="A86" s="13"/>
      <c r="B86" s="13"/>
      <c r="C86" s="13"/>
      <c r="D86" s="14" t="s">
        <v>16</v>
      </c>
      <c r="E86" s="13">
        <f t="shared" si="62"/>
        <v>0.0746032462812633</v>
      </c>
      <c r="F86" s="13">
        <f t="shared" si="63"/>
        <v>0.0647148935218454</v>
      </c>
      <c r="G86" s="13">
        <f t="shared" si="64"/>
        <v>0.026285256991975</v>
      </c>
      <c r="H86" s="13">
        <f t="shared" si="65"/>
        <v>0.0235010288556813</v>
      </c>
      <c r="I86" s="13">
        <f t="shared" si="66"/>
        <v>0.0394758566180692</v>
      </c>
      <c r="J86" s="13">
        <f t="shared" si="67"/>
        <v>0.0360951068875388</v>
      </c>
      <c r="K86" s="13">
        <f t="shared" si="68"/>
        <v>0.029139253072768</v>
      </c>
      <c r="L86" s="13">
        <f t="shared" si="69"/>
        <v>0.0247809407338631</v>
      </c>
      <c r="M86" s="13">
        <f t="shared" si="70"/>
        <v>0.0778482509152749</v>
      </c>
      <c r="N86" s="13">
        <f t="shared" si="71"/>
        <v>0.0545933342758165</v>
      </c>
      <c r="O86" s="13">
        <f t="shared" si="72"/>
        <v>0.0506129887437</v>
      </c>
      <c r="P86" s="13">
        <f t="shared" si="73"/>
        <v>0.0229700401470442</v>
      </c>
      <c r="Q86" s="13">
        <f t="shared" si="74"/>
        <v>0.0435920555757126</v>
      </c>
      <c r="R86" s="13">
        <f t="shared" si="75"/>
        <v>0.0227248568243754</v>
      </c>
      <c r="S86" s="13">
        <f t="shared" si="76"/>
        <v>0.0389618821597054</v>
      </c>
      <c r="T86" s="13">
        <f t="shared" si="77"/>
        <v>0.0247203484875301</v>
      </c>
      <c r="U86" s="13">
        <f t="shared" si="78"/>
        <v>0</v>
      </c>
      <c r="V86" s="13">
        <f t="shared" si="79"/>
        <v>0.0258280657712348</v>
      </c>
      <c r="W86" s="13">
        <f t="shared" si="80"/>
        <v>0.0442735634284506</v>
      </c>
      <c r="X86" s="13">
        <f t="shared" si="81"/>
        <v>0.0205574128847856</v>
      </c>
      <c r="Y86" s="13">
        <f t="shared" si="82"/>
        <v>0.0251183226961085</v>
      </c>
      <c r="Z86" s="13">
        <f t="shared" si="83"/>
        <v>0.0307628387563655</v>
      </c>
      <c r="AA86" s="13">
        <f t="shared" si="84"/>
        <v>0.023070061344674</v>
      </c>
      <c r="AB86" s="13">
        <f t="shared" si="85"/>
        <v>0.0170349625784417</v>
      </c>
      <c r="AC86" s="13">
        <f t="shared" si="86"/>
        <v>0.0185431218352244</v>
      </c>
      <c r="AD86" s="13">
        <f t="shared" ref="AD86:AI100" si="93">AD52/BI52</f>
        <v>0.0201664739705585</v>
      </c>
      <c r="AE86" s="13">
        <f t="shared" si="92"/>
        <v>0.0284816942691316</v>
      </c>
      <c r="AF86" s="13">
        <f t="shared" si="88"/>
        <v>0.016115479435847</v>
      </c>
      <c r="AG86" s="13">
        <f t="shared" si="89"/>
        <v>0.0240068128031746</v>
      </c>
      <c r="AH86" s="13">
        <f t="shared" si="90"/>
        <v>0.0259241226907051</v>
      </c>
      <c r="AI86" s="13">
        <f t="shared" si="91"/>
        <v>0.0254977274431351</v>
      </c>
    </row>
    <row r="87" spans="1:35">
      <c r="A87" s="13"/>
      <c r="B87" s="13"/>
      <c r="C87" s="13"/>
      <c r="D87" s="14" t="s">
        <v>17</v>
      </c>
      <c r="E87" s="13">
        <f t="shared" si="62"/>
        <v>0.074228428474511</v>
      </c>
      <c r="F87" s="13">
        <f t="shared" si="63"/>
        <v>0.0643897562702757</v>
      </c>
      <c r="G87" s="13">
        <f t="shared" si="64"/>
        <v>0.0261531959508439</v>
      </c>
      <c r="H87" s="13">
        <f t="shared" si="65"/>
        <v>0.0233829561908686</v>
      </c>
      <c r="I87" s="13">
        <f t="shared" si="66"/>
        <v>0.0392775240422794</v>
      </c>
      <c r="J87" s="13">
        <f t="shared" si="67"/>
        <v>0.0359137597012905</v>
      </c>
      <c r="K87" s="13">
        <f t="shared" si="68"/>
        <v>0.0289928531307875</v>
      </c>
      <c r="L87" s="13">
        <f t="shared" si="69"/>
        <v>0.0246564376013841</v>
      </c>
      <c r="M87" s="13">
        <f t="shared" si="70"/>
        <v>0.077457129722538</v>
      </c>
      <c r="N87" s="13">
        <f t="shared" si="71"/>
        <v>0.0543190492435081</v>
      </c>
      <c r="O87" s="13">
        <f t="shared" si="72"/>
        <v>0.0503587015594322</v>
      </c>
      <c r="P87" s="13">
        <f t="shared" si="73"/>
        <v>0.0228546352484896</v>
      </c>
      <c r="Q87" s="13">
        <f t="shared" si="74"/>
        <v>0.0433730426040638</v>
      </c>
      <c r="R87" s="13">
        <f t="shared" si="75"/>
        <v>0.0226106837633057</v>
      </c>
      <c r="S87" s="13">
        <f t="shared" si="76"/>
        <v>0.0387661318680493</v>
      </c>
      <c r="T87" s="13">
        <f t="shared" si="77"/>
        <v>0.0245961497795099</v>
      </c>
      <c r="U87" s="13">
        <f t="shared" si="78"/>
        <v>0.0307224504795186</v>
      </c>
      <c r="V87" s="13">
        <f t="shared" si="79"/>
        <v>0</v>
      </c>
      <c r="W87" s="13">
        <f t="shared" si="80"/>
        <v>0.0440511264599735</v>
      </c>
      <c r="X87" s="13">
        <f t="shared" si="81"/>
        <v>0.0204541293844815</v>
      </c>
      <c r="Y87" s="13">
        <f t="shared" si="82"/>
        <v>0.0249921245064646</v>
      </c>
      <c r="Z87" s="13">
        <f t="shared" si="83"/>
        <v>0.0306082816783978</v>
      </c>
      <c r="AA87" s="13">
        <f t="shared" si="84"/>
        <v>0.0229541539247441</v>
      </c>
      <c r="AB87" s="13">
        <f t="shared" si="85"/>
        <v>0.0169493763924507</v>
      </c>
      <c r="AC87" s="13">
        <f t="shared" si="86"/>
        <v>0.0184499584327845</v>
      </c>
      <c r="AD87" s="13">
        <f t="shared" si="93"/>
        <v>0.0200651546055127</v>
      </c>
      <c r="AE87" s="13">
        <f t="shared" si="92"/>
        <v>0.0283385980003941</v>
      </c>
      <c r="AF87" s="13">
        <f t="shared" si="88"/>
        <v>0.0160345128699401</v>
      </c>
      <c r="AG87" s="13">
        <f t="shared" si="89"/>
        <v>0.0238861990045729</v>
      </c>
      <c r="AH87" s="13">
        <f t="shared" si="90"/>
        <v>0.0257938760420235</v>
      </c>
      <c r="AI87" s="13">
        <f t="shared" si="91"/>
        <v>0.0253696230676046</v>
      </c>
    </row>
    <row r="88" spans="1:35">
      <c r="A88" s="13"/>
      <c r="B88" s="13"/>
      <c r="C88" s="13"/>
      <c r="D88" s="14" t="s">
        <v>18</v>
      </c>
      <c r="E88" s="13">
        <f t="shared" si="62"/>
        <v>0.0756161993277617</v>
      </c>
      <c r="F88" s="13">
        <f t="shared" si="63"/>
        <v>0.0655935838177023</v>
      </c>
      <c r="G88" s="13">
        <f t="shared" si="64"/>
        <v>0.0266421547474376</v>
      </c>
      <c r="H88" s="13">
        <f t="shared" si="65"/>
        <v>0.0238201227284259</v>
      </c>
      <c r="I88" s="13">
        <f t="shared" si="66"/>
        <v>0.0400118545969461</v>
      </c>
      <c r="J88" s="13">
        <f t="shared" si="67"/>
        <v>0.0365852014921028</v>
      </c>
      <c r="K88" s="13">
        <f t="shared" si="68"/>
        <v>0.0295349020109049</v>
      </c>
      <c r="L88" s="13">
        <f t="shared" si="69"/>
        <v>0.0251174130814179</v>
      </c>
      <c r="M88" s="13">
        <f t="shared" si="70"/>
        <v>0.0789052642070544</v>
      </c>
      <c r="N88" s="13">
        <f t="shared" si="71"/>
        <v>0.0553345953740894</v>
      </c>
      <c r="O88" s="13">
        <f t="shared" si="72"/>
        <v>0.0513002052348835</v>
      </c>
      <c r="P88" s="13">
        <f t="shared" si="73"/>
        <v>0.0232819243250787</v>
      </c>
      <c r="Q88" s="13">
        <f t="shared" si="74"/>
        <v>0.0441839427615876</v>
      </c>
      <c r="R88" s="13">
        <f t="shared" si="75"/>
        <v>0.023033411935566</v>
      </c>
      <c r="S88" s="13">
        <f t="shared" si="76"/>
        <v>0.0394909014611202</v>
      </c>
      <c r="T88" s="13">
        <f t="shared" si="77"/>
        <v>0.0250559981215492</v>
      </c>
      <c r="U88" s="13">
        <f t="shared" si="78"/>
        <v>0.0312968358220636</v>
      </c>
      <c r="V88" s="13">
        <f t="shared" si="79"/>
        <v>0.0261787558445527</v>
      </c>
      <c r="W88" s="13">
        <f t="shared" si="80"/>
        <v>0</v>
      </c>
      <c r="X88" s="13">
        <f t="shared" si="81"/>
        <v>0.0208365387277986</v>
      </c>
      <c r="Y88" s="13">
        <f t="shared" si="82"/>
        <v>0.0254593759714851</v>
      </c>
      <c r="Z88" s="13">
        <f t="shared" si="83"/>
        <v>0.0311805325269518</v>
      </c>
      <c r="AA88" s="13">
        <f t="shared" si="84"/>
        <v>0.0233833035973487</v>
      </c>
      <c r="AB88" s="13">
        <f t="shared" si="85"/>
        <v>0.0172662610553975</v>
      </c>
      <c r="AC88" s="13">
        <f t="shared" si="86"/>
        <v>0.0187948978998177</v>
      </c>
      <c r="AD88" s="13">
        <f t="shared" si="93"/>
        <v>0.0204402916965136</v>
      </c>
      <c r="AE88" s="13">
        <f t="shared" si="92"/>
        <v>0.0288684149604884</v>
      </c>
      <c r="AF88" s="13">
        <f t="shared" si="88"/>
        <v>0.0163342932918658</v>
      </c>
      <c r="AG88" s="13">
        <f t="shared" si="89"/>
        <v>0.0243327741437041</v>
      </c>
      <c r="AH88" s="13">
        <f t="shared" si="90"/>
        <v>0.0262761170122168</v>
      </c>
      <c r="AI88" s="13">
        <f t="shared" si="91"/>
        <v>0.0258439322261674</v>
      </c>
    </row>
    <row r="89" spans="1:35">
      <c r="A89" s="13"/>
      <c r="B89" s="13"/>
      <c r="C89" s="13"/>
      <c r="D89" s="14" t="s">
        <v>19</v>
      </c>
      <c r="E89" s="13">
        <f t="shared" si="62"/>
        <v>0.0738411925348952</v>
      </c>
      <c r="F89" s="13">
        <f t="shared" si="63"/>
        <v>0.0640538468581626</v>
      </c>
      <c r="G89" s="13">
        <f t="shared" si="64"/>
        <v>0.0260167595798185</v>
      </c>
      <c r="H89" s="13">
        <f t="shared" si="65"/>
        <v>0.0232609716467033</v>
      </c>
      <c r="I89" s="13">
        <f t="shared" si="66"/>
        <v>0.0390726204865814</v>
      </c>
      <c r="J89" s="13">
        <f t="shared" si="67"/>
        <v>0.0357264042800744</v>
      </c>
      <c r="K89" s="13">
        <f t="shared" si="68"/>
        <v>0.0288416027951012</v>
      </c>
      <c r="L89" s="13">
        <f t="shared" si="69"/>
        <v>0.0245278095409715</v>
      </c>
      <c r="M89" s="13">
        <f t="shared" si="70"/>
        <v>0.0770530502475382</v>
      </c>
      <c r="N89" s="13">
        <f t="shared" si="71"/>
        <v>0.0540356768415171</v>
      </c>
      <c r="O89" s="13">
        <f t="shared" si="72"/>
        <v>0.0500959895565386</v>
      </c>
      <c r="P89" s="13">
        <f t="shared" si="73"/>
        <v>0.0227354068566605</v>
      </c>
      <c r="Q89" s="13">
        <f t="shared" si="74"/>
        <v>0.0431467734878782</v>
      </c>
      <c r="R89" s="13">
        <f t="shared" si="75"/>
        <v>0.022492728021114</v>
      </c>
      <c r="S89" s="13">
        <f t="shared" si="76"/>
        <v>0.0385638961504449</v>
      </c>
      <c r="T89" s="13">
        <f t="shared" si="77"/>
        <v>0.0244678362294786</v>
      </c>
      <c r="U89" s="13">
        <f t="shared" si="78"/>
        <v>0.0305621771553592</v>
      </c>
      <c r="V89" s="13">
        <f t="shared" si="79"/>
        <v>0.0255642384545493</v>
      </c>
      <c r="W89" s="13">
        <f t="shared" si="80"/>
        <v>0.0438213199061176</v>
      </c>
      <c r="X89" s="13">
        <f t="shared" si="81"/>
        <v>0</v>
      </c>
      <c r="Y89" s="13">
        <f t="shared" si="82"/>
        <v>0.0248617452297488</v>
      </c>
      <c r="Z89" s="13">
        <f t="shared" si="83"/>
        <v>0.0304486039516919</v>
      </c>
      <c r="AA89" s="13">
        <f t="shared" si="84"/>
        <v>0.0228344063624448</v>
      </c>
      <c r="AB89" s="13">
        <f t="shared" si="85"/>
        <v>0.01686095464046</v>
      </c>
      <c r="AC89" s="13">
        <f t="shared" si="86"/>
        <v>0.0183537084226951</v>
      </c>
      <c r="AD89" s="13">
        <f t="shared" si="93"/>
        <v>0.0199604784166605</v>
      </c>
      <c r="AE89" s="13">
        <f t="shared" si="92"/>
        <v>0.0281907607923379</v>
      </c>
      <c r="AF89" s="13">
        <f t="shared" si="88"/>
        <v>0.01595086379121</v>
      </c>
      <c r="AG89" s="13">
        <f t="shared" si="89"/>
        <v>0.0237615891360161</v>
      </c>
      <c r="AH89" s="13">
        <f t="shared" si="90"/>
        <v>0.0256593141762971</v>
      </c>
      <c r="AI89" s="13">
        <f t="shared" si="91"/>
        <v>0.0252372744509333</v>
      </c>
    </row>
    <row r="90" spans="1:35">
      <c r="A90" s="13"/>
      <c r="B90" s="13"/>
      <c r="C90" s="13"/>
      <c r="D90" s="14" t="s">
        <v>20</v>
      </c>
      <c r="E90" s="13">
        <f t="shared" si="62"/>
        <v>0.0741760470397965</v>
      </c>
      <c r="F90" s="13">
        <f t="shared" si="63"/>
        <v>0.0643443177788018</v>
      </c>
      <c r="G90" s="13">
        <f t="shared" si="64"/>
        <v>0.0261347401926605</v>
      </c>
      <c r="H90" s="13">
        <f t="shared" si="65"/>
        <v>0.0233664553323927</v>
      </c>
      <c r="I90" s="13">
        <f t="shared" si="66"/>
        <v>0.0392498067228689</v>
      </c>
      <c r="J90" s="13">
        <f t="shared" si="67"/>
        <v>0.0358884161193529</v>
      </c>
      <c r="K90" s="13">
        <f t="shared" si="68"/>
        <v>0.0289723934864885</v>
      </c>
      <c r="L90" s="13">
        <f t="shared" si="69"/>
        <v>0.0246390380739651</v>
      </c>
      <c r="M90" s="13">
        <f t="shared" si="70"/>
        <v>0.0774024698615238</v>
      </c>
      <c r="N90" s="13">
        <f t="shared" si="71"/>
        <v>0.0542807174373501</v>
      </c>
      <c r="O90" s="13">
        <f t="shared" si="72"/>
        <v>0.0503231644870161</v>
      </c>
      <c r="P90" s="13">
        <f t="shared" si="73"/>
        <v>0.0228385072149478</v>
      </c>
      <c r="Q90" s="13">
        <f t="shared" si="74"/>
        <v>0.043342435163677</v>
      </c>
      <c r="R90" s="13">
        <f t="shared" si="75"/>
        <v>0.0225947278811762</v>
      </c>
      <c r="S90" s="13">
        <f t="shared" si="76"/>
        <v>0.0387387754272986</v>
      </c>
      <c r="T90" s="13">
        <f t="shared" si="77"/>
        <v>0.0245787927959339</v>
      </c>
      <c r="U90" s="13">
        <f t="shared" si="78"/>
        <v>0.0307007702948893</v>
      </c>
      <c r="V90" s="13">
        <f t="shared" si="79"/>
        <v>0.0256801669778708</v>
      </c>
      <c r="W90" s="13">
        <f t="shared" si="80"/>
        <v>0.0440200405101267</v>
      </c>
      <c r="X90" s="13">
        <f t="shared" si="81"/>
        <v>0.0204396953372436</v>
      </c>
      <c r="Y90" s="13">
        <f t="shared" si="82"/>
        <v>0</v>
      </c>
      <c r="Z90" s="13">
        <f t="shared" si="83"/>
        <v>0.030586682060281</v>
      </c>
      <c r="AA90" s="13">
        <f t="shared" si="84"/>
        <v>0.0229379556629737</v>
      </c>
      <c r="AB90" s="13">
        <f t="shared" si="85"/>
        <v>0.0169374155753999</v>
      </c>
      <c r="AC90" s="13">
        <f t="shared" si="86"/>
        <v>0.0184369386866712</v>
      </c>
      <c r="AD90" s="13">
        <f t="shared" si="93"/>
        <v>0.0200509950495635</v>
      </c>
      <c r="AE90" s="13">
        <f t="shared" si="92"/>
        <v>0.0283186000501269</v>
      </c>
      <c r="AF90" s="13">
        <f t="shared" si="88"/>
        <v>0.0160231976527607</v>
      </c>
      <c r="AG90" s="13">
        <f t="shared" si="89"/>
        <v>0.0238693430182689</v>
      </c>
      <c r="AH90" s="13">
        <f t="shared" si="90"/>
        <v>0.0257756738483127</v>
      </c>
      <c r="AI90" s="13">
        <f t="shared" si="91"/>
        <v>0.0253517202602604</v>
      </c>
    </row>
    <row r="91" spans="1:35">
      <c r="A91" s="13"/>
      <c r="B91" s="13"/>
      <c r="C91" s="13"/>
      <c r="D91" s="14" t="s">
        <v>21</v>
      </c>
      <c r="E91" s="13">
        <f t="shared" si="62"/>
        <v>0.0745946868916441</v>
      </c>
      <c r="F91" s="13">
        <f t="shared" si="63"/>
        <v>0.0647074686440362</v>
      </c>
      <c r="G91" s="13">
        <f t="shared" si="64"/>
        <v>0.0262822412283581</v>
      </c>
      <c r="H91" s="13">
        <f t="shared" si="65"/>
        <v>0.023498332532499</v>
      </c>
      <c r="I91" s="13">
        <f t="shared" si="66"/>
        <v>0.0394713274688137</v>
      </c>
      <c r="J91" s="13">
        <f t="shared" si="67"/>
        <v>0.0360909656189132</v>
      </c>
      <c r="K91" s="13">
        <f t="shared" si="68"/>
        <v>0.0291359098640916</v>
      </c>
      <c r="L91" s="13">
        <f t="shared" si="69"/>
        <v>0.0247780975636602</v>
      </c>
      <c r="M91" s="13">
        <f t="shared" si="70"/>
        <v>0.0778393192193507</v>
      </c>
      <c r="N91" s="13">
        <f t="shared" si="71"/>
        <v>0.054587070666095</v>
      </c>
      <c r="O91" s="13">
        <f t="shared" si="72"/>
        <v>0.0506071818075137</v>
      </c>
      <c r="P91" s="13">
        <f t="shared" si="73"/>
        <v>0.0229674047453293</v>
      </c>
      <c r="Q91" s="13">
        <f t="shared" si="74"/>
        <v>0.0435870541661686</v>
      </c>
      <c r="R91" s="13">
        <f t="shared" si="75"/>
        <v>0.0227222495530663</v>
      </c>
      <c r="S91" s="13">
        <f t="shared" si="76"/>
        <v>0.0389574119798364</v>
      </c>
      <c r="T91" s="13">
        <f t="shared" si="77"/>
        <v>0.0247175122692049</v>
      </c>
      <c r="U91" s="13">
        <f t="shared" si="78"/>
        <v>0.0308740414038361</v>
      </c>
      <c r="V91" s="13">
        <f t="shared" si="79"/>
        <v>0.0258251024621421</v>
      </c>
      <c r="W91" s="13">
        <f t="shared" si="80"/>
        <v>0.0442684838280565</v>
      </c>
      <c r="X91" s="13">
        <f t="shared" si="81"/>
        <v>0.0205550542889441</v>
      </c>
      <c r="Y91" s="13">
        <f t="shared" si="82"/>
        <v>0.0251154408173532</v>
      </c>
      <c r="Z91" s="13">
        <f t="shared" si="83"/>
        <v>0</v>
      </c>
      <c r="AA91" s="13">
        <f t="shared" si="84"/>
        <v>0.0230674144673137</v>
      </c>
      <c r="AB91" s="13">
        <f t="shared" si="85"/>
        <v>0.0170330081208393</v>
      </c>
      <c r="AC91" s="13">
        <f t="shared" si="86"/>
        <v>0.0185409943432926</v>
      </c>
      <c r="AD91" s="13">
        <f t="shared" si="93"/>
        <v>0.0201641602279727</v>
      </c>
      <c r="AE91" s="13">
        <f t="shared" si="92"/>
        <v>0.0284784265035796</v>
      </c>
      <c r="AF91" s="13">
        <f t="shared" si="88"/>
        <v>0.0161136304725074</v>
      </c>
      <c r="AG91" s="13">
        <f t="shared" si="89"/>
        <v>0.0240040584503208</v>
      </c>
      <c r="AH91" s="13">
        <f t="shared" si="90"/>
        <v>0.0259211483607971</v>
      </c>
      <c r="AI91" s="13">
        <f t="shared" si="91"/>
        <v>0.0254948020344637</v>
      </c>
    </row>
    <row r="92" spans="1:35">
      <c r="A92" s="13"/>
      <c r="B92" s="13"/>
      <c r="C92" s="13"/>
      <c r="D92" s="14" t="s">
        <v>22</v>
      </c>
      <c r="E92" s="13">
        <f t="shared" si="62"/>
        <v>0.0740252921318103</v>
      </c>
      <c r="F92" s="13">
        <f t="shared" si="63"/>
        <v>0.0642135448124162</v>
      </c>
      <c r="G92" s="13">
        <f t="shared" si="64"/>
        <v>0.0260816241193427</v>
      </c>
      <c r="H92" s="13">
        <f t="shared" si="65"/>
        <v>0.0233189655029374</v>
      </c>
      <c r="I92" s="13">
        <f t="shared" si="66"/>
        <v>0.0391700356749752</v>
      </c>
      <c r="J92" s="13">
        <f t="shared" si="67"/>
        <v>0.035815476739516</v>
      </c>
      <c r="K92" s="13">
        <f t="shared" si="68"/>
        <v>0.0289135101853624</v>
      </c>
      <c r="L92" s="13">
        <f t="shared" si="69"/>
        <v>0.0245889618557525</v>
      </c>
      <c r="M92" s="13">
        <f t="shared" si="70"/>
        <v>0.0772451575931091</v>
      </c>
      <c r="N92" s="13">
        <f t="shared" si="71"/>
        <v>0.0541703976658167</v>
      </c>
      <c r="O92" s="13">
        <f t="shared" si="72"/>
        <v>0.0502208880199548</v>
      </c>
      <c r="P92" s="13">
        <f t="shared" si="73"/>
        <v>0.0227920903837586</v>
      </c>
      <c r="Q92" s="13">
        <f t="shared" si="74"/>
        <v>0.0432543462847768</v>
      </c>
      <c r="R92" s="13">
        <f t="shared" si="75"/>
        <v>0.0225488065054945</v>
      </c>
      <c r="S92" s="13">
        <f t="shared" si="76"/>
        <v>0.0386600429960342</v>
      </c>
      <c r="T92" s="13">
        <f t="shared" si="77"/>
        <v>0.0245288390198265</v>
      </c>
      <c r="U92" s="13">
        <f t="shared" si="78"/>
        <v>0.0306383742521556</v>
      </c>
      <c r="V92" s="13">
        <f t="shared" si="79"/>
        <v>0.0256279747761519</v>
      </c>
      <c r="W92" s="13">
        <f t="shared" si="80"/>
        <v>0.0439305744705968</v>
      </c>
      <c r="X92" s="13">
        <f t="shared" si="81"/>
        <v>0.0203981538354678</v>
      </c>
      <c r="Y92" s="13">
        <f t="shared" si="82"/>
        <v>0.0249237301072715</v>
      </c>
      <c r="Z92" s="13">
        <f t="shared" si="83"/>
        <v>0.0305245178897217</v>
      </c>
      <c r="AA92" s="13">
        <f t="shared" si="84"/>
        <v>0</v>
      </c>
      <c r="AB92" s="13">
        <f t="shared" si="85"/>
        <v>0.0169029920838755</v>
      </c>
      <c r="AC92" s="13">
        <f t="shared" si="86"/>
        <v>0.0183994675742814</v>
      </c>
      <c r="AD92" s="13">
        <f t="shared" si="93"/>
        <v>0.0200102435396846</v>
      </c>
      <c r="AE92" s="13">
        <f t="shared" si="92"/>
        <v>0.0282610455144617</v>
      </c>
      <c r="AF92" s="13">
        <f t="shared" si="88"/>
        <v>0.0159906322117027</v>
      </c>
      <c r="AG92" s="13">
        <f t="shared" si="89"/>
        <v>0.0238208311232028</v>
      </c>
      <c r="AH92" s="13">
        <f t="shared" si="90"/>
        <v>0.0257232875390612</v>
      </c>
      <c r="AI92" s="13">
        <f t="shared" si="91"/>
        <v>0.0253001955914806</v>
      </c>
    </row>
    <row r="93" spans="1:35">
      <c r="A93" s="13"/>
      <c r="B93" s="13"/>
      <c r="C93" s="13"/>
      <c r="D93" s="14" t="s">
        <v>23</v>
      </c>
      <c r="E93" s="13">
        <f t="shared" si="62"/>
        <v>0.0735846419364536</v>
      </c>
      <c r="F93" s="13">
        <f t="shared" si="63"/>
        <v>0.0638313009839721</v>
      </c>
      <c r="G93" s="13">
        <f t="shared" si="64"/>
        <v>0.0259263680922142</v>
      </c>
      <c r="H93" s="13">
        <f t="shared" si="65"/>
        <v>0.0231801547477418</v>
      </c>
      <c r="I93" s="13">
        <f t="shared" si="66"/>
        <v>0.0389368682888663</v>
      </c>
      <c r="J93" s="13">
        <f t="shared" si="67"/>
        <v>0.0356022780290812</v>
      </c>
      <c r="K93" s="13">
        <f t="shared" si="68"/>
        <v>0.0287413967962124</v>
      </c>
      <c r="L93" s="13">
        <f t="shared" si="69"/>
        <v>0.0244425911960317</v>
      </c>
      <c r="M93" s="13">
        <f t="shared" si="70"/>
        <v>0.0767853405116289</v>
      </c>
      <c r="N93" s="13">
        <f t="shared" si="71"/>
        <v>0.0538479376575333</v>
      </c>
      <c r="O93" s="13">
        <f t="shared" si="72"/>
        <v>0.0499219382491442</v>
      </c>
      <c r="P93" s="13">
        <f t="shared" si="73"/>
        <v>0.0226564159569383</v>
      </c>
      <c r="Q93" s="13">
        <f t="shared" si="74"/>
        <v>0.0429968662317906</v>
      </c>
      <c r="R93" s="13">
        <f t="shared" si="75"/>
        <v>0.0224145802740868</v>
      </c>
      <c r="S93" s="13">
        <f t="shared" si="76"/>
        <v>0.0384299114422353</v>
      </c>
      <c r="T93" s="13">
        <f t="shared" si="77"/>
        <v>0.0243828262531802</v>
      </c>
      <c r="U93" s="13">
        <f t="shared" si="78"/>
        <v>0.0304559932684294</v>
      </c>
      <c r="V93" s="13">
        <f t="shared" si="79"/>
        <v>0.0254754191864813</v>
      </c>
      <c r="W93" s="13">
        <f t="shared" si="80"/>
        <v>0.0436690690355606</v>
      </c>
      <c r="X93" s="13">
        <f t="shared" si="81"/>
        <v>0.0202767297895281</v>
      </c>
      <c r="Y93" s="13">
        <f t="shared" si="82"/>
        <v>0.0247753666733086</v>
      </c>
      <c r="Z93" s="13">
        <f t="shared" si="83"/>
        <v>0.0303428146585162</v>
      </c>
      <c r="AA93" s="13">
        <f t="shared" si="84"/>
        <v>0.0227550715031848</v>
      </c>
      <c r="AB93" s="13">
        <f t="shared" si="85"/>
        <v>0</v>
      </c>
      <c r="AC93" s="13">
        <f t="shared" si="86"/>
        <v>0.0182899411036985</v>
      </c>
      <c r="AD93" s="13">
        <f t="shared" si="93"/>
        <v>0.0198911286065183</v>
      </c>
      <c r="AE93" s="13">
        <f t="shared" si="92"/>
        <v>0.028092816050338</v>
      </c>
      <c r="AF93" s="13">
        <f t="shared" si="88"/>
        <v>0.0158954448101398</v>
      </c>
      <c r="AG93" s="13">
        <f t="shared" si="89"/>
        <v>0.0236790329136219</v>
      </c>
      <c r="AH93" s="13">
        <f t="shared" si="90"/>
        <v>0.0255701645813144</v>
      </c>
      <c r="AI93" s="13">
        <f t="shared" si="91"/>
        <v>0.0251495911722491</v>
      </c>
    </row>
    <row r="94" spans="1:35">
      <c r="A94" s="13"/>
      <c r="B94" s="13"/>
      <c r="C94" s="13"/>
      <c r="D94" s="14" t="s">
        <v>24</v>
      </c>
      <c r="E94" s="13">
        <f t="shared" si="62"/>
        <v>0.0736942671275691</v>
      </c>
      <c r="F94" s="13">
        <f t="shared" si="63"/>
        <v>0.0639263958079105</v>
      </c>
      <c r="G94" s="13">
        <f t="shared" si="64"/>
        <v>0.025964992769623</v>
      </c>
      <c r="H94" s="13">
        <f t="shared" si="65"/>
        <v>0.0232146881616096</v>
      </c>
      <c r="I94" s="13">
        <f t="shared" si="66"/>
        <v>0.0389948757958035</v>
      </c>
      <c r="J94" s="13">
        <f t="shared" si="67"/>
        <v>0.0356553177182116</v>
      </c>
      <c r="K94" s="13">
        <f t="shared" si="68"/>
        <v>0.0287842152571547</v>
      </c>
      <c r="L94" s="13">
        <f t="shared" si="69"/>
        <v>0.0244790053669879</v>
      </c>
      <c r="M94" s="13">
        <f t="shared" si="70"/>
        <v>0.0768997340509181</v>
      </c>
      <c r="N94" s="13">
        <f t="shared" si="71"/>
        <v>0.0539281594307394</v>
      </c>
      <c r="O94" s="13">
        <f t="shared" si="72"/>
        <v>0.0499963111329062</v>
      </c>
      <c r="P94" s="13">
        <f t="shared" si="73"/>
        <v>0.0226901691133566</v>
      </c>
      <c r="Q94" s="13">
        <f t="shared" si="74"/>
        <v>0.0430609222569881</v>
      </c>
      <c r="R94" s="13">
        <f t="shared" si="75"/>
        <v>0.0224479731476762</v>
      </c>
      <c r="S94" s="13">
        <f t="shared" si="76"/>
        <v>0.0384871636931879</v>
      </c>
      <c r="T94" s="13">
        <f t="shared" si="77"/>
        <v>0.024419151387306</v>
      </c>
      <c r="U94" s="13">
        <f t="shared" si="78"/>
        <v>0.0305013661070381</v>
      </c>
      <c r="V94" s="13">
        <f t="shared" si="79"/>
        <v>0.0255133720476159</v>
      </c>
      <c r="W94" s="13">
        <f t="shared" si="80"/>
        <v>0.0437341264974558</v>
      </c>
      <c r="X94" s="13">
        <f t="shared" si="81"/>
        <v>0.0203069377285744</v>
      </c>
      <c r="Y94" s="13">
        <f t="shared" si="82"/>
        <v>0.0248122766077057</v>
      </c>
      <c r="Z94" s="13">
        <f t="shared" si="83"/>
        <v>0.0303880188854906</v>
      </c>
      <c r="AA94" s="13">
        <f t="shared" si="84"/>
        <v>0.0227889716350159</v>
      </c>
      <c r="AB94" s="13">
        <f t="shared" si="85"/>
        <v>0.0168274055800587</v>
      </c>
      <c r="AC94" s="13">
        <f t="shared" si="86"/>
        <v>0</v>
      </c>
      <c r="AD94" s="13">
        <f t="shared" si="93"/>
        <v>0.0199207620832548</v>
      </c>
      <c r="AE94" s="13">
        <f t="shared" ref="AE94:AI94" si="94">AE60/BI60</f>
        <v>0.0281346682663364</v>
      </c>
      <c r="AF94" s="13">
        <f t="shared" si="94"/>
        <v>0.0159191255827755</v>
      </c>
      <c r="AG94" s="13">
        <f t="shared" si="94"/>
        <v>0.0237143095479885</v>
      </c>
      <c r="AH94" s="13">
        <f t="shared" si="94"/>
        <v>0.0256082585925823</v>
      </c>
      <c r="AI94" s="13">
        <f t="shared" si="94"/>
        <v>0.025187058620159</v>
      </c>
    </row>
    <row r="95" spans="1:35">
      <c r="A95" s="13"/>
      <c r="B95" s="13"/>
      <c r="C95" s="13"/>
      <c r="D95" s="14" t="s">
        <v>25</v>
      </c>
      <c r="E95" s="13">
        <f t="shared" ref="E95:AC100" si="95">E61/AJ61</f>
        <v>0.073812631064316</v>
      </c>
      <c r="F95" s="13">
        <f t="shared" si="95"/>
        <v>0.0640290710927703</v>
      </c>
      <c r="G95" s="13">
        <f t="shared" si="95"/>
        <v>0.0260066964038622</v>
      </c>
      <c r="H95" s="13">
        <f t="shared" si="95"/>
        <v>0.0232519743982228</v>
      </c>
      <c r="I95" s="13">
        <f t="shared" si="95"/>
        <v>0.0390575073571456</v>
      </c>
      <c r="J95" s="13">
        <f t="shared" si="95"/>
        <v>0.0357125854533502</v>
      </c>
      <c r="K95" s="13">
        <f t="shared" si="95"/>
        <v>0.0288304469813689</v>
      </c>
      <c r="L95" s="13">
        <f t="shared" si="95"/>
        <v>0.0245183222847866</v>
      </c>
      <c r="M95" s="13">
        <f t="shared" si="95"/>
        <v>0.077023246443562</v>
      </c>
      <c r="N95" s="13">
        <f t="shared" si="95"/>
        <v>0.0540147760632203</v>
      </c>
      <c r="O95" s="13">
        <f t="shared" si="95"/>
        <v>0.0500766126331337</v>
      </c>
      <c r="P95" s="13">
        <f t="shared" si="95"/>
        <v>0.0227266128944862</v>
      </c>
      <c r="Q95" s="13">
        <f t="shared" si="95"/>
        <v>0.0431300844927623</v>
      </c>
      <c r="R95" s="13">
        <f t="shared" si="95"/>
        <v>0.0224840279261186</v>
      </c>
      <c r="S95" s="13">
        <f t="shared" si="95"/>
        <v>0.0385489797934969</v>
      </c>
      <c r="T95" s="13">
        <f t="shared" si="95"/>
        <v>0.0244583721707249</v>
      </c>
      <c r="U95" s="13">
        <f t="shared" si="95"/>
        <v>0.0305503558305173</v>
      </c>
      <c r="V95" s="13">
        <f t="shared" si="95"/>
        <v>0.0255543503119092</v>
      </c>
      <c r="W95" s="13">
        <f t="shared" si="95"/>
        <v>0.0438043699992124</v>
      </c>
      <c r="X95" s="13">
        <f t="shared" si="95"/>
        <v>0.0203395536861858</v>
      </c>
      <c r="Y95" s="13">
        <f t="shared" si="95"/>
        <v>0.0248521288086083</v>
      </c>
      <c r="Z95" s="13">
        <f t="shared" si="95"/>
        <v>0.0304368265564998</v>
      </c>
      <c r="AA95" s="13">
        <f t="shared" si="95"/>
        <v>0.0228255741076676</v>
      </c>
      <c r="AB95" s="13">
        <f t="shared" si="95"/>
        <v>0.0168544328923223</v>
      </c>
      <c r="AC95" s="13">
        <f t="shared" si="95"/>
        <v>0.0183466092835136</v>
      </c>
      <c r="AD95" s="13">
        <f t="shared" si="93"/>
        <v>0</v>
      </c>
      <c r="AE95" s="13">
        <f t="shared" si="93"/>
        <v>0.0281798567216242</v>
      </c>
      <c r="AF95" s="13">
        <f t="shared" si="93"/>
        <v>0.0159446940624821</v>
      </c>
      <c r="AG95" s="13">
        <f t="shared" si="93"/>
        <v>0.023752398250743</v>
      </c>
      <c r="AH95" s="13">
        <f t="shared" si="93"/>
        <v>0.0256493892587575</v>
      </c>
      <c r="AI95" s="13">
        <f t="shared" si="93"/>
        <v>0.0252275127766297</v>
      </c>
    </row>
    <row r="96" spans="1:35">
      <c r="A96" s="13"/>
      <c r="B96" s="13"/>
      <c r="C96" s="13"/>
      <c r="D96" s="14" t="s">
        <v>26</v>
      </c>
      <c r="E96" s="13">
        <f t="shared" si="95"/>
        <v>0.0744249323460462</v>
      </c>
      <c r="F96" s="13">
        <f t="shared" ref="F96:O100" si="96">F62/AK62</f>
        <v>0.0645602143636823</v>
      </c>
      <c r="G96" s="13">
        <f t="shared" si="96"/>
        <v>0.0262224309375328</v>
      </c>
      <c r="H96" s="13">
        <f t="shared" si="96"/>
        <v>0.0234448575609215</v>
      </c>
      <c r="I96" s="13">
        <f t="shared" si="96"/>
        <v>0.0393815028775754</v>
      </c>
      <c r="J96" s="13">
        <f t="shared" si="96"/>
        <v>0.0360088336907003</v>
      </c>
      <c r="K96" s="13">
        <f t="shared" si="96"/>
        <v>0.0290696055018687</v>
      </c>
      <c r="L96" s="13">
        <f t="shared" si="96"/>
        <v>0.0247217102408096</v>
      </c>
      <c r="M96" s="13">
        <f t="shared" si="96"/>
        <v>0.077662180889339</v>
      </c>
      <c r="N96" s="13">
        <f t="shared" si="96"/>
        <v>0.0544628472962736</v>
      </c>
      <c r="O96" s="13">
        <f t="shared" si="96"/>
        <v>0.0504920154396435</v>
      </c>
      <c r="P96" s="13">
        <f t="shared" si="95"/>
        <v>0.022915138001965</v>
      </c>
      <c r="Q96" s="13">
        <f t="shared" si="95"/>
        <v>0.0434878634478716</v>
      </c>
      <c r="R96" s="13">
        <f t="shared" si="95"/>
        <v>0.0226705407074558</v>
      </c>
      <c r="S96" s="13">
        <f t="shared" si="95"/>
        <v>0.0388687569020568</v>
      </c>
      <c r="T96" s="13">
        <f t="shared" si="95"/>
        <v>0.0246612628198351</v>
      </c>
      <c r="U96" s="13">
        <f t="shared" si="95"/>
        <v>0.030803781589261</v>
      </c>
      <c r="V96" s="13">
        <f t="shared" si="95"/>
        <v>0.0257663324784321</v>
      </c>
      <c r="W96" s="13">
        <f t="shared" si="95"/>
        <v>0.0441677423856071</v>
      </c>
      <c r="X96" s="13">
        <f t="shared" si="95"/>
        <v>0.0205082773126478</v>
      </c>
      <c r="Y96" s="13">
        <f t="shared" si="95"/>
        <v>0.0250582858050983</v>
      </c>
      <c r="Z96" s="13">
        <f t="shared" si="95"/>
        <v>0.0306893105506837</v>
      </c>
      <c r="AA96" s="13">
        <f t="shared" si="95"/>
        <v>0.0230149201326072</v>
      </c>
      <c r="AB96" s="13">
        <f t="shared" si="95"/>
        <v>0.0169942462374639</v>
      </c>
      <c r="AC96" s="13">
        <f t="shared" si="95"/>
        <v>0.0184988007474639</v>
      </c>
      <c r="AD96" s="13">
        <f t="shared" si="93"/>
        <v>0.020118272806234</v>
      </c>
      <c r="AE96" s="13">
        <f t="shared" ref="AE96:AI100" si="97">AE62/BI62</f>
        <v>0</v>
      </c>
      <c r="AF96" s="13">
        <f t="shared" si="97"/>
        <v>0.0160769608096564</v>
      </c>
      <c r="AG96" s="13">
        <f t="shared" si="97"/>
        <v>0.0239494326022271</v>
      </c>
      <c r="AH96" s="13">
        <f t="shared" si="97"/>
        <v>0.0258621598061866</v>
      </c>
      <c r="AI96" s="13">
        <f t="shared" si="97"/>
        <v>0.0254367837128538</v>
      </c>
    </row>
    <row r="97" spans="1:35">
      <c r="A97" s="13"/>
      <c r="B97" s="13"/>
      <c r="C97" s="13"/>
      <c r="D97" s="14" t="s">
        <v>27</v>
      </c>
      <c r="E97" s="13">
        <f t="shared" si="95"/>
        <v>0.073517966370322</v>
      </c>
      <c r="F97" s="13">
        <f t="shared" si="95"/>
        <v>0.0637734629892761</v>
      </c>
      <c r="G97" s="13">
        <f t="shared" si="95"/>
        <v>0.0259028760261418</v>
      </c>
      <c r="H97" s="13">
        <f t="shared" si="95"/>
        <v>0.0231591510450648</v>
      </c>
      <c r="I97" s="13">
        <f t="shared" si="95"/>
        <v>0.038901587316258</v>
      </c>
      <c r="J97" s="13">
        <f t="shared" si="95"/>
        <v>0.0355700185523658</v>
      </c>
      <c r="K97" s="13">
        <f t="shared" si="95"/>
        <v>0.028715354012659</v>
      </c>
      <c r="L97" s="13">
        <f t="shared" si="95"/>
        <v>0.0244204435907323</v>
      </c>
      <c r="M97" s="13">
        <f t="shared" si="95"/>
        <v>0.0767157647698098</v>
      </c>
      <c r="N97" s="13">
        <f t="shared" si="95"/>
        <v>0.0537991456591781</v>
      </c>
      <c r="O97" s="13">
        <f t="shared" si="95"/>
        <v>0.0498767036267073</v>
      </c>
      <c r="P97" s="13">
        <f t="shared" si="95"/>
        <v>0.0226358868176956</v>
      </c>
      <c r="Q97" s="13">
        <f t="shared" si="95"/>
        <v>0.0429579064662411</v>
      </c>
      <c r="R97" s="13">
        <f t="shared" si="95"/>
        <v>0.022394270263872</v>
      </c>
      <c r="S97" s="13">
        <f t="shared" si="95"/>
        <v>0.0383950898268226</v>
      </c>
      <c r="T97" s="13">
        <f t="shared" si="95"/>
        <v>0.0243607328013194</v>
      </c>
      <c r="U97" s="13">
        <f t="shared" si="95"/>
        <v>0.0304283968768477</v>
      </c>
      <c r="V97" s="13">
        <f t="shared" si="95"/>
        <v>0.0254523357284118</v>
      </c>
      <c r="W97" s="13">
        <f t="shared" si="95"/>
        <v>0.0436295001822813</v>
      </c>
      <c r="X97" s="13">
        <f t="shared" si="95"/>
        <v>0.0202583569008051</v>
      </c>
      <c r="Y97" s="13">
        <f t="shared" si="95"/>
        <v>0.0247529175377879</v>
      </c>
      <c r="Z97" s="13">
        <f t="shared" si="95"/>
        <v>0.0303153208188761</v>
      </c>
      <c r="AA97" s="13">
        <f t="shared" si="95"/>
        <v>0.0227344529714516</v>
      </c>
      <c r="AB97" s="13">
        <f t="shared" si="95"/>
        <v>0.0167871489296854</v>
      </c>
      <c r="AC97" s="13">
        <f t="shared" si="95"/>
        <v>0.0182733684582998</v>
      </c>
      <c r="AD97" s="13">
        <f t="shared" si="93"/>
        <v>0.019873105113763</v>
      </c>
      <c r="AE97" s="13">
        <f t="shared" si="97"/>
        <v>0.0280673609504001</v>
      </c>
      <c r="AF97" s="13">
        <f t="shared" si="97"/>
        <v>0</v>
      </c>
      <c r="AG97" s="13">
        <f t="shared" si="97"/>
        <v>0.0236575771738993</v>
      </c>
      <c r="AH97" s="13">
        <f t="shared" si="97"/>
        <v>0.0255469952737704</v>
      </c>
      <c r="AI97" s="13">
        <f t="shared" si="97"/>
        <v>0.025126802949255</v>
      </c>
    </row>
    <row r="98" spans="1:35">
      <c r="A98" s="13"/>
      <c r="B98" s="13"/>
      <c r="C98" s="13"/>
      <c r="D98" s="14" t="s">
        <v>28</v>
      </c>
      <c r="E98" s="13">
        <f t="shared" si="95"/>
        <v>0.0740941622414117</v>
      </c>
      <c r="F98" s="13">
        <f t="shared" si="95"/>
        <v>0.0642732864728913</v>
      </c>
      <c r="G98" s="13">
        <f t="shared" si="95"/>
        <v>0.0261058893976004</v>
      </c>
      <c r="H98" s="13">
        <f t="shared" si="95"/>
        <v>0.0233406605164081</v>
      </c>
      <c r="I98" s="13">
        <f t="shared" si="95"/>
        <v>0.0392064778769892</v>
      </c>
      <c r="J98" s="13">
        <f t="shared" si="95"/>
        <v>0.0358487979968517</v>
      </c>
      <c r="K98" s="13">
        <f t="shared" si="95"/>
        <v>0.0289404101347998</v>
      </c>
      <c r="L98" s="13">
        <f t="shared" si="95"/>
        <v>0.0246118384219804</v>
      </c>
      <c r="M98" s="13">
        <f t="shared" si="95"/>
        <v>0.0773170233340794</v>
      </c>
      <c r="N98" s="13">
        <f t="shared" si="95"/>
        <v>0.0542207955922138</v>
      </c>
      <c r="O98" s="13">
        <f t="shared" si="95"/>
        <v>0.0502676114838222</v>
      </c>
      <c r="P98" s="13">
        <f t="shared" si="95"/>
        <v>0.022813295214129</v>
      </c>
      <c r="Q98" s="13">
        <f t="shared" si="95"/>
        <v>0.0432945883626339</v>
      </c>
      <c r="R98" s="13">
        <f t="shared" si="95"/>
        <v>0.022569784994477</v>
      </c>
      <c r="S98" s="13">
        <f t="shared" si="95"/>
        <v>0.0386960107216812</v>
      </c>
      <c r="T98" s="13">
        <f t="shared" si="95"/>
        <v>0.0245516596502224</v>
      </c>
      <c r="U98" s="13">
        <f t="shared" si="95"/>
        <v>0.0306668789447005</v>
      </c>
      <c r="V98" s="13">
        <f t="shared" si="95"/>
        <v>0.0256518179975816</v>
      </c>
      <c r="W98" s="13">
        <f t="shared" si="95"/>
        <v>0.0439714456835497</v>
      </c>
      <c r="X98" s="13">
        <f t="shared" si="95"/>
        <v>0.0204171314450098</v>
      </c>
      <c r="Y98" s="13">
        <f t="shared" si="95"/>
        <v>0.0249469181282131</v>
      </c>
      <c r="Z98" s="13">
        <f t="shared" si="95"/>
        <v>0.0305529166549553</v>
      </c>
      <c r="AA98" s="13">
        <f t="shared" si="95"/>
        <v>0.0229126338785193</v>
      </c>
      <c r="AB98" s="13">
        <f t="shared" si="95"/>
        <v>0.0169187179376192</v>
      </c>
      <c r="AC98" s="13">
        <f t="shared" si="95"/>
        <v>0.0184165856877256</v>
      </c>
      <c r="AD98" s="13">
        <f t="shared" si="93"/>
        <v>0.0200288602533244</v>
      </c>
      <c r="AE98" s="13">
        <f t="shared" si="97"/>
        <v>0.0282873384374071</v>
      </c>
      <c r="AF98" s="13">
        <f t="shared" si="97"/>
        <v>0.01600550924307</v>
      </c>
      <c r="AG98" s="13">
        <f t="shared" si="97"/>
        <v>0</v>
      </c>
      <c r="AH98" s="13">
        <f t="shared" si="97"/>
        <v>0.0257472194355943</v>
      </c>
      <c r="AI98" s="13">
        <f t="shared" si="97"/>
        <v>0.0253237338605388</v>
      </c>
    </row>
    <row r="99" spans="1:35">
      <c r="A99" s="13"/>
      <c r="B99" s="13"/>
      <c r="C99" s="13"/>
      <c r="D99" s="14" t="s">
        <v>29</v>
      </c>
      <c r="E99" s="13">
        <f t="shared" si="95"/>
        <v>0.0742355234838327</v>
      </c>
      <c r="F99" s="13">
        <f t="shared" si="95"/>
        <v>0.0643959108653593</v>
      </c>
      <c r="G99" s="13">
        <f t="shared" si="95"/>
        <v>0.0261556957635556</v>
      </c>
      <c r="H99" s="13">
        <f t="shared" si="95"/>
        <v>0.0233851912145051</v>
      </c>
      <c r="I99" s="13">
        <f t="shared" si="95"/>
        <v>0.039281278323556</v>
      </c>
      <c r="J99" s="13">
        <f t="shared" si="95"/>
        <v>0.0359171924623648</v>
      </c>
      <c r="K99" s="13">
        <f t="shared" si="95"/>
        <v>0.0289956243677306</v>
      </c>
      <c r="L99" s="13">
        <f t="shared" si="95"/>
        <v>0.024658794348768</v>
      </c>
      <c r="M99" s="13">
        <f t="shared" si="95"/>
        <v>0.0774645333422659</v>
      </c>
      <c r="N99" s="13">
        <f t="shared" si="95"/>
        <v>0.0543242412456648</v>
      </c>
      <c r="O99" s="13">
        <f t="shared" si="95"/>
        <v>0.0503635150178922</v>
      </c>
      <c r="P99" s="13">
        <f t="shared" si="95"/>
        <v>0.0228568197733875</v>
      </c>
      <c r="Q99" s="13">
        <f t="shared" si="95"/>
        <v>0.0433771883491364</v>
      </c>
      <c r="R99" s="13">
        <f t="shared" si="95"/>
        <v>0.0226128449704788</v>
      </c>
      <c r="S99" s="13">
        <f t="shared" si="95"/>
        <v>0.0387698372686976</v>
      </c>
      <c r="T99" s="13">
        <f t="shared" si="95"/>
        <v>0.0245985007643758</v>
      </c>
      <c r="U99" s="13">
        <f t="shared" si="95"/>
        <v>0.0307253870373443</v>
      </c>
      <c r="V99" s="13">
        <f t="shared" si="95"/>
        <v>0.0257007580591573</v>
      </c>
      <c r="W99" s="13">
        <f t="shared" si="95"/>
        <v>0.0440553370186407</v>
      </c>
      <c r="X99" s="13">
        <f t="shared" si="95"/>
        <v>0.0204560844607459</v>
      </c>
      <c r="Y99" s="13">
        <f t="shared" si="95"/>
        <v>0.0249945133399612</v>
      </c>
      <c r="Z99" s="13">
        <f t="shared" si="95"/>
        <v>0.0306112073235759</v>
      </c>
      <c r="AA99" s="13">
        <f t="shared" si="95"/>
        <v>0.0229563479619805</v>
      </c>
      <c r="AB99" s="13">
        <f t="shared" si="95"/>
        <v>0.0169509964723308</v>
      </c>
      <c r="AC99" s="13">
        <f t="shared" si="95"/>
        <v>0.0184517219434738</v>
      </c>
      <c r="AD99" s="13">
        <f t="shared" si="93"/>
        <v>0.0200670725022255</v>
      </c>
      <c r="AE99" s="13">
        <f t="shared" si="97"/>
        <v>0.0283413067013745</v>
      </c>
      <c r="AF99" s="13">
        <f t="shared" si="97"/>
        <v>0.0160360455040079</v>
      </c>
      <c r="AG99" s="13">
        <f t="shared" si="97"/>
        <v>0.0238884821298941</v>
      </c>
      <c r="AH99" s="13">
        <f t="shared" si="97"/>
        <v>0</v>
      </c>
      <c r="AI99" s="13">
        <f t="shared" si="97"/>
        <v>0.0253720479837163</v>
      </c>
    </row>
    <row r="100" spans="1:35">
      <c r="A100" s="13"/>
      <c r="B100" s="13"/>
      <c r="C100" s="13"/>
      <c r="D100" s="14" t="s">
        <v>30</v>
      </c>
      <c r="E100" s="13">
        <f t="shared" si="95"/>
        <v>0.0742040391904026</v>
      </c>
      <c r="F100" s="13">
        <f t="shared" si="95"/>
        <v>0.0643685996852364</v>
      </c>
      <c r="G100" s="13">
        <f t="shared" si="95"/>
        <v>0.0261446027778577</v>
      </c>
      <c r="H100" s="13">
        <f t="shared" si="95"/>
        <v>0.0233752732374024</v>
      </c>
      <c r="I100" s="13">
        <f t="shared" si="95"/>
        <v>0.0392646186000837</v>
      </c>
      <c r="J100" s="13">
        <f t="shared" si="95"/>
        <v>0.0359019594933816</v>
      </c>
      <c r="K100" s="13">
        <f t="shared" si="95"/>
        <v>0.0289833269297531</v>
      </c>
      <c r="L100" s="13">
        <f t="shared" si="95"/>
        <v>0.024648336219284</v>
      </c>
      <c r="M100" s="13">
        <f t="shared" si="95"/>
        <v>0.0774316795819134</v>
      </c>
      <c r="N100" s="13">
        <f t="shared" si="95"/>
        <v>0.0543012015973741</v>
      </c>
      <c r="O100" s="13">
        <f t="shared" si="95"/>
        <v>0.0503421551673705</v>
      </c>
      <c r="P100" s="13">
        <f t="shared" si="95"/>
        <v>0.0228471258857869</v>
      </c>
      <c r="Q100" s="13">
        <f t="shared" si="95"/>
        <v>0.0433587914946107</v>
      </c>
      <c r="R100" s="13">
        <f t="shared" si="95"/>
        <v>0.0226032545559047</v>
      </c>
      <c r="S100" s="13">
        <f t="shared" si="95"/>
        <v>0.0387533944543206</v>
      </c>
      <c r="T100" s="13">
        <f t="shared" si="95"/>
        <v>0.0245880682062195</v>
      </c>
      <c r="U100" s="13">
        <f t="shared" si="95"/>
        <v>0.030712355983533</v>
      </c>
      <c r="V100" s="13">
        <f t="shared" si="95"/>
        <v>0.0256898580187166</v>
      </c>
      <c r="W100" s="13">
        <f t="shared" si="95"/>
        <v>0.044036652552057</v>
      </c>
      <c r="X100" s="13">
        <f t="shared" si="95"/>
        <v>0.0204474087575869</v>
      </c>
      <c r="Y100" s="13">
        <f t="shared" si="95"/>
        <v>0.0249839128274948</v>
      </c>
      <c r="Z100" s="13">
        <f t="shared" si="95"/>
        <v>0.0305982246949312</v>
      </c>
      <c r="AA100" s="13">
        <f t="shared" si="95"/>
        <v>0.0229466118631237</v>
      </c>
      <c r="AB100" s="13">
        <f t="shared" si="95"/>
        <v>0.0169438073245775</v>
      </c>
      <c r="AC100" s="13">
        <f t="shared" si="95"/>
        <v>0.0184438963176724</v>
      </c>
      <c r="AD100" s="13">
        <f t="shared" si="93"/>
        <v>0.0200585617843199</v>
      </c>
      <c r="AE100" s="13">
        <f t="shared" si="97"/>
        <v>0.028329286768403</v>
      </c>
      <c r="AF100" s="13">
        <f t="shared" si="97"/>
        <v>0.0160292443993829</v>
      </c>
      <c r="AG100" s="13">
        <f t="shared" si="97"/>
        <v>0.0238783507002808</v>
      </c>
      <c r="AH100" s="13">
        <f t="shared" si="97"/>
        <v>0.0257854009310185</v>
      </c>
      <c r="AI100" s="13">
        <f t="shared" si="97"/>
        <v>0</v>
      </c>
    </row>
    <row r="105" spans="3:35">
      <c r="C105" s="16" t="s">
        <v>44</v>
      </c>
      <c r="D105" s="13" t="s">
        <v>38</v>
      </c>
      <c r="E105" s="13" t="s">
        <v>0</v>
      </c>
      <c r="F105" s="13" t="s">
        <v>1</v>
      </c>
      <c r="G105" s="13" t="s">
        <v>2</v>
      </c>
      <c r="H105" s="13" t="s">
        <v>3</v>
      </c>
      <c r="I105" s="13" t="s">
        <v>4</v>
      </c>
      <c r="J105" s="13" t="s">
        <v>5</v>
      </c>
      <c r="K105" s="13" t="s">
        <v>6</v>
      </c>
      <c r="L105" s="13" t="s">
        <v>7</v>
      </c>
      <c r="M105" s="13" t="s">
        <v>8</v>
      </c>
      <c r="N105" s="13" t="s">
        <v>9</v>
      </c>
      <c r="O105" s="13" t="s">
        <v>10</v>
      </c>
      <c r="P105" s="13" t="s">
        <v>11</v>
      </c>
      <c r="Q105" s="13" t="s">
        <v>12</v>
      </c>
      <c r="R105" s="13" t="s">
        <v>13</v>
      </c>
      <c r="S105" s="13" t="s">
        <v>14</v>
      </c>
      <c r="T105" s="13" t="s">
        <v>15</v>
      </c>
      <c r="U105" s="13" t="s">
        <v>16</v>
      </c>
      <c r="V105" s="13" t="s">
        <v>17</v>
      </c>
      <c r="W105" s="13" t="s">
        <v>18</v>
      </c>
      <c r="X105" s="13" t="s">
        <v>19</v>
      </c>
      <c r="Y105" s="13" t="s">
        <v>20</v>
      </c>
      <c r="Z105" s="13" t="s">
        <v>21</v>
      </c>
      <c r="AA105" s="13" t="s">
        <v>22</v>
      </c>
      <c r="AB105" s="13" t="s">
        <v>23</v>
      </c>
      <c r="AC105" s="13" t="s">
        <v>24</v>
      </c>
      <c r="AD105" s="13" t="s">
        <v>25</v>
      </c>
      <c r="AE105" s="13" t="s">
        <v>26</v>
      </c>
      <c r="AF105" s="13" t="s">
        <v>27</v>
      </c>
      <c r="AG105" s="13" t="s">
        <v>28</v>
      </c>
      <c r="AH105" s="13" t="s">
        <v>29</v>
      </c>
      <c r="AI105" s="13" t="s">
        <v>30</v>
      </c>
    </row>
    <row r="106" spans="3:35">
      <c r="C106" t="s">
        <v>37</v>
      </c>
      <c r="D106" s="13" t="s">
        <v>0</v>
      </c>
      <c r="E106" s="13">
        <v>0</v>
      </c>
      <c r="F106" s="13">
        <v>0.240156462088104</v>
      </c>
      <c r="G106" s="13">
        <v>0.0963511992175787</v>
      </c>
      <c r="H106" s="13">
        <v>0.0566454358874996</v>
      </c>
      <c r="I106" s="13">
        <v>0.0543461898782626</v>
      </c>
      <c r="J106" s="13">
        <v>0.0365806314213206</v>
      </c>
      <c r="K106" s="13">
        <v>0.0266050939932564</v>
      </c>
      <c r="L106" s="13">
        <v>0.0218312576697995</v>
      </c>
      <c r="M106" s="13">
        <v>0.022142587914109</v>
      </c>
      <c r="N106" s="13">
        <v>0.0268063172395087</v>
      </c>
      <c r="O106" s="13">
        <v>0.0209207294836517</v>
      </c>
      <c r="P106" s="13">
        <v>0.0256975372458575</v>
      </c>
      <c r="Q106" s="13">
        <v>0.0151043539909824</v>
      </c>
      <c r="R106" s="13">
        <v>0.018564259773474</v>
      </c>
      <c r="S106" s="13">
        <v>0.0646395675378625</v>
      </c>
      <c r="T106" s="13">
        <v>0.0371999679651773</v>
      </c>
      <c r="U106" s="13">
        <v>0.0221567997426469</v>
      </c>
      <c r="V106" s="13">
        <v>0.0175315859179408</v>
      </c>
      <c r="W106" s="13">
        <v>0.0124268939028078</v>
      </c>
      <c r="X106" s="13">
        <v>0.011269818364198</v>
      </c>
      <c r="Y106" s="13">
        <v>0.0102564241166949</v>
      </c>
      <c r="Z106" s="13">
        <v>0.0162559950931482</v>
      </c>
      <c r="AA106" s="13">
        <v>0.0153209407813158</v>
      </c>
      <c r="AB106" s="13">
        <v>0.0133394572455802</v>
      </c>
      <c r="AC106" s="13">
        <v>0.0111551570235627</v>
      </c>
      <c r="AD106" s="13">
        <v>0.00902561682238135</v>
      </c>
      <c r="AE106" s="13">
        <v>0.0254141650840092</v>
      </c>
      <c r="AF106" s="13">
        <v>0.0194747165741737</v>
      </c>
      <c r="AG106" s="13">
        <v>0.0172075887769746</v>
      </c>
      <c r="AH106" s="13">
        <v>0.0260939093165957</v>
      </c>
      <c r="AI106" s="13">
        <v>0.00947933993152551</v>
      </c>
    </row>
    <row r="107" spans="4:35">
      <c r="D107" s="13" t="s">
        <v>1</v>
      </c>
      <c r="E107" s="13">
        <v>0.24029280598076</v>
      </c>
      <c r="F107" s="13">
        <v>0</v>
      </c>
      <c r="G107" s="13">
        <v>0.0856150678283382</v>
      </c>
      <c r="H107" s="13">
        <v>0.0513286596068714</v>
      </c>
      <c r="I107" s="13">
        <v>0.044834512708915</v>
      </c>
      <c r="J107" s="13">
        <v>0.03924594135136</v>
      </c>
      <c r="K107" s="13">
        <v>0.0274393149543346</v>
      </c>
      <c r="L107" s="13">
        <v>0.0221305882177354</v>
      </c>
      <c r="M107" s="13">
        <v>0.024157634758574</v>
      </c>
      <c r="N107" s="13">
        <v>0.0293144986888146</v>
      </c>
      <c r="O107" s="13">
        <v>0.02256146417468</v>
      </c>
      <c r="P107" s="13">
        <v>0.0276501944566679</v>
      </c>
      <c r="Q107" s="13">
        <v>0.0158490587726979</v>
      </c>
      <c r="R107" s="13">
        <v>0.0193822268842015</v>
      </c>
      <c r="S107" s="13">
        <v>0.0791006038389539</v>
      </c>
      <c r="T107" s="13">
        <v>0.0380742911029627</v>
      </c>
      <c r="U107" s="13">
        <v>0.0230385546146214</v>
      </c>
      <c r="V107" s="13">
        <v>0.017985180174204</v>
      </c>
      <c r="W107" s="13">
        <v>0.0127259875868926</v>
      </c>
      <c r="X107" s="13">
        <v>0.0113884458917393</v>
      </c>
      <c r="Y107" s="13">
        <v>0.010413403444682</v>
      </c>
      <c r="Z107" s="13">
        <v>0.0161531672224467</v>
      </c>
      <c r="AA107" s="13">
        <v>0.0150758256906332</v>
      </c>
      <c r="AB107" s="13">
        <v>0.0133634440388486</v>
      </c>
      <c r="AC107" s="13">
        <v>0.0111035578461828</v>
      </c>
      <c r="AD107" s="13">
        <v>0.00884126140988508</v>
      </c>
      <c r="AE107" s="13">
        <v>0.0246918010319926</v>
      </c>
      <c r="AF107" s="13">
        <v>0.0185414017177457</v>
      </c>
      <c r="AG107" s="13">
        <v>0.016411668204136</v>
      </c>
      <c r="AH107" s="13">
        <v>0.0241486435683849</v>
      </c>
      <c r="AI107" s="13">
        <v>0.00914079423173812</v>
      </c>
    </row>
    <row r="108" spans="4:35">
      <c r="D108" s="13" t="s">
        <v>2</v>
      </c>
      <c r="E108" s="13">
        <v>0.0967422069590014</v>
      </c>
      <c r="F108" s="13">
        <v>0.0859137309705475</v>
      </c>
      <c r="G108" s="13">
        <v>0</v>
      </c>
      <c r="H108" s="13">
        <v>0.127725747688147</v>
      </c>
      <c r="I108" s="13">
        <v>0.0625820900489652</v>
      </c>
      <c r="J108" s="13">
        <v>0.0270382309805938</v>
      </c>
      <c r="K108" s="13">
        <v>0.0209988733676981</v>
      </c>
      <c r="L108" s="13">
        <v>0.0178746416133259</v>
      </c>
      <c r="M108" s="13">
        <v>0.0232164941793655</v>
      </c>
      <c r="N108" s="13">
        <v>0.0302083013751399</v>
      </c>
      <c r="O108" s="13">
        <v>0.0226039665294554</v>
      </c>
      <c r="P108" s="13">
        <v>0.0301020201607865</v>
      </c>
      <c r="Q108" s="13">
        <v>0.016438826867393</v>
      </c>
      <c r="R108" s="13">
        <v>0.0215062873155961</v>
      </c>
      <c r="S108" s="13">
        <v>0.0773022466919738</v>
      </c>
      <c r="T108" s="13">
        <v>0.0572782913250832</v>
      </c>
      <c r="U108" s="13">
        <v>0.0271294096041094</v>
      </c>
      <c r="V108" s="13">
        <v>0.020804909117071</v>
      </c>
      <c r="W108" s="13">
        <v>0.0138985718864068</v>
      </c>
      <c r="X108" s="13">
        <v>0.0126883508303927</v>
      </c>
      <c r="Y108" s="13">
        <v>0.0113420088091302</v>
      </c>
      <c r="Z108" s="13">
        <v>0.0196247935967943</v>
      </c>
      <c r="AA108" s="13">
        <v>0.0182699468528743</v>
      </c>
      <c r="AB108" s="13">
        <v>0.0154977993224455</v>
      </c>
      <c r="AC108" s="13">
        <v>0.0126651880847665</v>
      </c>
      <c r="AD108" s="13">
        <v>0.00988371846807163</v>
      </c>
      <c r="AE108" s="13">
        <v>0.0345721412464005</v>
      </c>
      <c r="AF108" s="13">
        <v>0.0235600617291481</v>
      </c>
      <c r="AG108" s="13">
        <v>0.0201382440954222</v>
      </c>
      <c r="AH108" s="13">
        <v>0.0324931641611222</v>
      </c>
      <c r="AI108" s="13">
        <v>0.00989973612277222</v>
      </c>
    </row>
    <row r="109" spans="4:35">
      <c r="D109" s="13" t="s">
        <v>3</v>
      </c>
      <c r="E109" s="13">
        <v>0.060302281063527</v>
      </c>
      <c r="F109" s="13">
        <v>0.0546112665685105</v>
      </c>
      <c r="G109" s="13">
        <v>0.135421744773214</v>
      </c>
      <c r="H109" s="13">
        <v>0</v>
      </c>
      <c r="I109" s="13">
        <v>0.0729248367934471</v>
      </c>
      <c r="J109" s="13">
        <v>0.0237468067555774</v>
      </c>
      <c r="K109" s="13">
        <v>0.019272985391714</v>
      </c>
      <c r="L109" s="13">
        <v>0.0168223320292933</v>
      </c>
      <c r="M109" s="13">
        <v>0.022575362318761</v>
      </c>
      <c r="N109" s="13">
        <v>0.0295767868514937</v>
      </c>
      <c r="O109" s="13">
        <v>0.022525041622986</v>
      </c>
      <c r="P109" s="13">
        <v>0.0305679343566012</v>
      </c>
      <c r="Q109" s="13">
        <v>0.0171426862207466</v>
      </c>
      <c r="R109" s="13">
        <v>0.023154804602063</v>
      </c>
      <c r="S109" s="13">
        <v>0.0565624706259947</v>
      </c>
      <c r="T109" s="13">
        <v>0.0689665457289304</v>
      </c>
      <c r="U109" s="13">
        <v>0.0300203580951029</v>
      </c>
      <c r="V109" s="13">
        <v>0.0234164528316764</v>
      </c>
      <c r="W109" s="13">
        <v>0.0152411635857782</v>
      </c>
      <c r="X109" s="13">
        <v>0.0142570683331289</v>
      </c>
      <c r="Y109" s="13">
        <v>0.0125238770751722</v>
      </c>
      <c r="Z109" s="13">
        <v>0.0237392026298201</v>
      </c>
      <c r="AA109" s="13">
        <v>0.0222794739739028</v>
      </c>
      <c r="AB109" s="13">
        <v>0.0180041727909763</v>
      </c>
      <c r="AC109" s="13">
        <v>0.0146343032894137</v>
      </c>
      <c r="AD109" s="13">
        <v>0.0113581015006648</v>
      </c>
      <c r="AE109" s="13">
        <v>0.0485707479434432</v>
      </c>
      <c r="AF109" s="13">
        <v>0.0305686836735205</v>
      </c>
      <c r="AG109" s="13">
        <v>0.0252394123811014</v>
      </c>
      <c r="AH109" s="13">
        <v>0.0448297637795784</v>
      </c>
      <c r="AI109" s="13">
        <v>0.0111433324138607</v>
      </c>
    </row>
    <row r="110" spans="4:35">
      <c r="D110" s="13" t="s">
        <v>4</v>
      </c>
      <c r="E110" s="13">
        <v>0.0732517907464061</v>
      </c>
      <c r="F110" s="13">
        <v>0.0603969637380086</v>
      </c>
      <c r="G110" s="13">
        <v>0.0840118099419486</v>
      </c>
      <c r="H110" s="13">
        <v>0.0923327546794686</v>
      </c>
      <c r="I110" s="13">
        <v>0</v>
      </c>
      <c r="J110" s="13">
        <v>0.0310850152110541</v>
      </c>
      <c r="K110" s="13">
        <v>0.0261777241833625</v>
      </c>
      <c r="L110" s="13">
        <v>0.0233030295740665</v>
      </c>
      <c r="M110" s="13">
        <v>0.0227332245094248</v>
      </c>
      <c r="N110" s="13">
        <v>0.0274525757828137</v>
      </c>
      <c r="O110" s="13">
        <v>0.0223380341517394</v>
      </c>
      <c r="P110" s="13">
        <v>0.0276778921022183</v>
      </c>
      <c r="Q110" s="13">
        <v>0.0176719460047943</v>
      </c>
      <c r="R110" s="13">
        <v>0.0222617054672395</v>
      </c>
      <c r="S110" s="13">
        <v>0.0466983766959816</v>
      </c>
      <c r="T110" s="13">
        <v>0.0448903746893529</v>
      </c>
      <c r="U110" s="13">
        <v>0.0269262536181233</v>
      </c>
      <c r="V110" s="13">
        <v>0.0225328482673228</v>
      </c>
      <c r="W110" s="13">
        <v>0.0159992351161038</v>
      </c>
      <c r="X110" s="13">
        <v>0.0153457115445571</v>
      </c>
      <c r="Y110" s="13">
        <v>0.0136366946138447</v>
      </c>
      <c r="Z110" s="13">
        <v>0.0240999371225559</v>
      </c>
      <c r="AA110" s="13">
        <v>0.0238320194122851</v>
      </c>
      <c r="AB110" s="13">
        <v>0.0189731784191589</v>
      </c>
      <c r="AC110" s="13">
        <v>0.0162724282581094</v>
      </c>
      <c r="AD110" s="13">
        <v>0.0140276258545789</v>
      </c>
      <c r="AE110" s="13">
        <v>0.0416904086954204</v>
      </c>
      <c r="AF110" s="13">
        <v>0.0366461105053588</v>
      </c>
      <c r="AG110" s="13">
        <v>0.0317977090643488</v>
      </c>
      <c r="AH110" s="13">
        <v>0.0604699286251084</v>
      </c>
      <c r="AI110" s="13">
        <v>0.0154666934052439</v>
      </c>
    </row>
    <row r="111" spans="4:35">
      <c r="D111" s="13" t="s">
        <v>5</v>
      </c>
      <c r="E111" s="13">
        <v>0.0612270976699631</v>
      </c>
      <c r="F111" s="13">
        <v>0.065650907581259</v>
      </c>
      <c r="G111" s="13">
        <v>0.0450725244660529</v>
      </c>
      <c r="H111" s="13">
        <v>0.0373360935596819</v>
      </c>
      <c r="I111" s="13">
        <v>0.0386006320156071</v>
      </c>
      <c r="J111" s="13">
        <v>0</v>
      </c>
      <c r="K111" s="13">
        <v>0.138343693736974</v>
      </c>
      <c r="L111" s="13">
        <v>0.0761201834030579</v>
      </c>
      <c r="M111" s="13">
        <v>0.0331679377027292</v>
      </c>
      <c r="N111" s="13">
        <v>0.0340270155886451</v>
      </c>
      <c r="O111" s="13">
        <v>0.0298999926549063</v>
      </c>
      <c r="P111" s="13">
        <v>0.0312894401087485</v>
      </c>
      <c r="Q111" s="13">
        <v>0.0219680140998747</v>
      </c>
      <c r="R111" s="13">
        <v>0.0239113950937305</v>
      </c>
      <c r="S111" s="13">
        <v>0.0493652831560496</v>
      </c>
      <c r="T111" s="13">
        <v>0.0331808635121558</v>
      </c>
      <c r="U111" s="13">
        <v>0.0260399661063433</v>
      </c>
      <c r="V111" s="13">
        <v>0.0217588045691929</v>
      </c>
      <c r="W111" s="13">
        <v>0.0171287591041964</v>
      </c>
      <c r="X111" s="13">
        <v>0.0152032805490995</v>
      </c>
      <c r="Y111" s="13">
        <v>0.0143659674616342</v>
      </c>
      <c r="Z111" s="13">
        <v>0.0192681925358578</v>
      </c>
      <c r="AA111" s="13">
        <v>0.018234755104678</v>
      </c>
      <c r="AB111" s="13">
        <v>0.0169099466865936</v>
      </c>
      <c r="AC111" s="13">
        <v>0.014557839734055</v>
      </c>
      <c r="AD111" s="13">
        <v>0.0121211128701423</v>
      </c>
      <c r="AE111" s="13">
        <v>0.0253613356926992</v>
      </c>
      <c r="AF111" s="13">
        <v>0.0213068836089278</v>
      </c>
      <c r="AG111" s="13">
        <v>0.0196750818806435</v>
      </c>
      <c r="AH111" s="13">
        <v>0.0257385521018672</v>
      </c>
      <c r="AI111" s="13">
        <v>0.0131684476446339</v>
      </c>
    </row>
    <row r="112" spans="4:35">
      <c r="D112" s="13" t="s">
        <v>6</v>
      </c>
      <c r="E112" s="13">
        <v>0.0468020736181678</v>
      </c>
      <c r="F112" s="13">
        <v>0.0482421962064506</v>
      </c>
      <c r="G112" s="13">
        <v>0.036790647064178</v>
      </c>
      <c r="H112" s="13">
        <v>0.0318478759168005</v>
      </c>
      <c r="I112" s="13">
        <v>0.0341651271272015</v>
      </c>
      <c r="J112" s="13">
        <v>0.145400931652414</v>
      </c>
      <c r="K112" s="13">
        <v>0</v>
      </c>
      <c r="L112" s="13">
        <v>0.17569678566062</v>
      </c>
      <c r="M112" s="13">
        <v>0.0285342847382434</v>
      </c>
      <c r="N112" s="13">
        <v>0.0287802870334648</v>
      </c>
      <c r="O112" s="13">
        <v>0.0260825102803024</v>
      </c>
      <c r="P112" s="13">
        <v>0.0268427657517564</v>
      </c>
      <c r="Q112" s="13">
        <v>0.0200772370845547</v>
      </c>
      <c r="R112" s="13">
        <v>0.0214426917482592</v>
      </c>
      <c r="S112" s="13">
        <v>0.0383920310581129</v>
      </c>
      <c r="T112" s="13">
        <v>0.0283192125100876</v>
      </c>
      <c r="U112" s="13">
        <v>0.0230350112343099</v>
      </c>
      <c r="V112" s="13">
        <v>0.0197626906229885</v>
      </c>
      <c r="W112" s="13">
        <v>0.0160287273201481</v>
      </c>
      <c r="X112" s="13">
        <v>0.0144000694845056</v>
      </c>
      <c r="Y112" s="13">
        <v>0.0136798885617343</v>
      </c>
      <c r="Z112" s="13">
        <v>0.0178906166937963</v>
      </c>
      <c r="AA112" s="13">
        <v>0.017118772450995</v>
      </c>
      <c r="AB112" s="13">
        <v>0.0158805784259287</v>
      </c>
      <c r="AC112" s="13">
        <v>0.0139079377407604</v>
      </c>
      <c r="AD112" s="13">
        <v>0.0119365782707987</v>
      </c>
      <c r="AE112" s="13">
        <v>0.0228888616132645</v>
      </c>
      <c r="AF112" s="13">
        <v>0.0200349688877323</v>
      </c>
      <c r="AG112" s="13">
        <v>0.0187469925241727</v>
      </c>
      <c r="AH112" s="13">
        <v>0.0238682818417418</v>
      </c>
      <c r="AI112" s="13">
        <v>0.0134033668765087</v>
      </c>
    </row>
    <row r="113" spans="4:35">
      <c r="D113" s="13" t="s">
        <v>7</v>
      </c>
      <c r="E113" s="13">
        <v>0.0449777843855023</v>
      </c>
      <c r="F113" s="13">
        <v>0.045568608625789</v>
      </c>
      <c r="G113" s="13">
        <v>0.0366773356196174</v>
      </c>
      <c r="H113" s="13">
        <v>0.0325564232341723</v>
      </c>
      <c r="I113" s="13">
        <v>0.0356190674298275</v>
      </c>
      <c r="J113" s="13">
        <v>0.0936972086730123</v>
      </c>
      <c r="K113" s="13">
        <v>0.205770361735771</v>
      </c>
      <c r="L113" s="13">
        <v>0</v>
      </c>
      <c r="M113" s="13">
        <v>0.0287835175595135</v>
      </c>
      <c r="N113" s="13">
        <v>0.0289693688647957</v>
      </c>
      <c r="O113" s="13">
        <v>0.0266089062354727</v>
      </c>
      <c r="P113" s="13">
        <v>0.0272952180423033</v>
      </c>
      <c r="Q113" s="13">
        <v>0.0211121774465937</v>
      </c>
      <c r="R113" s="13">
        <v>0.0223974336007623</v>
      </c>
      <c r="S113" s="13">
        <v>0.0372572230755129</v>
      </c>
      <c r="T113" s="13">
        <v>0.0289105603314771</v>
      </c>
      <c r="U113" s="13">
        <v>0.0239230477742643</v>
      </c>
      <c r="V113" s="13">
        <v>0.0208629229948054</v>
      </c>
      <c r="W113" s="13">
        <v>0.0172113660443463</v>
      </c>
      <c r="X113" s="13">
        <v>0.0156293355249419</v>
      </c>
      <c r="Y113" s="13">
        <v>0.0148778580344218</v>
      </c>
      <c r="Z113" s="13">
        <v>0.0192302276896547</v>
      </c>
      <c r="AA113" s="13">
        <v>0.0185535810668303</v>
      </c>
      <c r="AB113" s="13">
        <v>0.0171742300467239</v>
      </c>
      <c r="AC113" s="13">
        <v>0.015226829852932</v>
      </c>
      <c r="AD113" s="13">
        <v>0.0133863409281688</v>
      </c>
      <c r="AE113" s="13">
        <v>0.0242013257157101</v>
      </c>
      <c r="AF113" s="13">
        <v>0.0217844822272536</v>
      </c>
      <c r="AG113" s="13">
        <v>0.0205725059371946</v>
      </c>
      <c r="AH113" s="13">
        <v>0.0257158382388679</v>
      </c>
      <c r="AI113" s="13">
        <v>0.0154489130637619</v>
      </c>
    </row>
    <row r="114" spans="4:35">
      <c r="D114" s="13" t="s">
        <v>8</v>
      </c>
      <c r="E114" s="13">
        <v>0.0271739729867847</v>
      </c>
      <c r="F114" s="13">
        <v>0.0296300702211411</v>
      </c>
      <c r="G114" s="13">
        <v>0.0283767422141025</v>
      </c>
      <c r="H114" s="13">
        <v>0.0260249961130913</v>
      </c>
      <c r="I114" s="13">
        <v>0.0206983944169872</v>
      </c>
      <c r="J114" s="13">
        <v>0.0243192823588093</v>
      </c>
      <c r="K114" s="13">
        <v>0.0199063416956439</v>
      </c>
      <c r="L114" s="13">
        <v>0.017145467283549</v>
      </c>
      <c r="M114" s="13">
        <v>0</v>
      </c>
      <c r="N114" s="13">
        <v>0.0989832038069089</v>
      </c>
      <c r="O114" s="13">
        <v>0.179480779563875</v>
      </c>
      <c r="P114" s="13">
        <v>0.0718627254550394</v>
      </c>
      <c r="Q114" s="13">
        <v>0.0469616976355655</v>
      </c>
      <c r="R114" s="13">
        <v>0.0447426185443915</v>
      </c>
      <c r="S114" s="13">
        <v>0.04003644502513</v>
      </c>
      <c r="T114" s="13">
        <v>0.0343104143145382</v>
      </c>
      <c r="U114" s="13">
        <v>0.0412318273663139</v>
      </c>
      <c r="V114" s="13">
        <v>0.0312485263392561</v>
      </c>
      <c r="W114" s="13">
        <v>0.0234733493880168</v>
      </c>
      <c r="X114" s="13">
        <v>0.0175060044175522</v>
      </c>
      <c r="Y114" s="13">
        <v>0.0170282639438743</v>
      </c>
      <c r="Z114" s="13">
        <v>0.0198546991336072</v>
      </c>
      <c r="AA114" s="13">
        <v>0.0171570845928345</v>
      </c>
      <c r="AB114" s="13">
        <v>0.0183322509619579</v>
      </c>
      <c r="AC114" s="13">
        <v>0.0143703346584998</v>
      </c>
      <c r="AD114" s="13">
        <v>0.00976425444692152</v>
      </c>
      <c r="AE114" s="13">
        <v>0.0228719390567276</v>
      </c>
      <c r="AF114" s="13">
        <v>0.0163330177879208</v>
      </c>
      <c r="AG114" s="13">
        <v>0.0147489276098959</v>
      </c>
      <c r="AH114" s="13">
        <v>0.0177751601586034</v>
      </c>
      <c r="AI114" s="13">
        <v>0.00865120850246041</v>
      </c>
    </row>
    <row r="115" spans="4:35">
      <c r="D115" s="13" t="s">
        <v>9</v>
      </c>
      <c r="E115" s="13">
        <v>0.0272089885987052</v>
      </c>
      <c r="F115" s="13">
        <v>0.0297379636031372</v>
      </c>
      <c r="G115" s="13">
        <v>0.0305381472515961</v>
      </c>
      <c r="H115" s="13">
        <v>0.028200539690147</v>
      </c>
      <c r="I115" s="13">
        <v>0.0206732711331803</v>
      </c>
      <c r="J115" s="13">
        <v>0.0206351024858997</v>
      </c>
      <c r="K115" s="13">
        <v>0.0166061925333846</v>
      </c>
      <c r="L115" s="13">
        <v>0.0142723332194143</v>
      </c>
      <c r="M115" s="13">
        <v>0.0818675871184841</v>
      </c>
      <c r="N115" s="13">
        <v>0</v>
      </c>
      <c r="O115" s="13">
        <v>0.0899606274231697</v>
      </c>
      <c r="P115" s="13">
        <v>0.173945366355593</v>
      </c>
      <c r="Q115" s="13">
        <v>0.0349868388215296</v>
      </c>
      <c r="R115" s="13">
        <v>0.0476457605940671</v>
      </c>
      <c r="S115" s="13">
        <v>0.0464043774469419</v>
      </c>
      <c r="T115" s="13">
        <v>0.043119268932783</v>
      </c>
      <c r="U115" s="13">
        <v>0.0521285923435807</v>
      </c>
      <c r="V115" s="13">
        <v>0.0328287134316718</v>
      </c>
      <c r="W115" s="13">
        <v>0.020803498841659</v>
      </c>
      <c r="X115" s="13">
        <v>0.0159411096581764</v>
      </c>
      <c r="Y115" s="13">
        <v>0.0149143130864686</v>
      </c>
      <c r="Z115" s="13">
        <v>0.0200010594343477</v>
      </c>
      <c r="AA115" s="13">
        <v>0.016924692008128</v>
      </c>
      <c r="AB115" s="13">
        <v>0.0176250757648318</v>
      </c>
      <c r="AC115" s="13">
        <v>0.0133948460854407</v>
      </c>
      <c r="AD115" s="13">
        <v>0.00891306131309094</v>
      </c>
      <c r="AE115" s="13">
        <v>0.0245969013865427</v>
      </c>
      <c r="AF115" s="13">
        <v>0.0161757699932744</v>
      </c>
      <c r="AG115" s="13">
        <v>0.0143326989558549</v>
      </c>
      <c r="AH115" s="13">
        <v>0.017798769600806</v>
      </c>
      <c r="AI115" s="13">
        <v>0.00781853288809297</v>
      </c>
    </row>
    <row r="116" spans="4:35">
      <c r="D116" s="13" t="s">
        <v>10</v>
      </c>
      <c r="E116" s="13">
        <v>0.0239108459774761</v>
      </c>
      <c r="F116" s="13">
        <v>0.0257714531268594</v>
      </c>
      <c r="G116" s="13">
        <v>0.0257302441633465</v>
      </c>
      <c r="H116" s="13">
        <v>0.0241832632090548</v>
      </c>
      <c r="I116" s="13">
        <v>0.0189414806372815</v>
      </c>
      <c r="J116" s="13">
        <v>0.0204172254399745</v>
      </c>
      <c r="K116" s="13">
        <v>0.0169460002119762</v>
      </c>
      <c r="L116" s="13">
        <v>0.0147613418726375</v>
      </c>
      <c r="M116" s="13">
        <v>0.167151894637174</v>
      </c>
      <c r="N116" s="13">
        <v>0.101296711840855</v>
      </c>
      <c r="O116" s="13">
        <v>0</v>
      </c>
      <c r="P116" s="13">
        <v>0.0828380929802638</v>
      </c>
      <c r="Q116" s="13">
        <v>0.0565453961669535</v>
      </c>
      <c r="R116" s="13">
        <v>0.0545700123999654</v>
      </c>
      <c r="S116" s="13">
        <v>0.0350649313883173</v>
      </c>
      <c r="T116" s="13">
        <v>0.0333304420758913</v>
      </c>
      <c r="U116" s="13">
        <v>0.0462194603510822</v>
      </c>
      <c r="V116" s="13">
        <v>0.034492751961583</v>
      </c>
      <c r="W116" s="13">
        <v>0.0251456003374654</v>
      </c>
      <c r="X116" s="13">
        <v>0.0180325926294076</v>
      </c>
      <c r="Y116" s="13">
        <v>0.0175195730868489</v>
      </c>
      <c r="Z116" s="13">
        <v>0.0201348011758651</v>
      </c>
      <c r="AA116" s="13">
        <v>0.0170919954141241</v>
      </c>
      <c r="AB116" s="13">
        <v>0.0187588545563378</v>
      </c>
      <c r="AC116" s="13">
        <v>0.0143901561011616</v>
      </c>
      <c r="AD116" s="13">
        <v>0.00943303548357845</v>
      </c>
      <c r="AE116" s="13">
        <v>0.022467103085945</v>
      </c>
      <c r="AF116" s="13">
        <v>0.0157249903668384</v>
      </c>
      <c r="AG116" s="13">
        <v>0.0141600969454355</v>
      </c>
      <c r="AH116" s="13">
        <v>0.0168382653430871</v>
      </c>
      <c r="AI116" s="13">
        <v>0.00813138703321353</v>
      </c>
    </row>
    <row r="117" spans="4:35">
      <c r="D117" s="13" t="s">
        <v>11</v>
      </c>
      <c r="E117" s="13">
        <v>0.0255354253423312</v>
      </c>
      <c r="F117" s="13">
        <v>0.027460174342609</v>
      </c>
      <c r="G117" s="13">
        <v>0.0297912254505527</v>
      </c>
      <c r="H117" s="13">
        <v>0.028533093964424</v>
      </c>
      <c r="I117" s="13">
        <v>0.0204049464681774</v>
      </c>
      <c r="J117" s="13">
        <v>0.0185762012929422</v>
      </c>
      <c r="K117" s="13">
        <v>0.0151627702928179</v>
      </c>
      <c r="L117" s="13">
        <v>0.0131649391890394</v>
      </c>
      <c r="M117" s="13">
        <v>0.058187609361289</v>
      </c>
      <c r="N117" s="13">
        <v>0.170290025549011</v>
      </c>
      <c r="O117" s="13">
        <v>0.072021732863071</v>
      </c>
      <c r="P117" s="13">
        <v>0</v>
      </c>
      <c r="Q117" s="13">
        <v>0.0358413685363528</v>
      </c>
      <c r="R117" s="13">
        <v>0.0602028627680027</v>
      </c>
      <c r="S117" s="13">
        <v>0.0421861786678724</v>
      </c>
      <c r="T117" s="13">
        <v>0.0477074379269005</v>
      </c>
      <c r="U117" s="13">
        <v>0.0728629893504781</v>
      </c>
      <c r="V117" s="13">
        <v>0.0393901576609142</v>
      </c>
      <c r="W117" s="13">
        <v>0.022469429769154</v>
      </c>
      <c r="X117" s="13">
        <v>0.0170754713737752</v>
      </c>
      <c r="Y117" s="13">
        <v>0.0157306949946702</v>
      </c>
      <c r="Z117" s="13">
        <v>0.0220248791303647</v>
      </c>
      <c r="AA117" s="13">
        <v>0.018213139285061</v>
      </c>
      <c r="AB117" s="13">
        <v>0.0191999594146478</v>
      </c>
      <c r="AC117" s="13">
        <v>0.0142064426073428</v>
      </c>
      <c r="AD117" s="13">
        <v>0.00914675505450273</v>
      </c>
      <c r="AE117" s="13">
        <v>0.0267729871720279</v>
      </c>
      <c r="AF117" s="13">
        <v>0.016872705118021</v>
      </c>
      <c r="AG117" s="13">
        <v>0.0148462888300531</v>
      </c>
      <c r="AH117" s="13">
        <v>0.0182901539354069</v>
      </c>
      <c r="AI117" s="13">
        <v>0.00783195428818646</v>
      </c>
    </row>
    <row r="118" spans="4:35">
      <c r="D118" s="13" t="s">
        <v>12</v>
      </c>
      <c r="E118" s="13">
        <v>0.0237916409520591</v>
      </c>
      <c r="F118" s="13">
        <v>0.0249504984323823</v>
      </c>
      <c r="G118" s="13">
        <v>0.0257889818831484</v>
      </c>
      <c r="H118" s="13">
        <v>0.0253648501040485</v>
      </c>
      <c r="I118" s="13">
        <v>0.0206517792140222</v>
      </c>
      <c r="J118" s="13">
        <v>0.0206738121042596</v>
      </c>
      <c r="K118" s="13">
        <v>0.0179773590094854</v>
      </c>
      <c r="L118" s="13">
        <v>0.0161412054953587</v>
      </c>
      <c r="M118" s="13">
        <v>0.0602755619631472</v>
      </c>
      <c r="N118" s="13">
        <v>0.0542939827175918</v>
      </c>
      <c r="O118" s="13">
        <v>0.0779294075999247</v>
      </c>
      <c r="P118" s="13">
        <v>0.056813982576219</v>
      </c>
      <c r="Q118" s="13">
        <v>0</v>
      </c>
      <c r="R118" s="13">
        <v>0.0817752394609586</v>
      </c>
      <c r="S118" s="13">
        <v>0.0310461518719937</v>
      </c>
      <c r="T118" s="13">
        <v>0.0333968067027622</v>
      </c>
      <c r="U118" s="13">
        <v>0.0529844096142702</v>
      </c>
      <c r="V118" s="13">
        <v>0.0524821822159498</v>
      </c>
      <c r="W118" s="13">
        <v>0.052289143737501</v>
      </c>
      <c r="X118" s="13">
        <v>0.0307085431902902</v>
      </c>
      <c r="Y118" s="13">
        <v>0.0319307717745384</v>
      </c>
      <c r="Z118" s="13">
        <v>0.0278597084872985</v>
      </c>
      <c r="AA118" s="13">
        <v>0.0232906514226107</v>
      </c>
      <c r="AB118" s="13">
        <v>0.0285167990457748</v>
      </c>
      <c r="AC118" s="13">
        <v>0.0215562789896834</v>
      </c>
      <c r="AD118" s="13">
        <v>0.0130481853105225</v>
      </c>
      <c r="AE118" s="13">
        <v>0.0266710298597621</v>
      </c>
      <c r="AF118" s="13">
        <v>0.0195526200733093</v>
      </c>
      <c r="AG118" s="13">
        <v>0.0178621535716128</v>
      </c>
      <c r="AH118" s="13">
        <v>0.0198807590571452</v>
      </c>
      <c r="AI118" s="13">
        <v>0.0104955035623695</v>
      </c>
    </row>
    <row r="119" spans="4:35">
      <c r="D119" s="13" t="s">
        <v>13</v>
      </c>
      <c r="E119" s="13">
        <v>0.0214641503358254</v>
      </c>
      <c r="F119" s="13">
        <v>0.0223971751232353</v>
      </c>
      <c r="G119" s="13">
        <v>0.0247652457431501</v>
      </c>
      <c r="H119" s="13">
        <v>0.025148284650898</v>
      </c>
      <c r="I119" s="13">
        <v>0.0190961295704367</v>
      </c>
      <c r="J119" s="13">
        <v>0.0165176593178625</v>
      </c>
      <c r="K119" s="13">
        <v>0.0140933769860113</v>
      </c>
      <c r="L119" s="13">
        <v>0.0125694136754322</v>
      </c>
      <c r="M119" s="13">
        <v>0.0421534088000022</v>
      </c>
      <c r="N119" s="13">
        <v>0.0542731567940272</v>
      </c>
      <c r="O119" s="13">
        <v>0.0552041845290264</v>
      </c>
      <c r="P119" s="13">
        <v>0.0700489477383206</v>
      </c>
      <c r="Q119" s="13">
        <v>0.0600254807818402</v>
      </c>
      <c r="R119" s="13">
        <v>0</v>
      </c>
      <c r="S119" s="13">
        <v>0.0296112348990852</v>
      </c>
      <c r="T119" s="13">
        <v>0.0378511061638698</v>
      </c>
      <c r="U119" s="13">
        <v>0.104602609753981</v>
      </c>
      <c r="V119" s="13">
        <v>0.0913910643627965</v>
      </c>
      <c r="W119" s="13">
        <v>0.0417097984225251</v>
      </c>
      <c r="X119" s="13">
        <v>0.0269369952462567</v>
      </c>
      <c r="Y119" s="13">
        <v>0.0247217084641384</v>
      </c>
      <c r="Z119" s="13">
        <v>0.0300754666754104</v>
      </c>
      <c r="AA119" s="13">
        <v>0.023447469422631</v>
      </c>
      <c r="AB119" s="13">
        <v>0.0286640478283248</v>
      </c>
      <c r="AC119" s="13">
        <v>0.0196555415010859</v>
      </c>
      <c r="AD119" s="13">
        <v>0.0112038191972693</v>
      </c>
      <c r="AE119" s="13">
        <v>0.0288909783970358</v>
      </c>
      <c r="AF119" s="13">
        <v>0.0188465604489625</v>
      </c>
      <c r="AG119" s="13">
        <v>0.0167726684873909</v>
      </c>
      <c r="AH119" s="13">
        <v>0.0190302625397078</v>
      </c>
      <c r="AI119" s="13">
        <v>0.00883205414346152</v>
      </c>
    </row>
    <row r="120" spans="4:35">
      <c r="D120" s="13" t="s">
        <v>14</v>
      </c>
      <c r="E120" s="13">
        <v>0.0720465447939867</v>
      </c>
      <c r="F120" s="13">
        <v>0.0881146301390307</v>
      </c>
      <c r="G120" s="13">
        <v>0.0858119884553345</v>
      </c>
      <c r="H120" s="13">
        <v>0.0592207998893729</v>
      </c>
      <c r="I120" s="13">
        <v>0.0386160061875943</v>
      </c>
      <c r="J120" s="13">
        <v>0.0328733430942891</v>
      </c>
      <c r="K120" s="13">
        <v>0.0243251488243731</v>
      </c>
      <c r="L120" s="13">
        <v>0.0201560717227756</v>
      </c>
      <c r="M120" s="13">
        <v>0.0363618073811417</v>
      </c>
      <c r="N120" s="13">
        <v>0.0509563627341171</v>
      </c>
      <c r="O120" s="13">
        <v>0.0341955498137493</v>
      </c>
      <c r="P120" s="13">
        <v>0.0473187551895022</v>
      </c>
      <c r="Q120" s="13">
        <v>0.0219684922579903</v>
      </c>
      <c r="R120" s="13">
        <v>0.0285453367343614</v>
      </c>
      <c r="S120" s="13">
        <v>0</v>
      </c>
      <c r="T120" s="13">
        <v>0.0656951168972132</v>
      </c>
      <c r="U120" s="13">
        <v>0.0355716948114327</v>
      </c>
      <c r="V120" s="13">
        <v>0.0254473576229037</v>
      </c>
      <c r="W120" s="13">
        <v>0.0168234925793183</v>
      </c>
      <c r="X120" s="13">
        <v>0.0145513474419181</v>
      </c>
      <c r="Y120" s="13">
        <v>0.0132549916155207</v>
      </c>
      <c r="Z120" s="13">
        <v>0.0208234918307029</v>
      </c>
      <c r="AA120" s="13">
        <v>0.0186966232239372</v>
      </c>
      <c r="AB120" s="13">
        <v>0.0171194714702496</v>
      </c>
      <c r="AC120" s="13">
        <v>0.0136871563827886</v>
      </c>
      <c r="AD120" s="13">
        <v>0.0101503844186698</v>
      </c>
      <c r="AE120" s="13">
        <v>0.0319490848244336</v>
      </c>
      <c r="AF120" s="13">
        <v>0.0212322746226093</v>
      </c>
      <c r="AG120" s="13">
        <v>0.0185104523214318</v>
      </c>
      <c r="AH120" s="13">
        <v>0.0262102639440868</v>
      </c>
      <c r="AI120" s="13">
        <v>0.00976595877516462</v>
      </c>
    </row>
    <row r="121" spans="4:35">
      <c r="D121" s="13" t="s">
        <v>15</v>
      </c>
      <c r="E121" s="13">
        <v>0.0410568007589731</v>
      </c>
      <c r="F121" s="13">
        <v>0.0419979288517514</v>
      </c>
      <c r="G121" s="13">
        <v>0.0629613058592713</v>
      </c>
      <c r="H121" s="13">
        <v>0.0715010132169889</v>
      </c>
      <c r="I121" s="13">
        <v>0.0367575558100915</v>
      </c>
      <c r="J121" s="13">
        <v>0.0218795178667917</v>
      </c>
      <c r="K121" s="13">
        <v>0.0177673809402347</v>
      </c>
      <c r="L121" s="13">
        <v>0.0154874438786758</v>
      </c>
      <c r="M121" s="13">
        <v>0.0308562923017614</v>
      </c>
      <c r="N121" s="13">
        <v>0.0468855141086561</v>
      </c>
      <c r="O121" s="13">
        <v>0.0321858879535753</v>
      </c>
      <c r="P121" s="13">
        <v>0.0529879406317913</v>
      </c>
      <c r="Q121" s="13">
        <v>0.0234005055642652</v>
      </c>
      <c r="R121" s="13">
        <v>0.036131421703969</v>
      </c>
      <c r="S121" s="13">
        <v>0.0650520389562866</v>
      </c>
      <c r="T121" s="13">
        <v>0</v>
      </c>
      <c r="U121" s="13">
        <v>0.0549742293671897</v>
      </c>
      <c r="V121" s="13">
        <v>0.0358678331556211</v>
      </c>
      <c r="W121" s="13">
        <v>0.0200970873543904</v>
      </c>
      <c r="X121" s="13">
        <v>0.0178434430824104</v>
      </c>
      <c r="Y121" s="13">
        <v>0.0155454107367725</v>
      </c>
      <c r="Z121" s="13">
        <v>0.0301700290206776</v>
      </c>
      <c r="AA121" s="13">
        <v>0.0257690251089924</v>
      </c>
      <c r="AB121" s="13">
        <v>0.0226631930510849</v>
      </c>
      <c r="AC121" s="13">
        <v>0.0170911007736773</v>
      </c>
      <c r="AD121" s="13">
        <v>0.0117058422623076</v>
      </c>
      <c r="AE121" s="13">
        <v>0.0571949848959035</v>
      </c>
      <c r="AF121" s="13">
        <v>0.0278090062910947</v>
      </c>
      <c r="AG121" s="13">
        <v>0.0231179401204214</v>
      </c>
      <c r="AH121" s="13">
        <v>0.0328612809051328</v>
      </c>
      <c r="AI121" s="13">
        <v>0.0103810454712401</v>
      </c>
    </row>
    <row r="122" spans="4:35">
      <c r="D122" s="13" t="s">
        <v>16</v>
      </c>
      <c r="E122" s="13">
        <v>0.0240413014948386</v>
      </c>
      <c r="F122" s="13">
        <v>0.0249838681652254</v>
      </c>
      <c r="G122" s="13">
        <v>0.0293178702700275</v>
      </c>
      <c r="H122" s="13">
        <v>0.030598348957728</v>
      </c>
      <c r="I122" s="13">
        <v>0.0216759295169388</v>
      </c>
      <c r="J122" s="13">
        <v>0.0168810276565747</v>
      </c>
      <c r="K122" s="13">
        <v>0.0142082003654419</v>
      </c>
      <c r="L122" s="13">
        <v>0.0125993501980262</v>
      </c>
      <c r="M122" s="13">
        <v>0.0364551394234371</v>
      </c>
      <c r="N122" s="13">
        <v>0.0557252074916041</v>
      </c>
      <c r="O122" s="13">
        <v>0.0438790983317463</v>
      </c>
      <c r="P122" s="13">
        <v>0.0795621179132185</v>
      </c>
      <c r="Q122" s="13">
        <v>0.0364986499058428</v>
      </c>
      <c r="R122" s="13">
        <v>0.0981651643011961</v>
      </c>
      <c r="S122" s="13">
        <v>0.0346290665017213</v>
      </c>
      <c r="T122" s="13">
        <v>0.0540464973283875</v>
      </c>
      <c r="U122" s="13">
        <v>0</v>
      </c>
      <c r="V122" s="13">
        <v>0.0857800357039107</v>
      </c>
      <c r="W122" s="13">
        <v>0.0306897765675935</v>
      </c>
      <c r="X122" s="13">
        <v>0.023635184882918</v>
      </c>
      <c r="Y122" s="13">
        <v>0.020567601439569</v>
      </c>
      <c r="Z122" s="13">
        <v>0.0338078330439865</v>
      </c>
      <c r="AA122" s="13">
        <v>0.0257407770780661</v>
      </c>
      <c r="AB122" s="13">
        <v>0.0284539582073591</v>
      </c>
      <c r="AC122" s="13">
        <v>0.0192691273447615</v>
      </c>
      <c r="AD122" s="13">
        <v>0.0112495374614061</v>
      </c>
      <c r="AE122" s="13">
        <v>0.0369744299644352</v>
      </c>
      <c r="AF122" s="13">
        <v>0.0212756368397038</v>
      </c>
      <c r="AG122" s="13">
        <v>0.0184664819502477</v>
      </c>
      <c r="AH122" s="13">
        <v>0.0218112505699044</v>
      </c>
      <c r="AI122" s="13">
        <v>0.00901153112418363</v>
      </c>
    </row>
    <row r="123" spans="4:35">
      <c r="D123" s="13" t="s">
        <v>17</v>
      </c>
      <c r="E123" s="13">
        <v>0.0212877778469893</v>
      </c>
      <c r="F123" s="13">
        <v>0.0218261646010416</v>
      </c>
      <c r="G123" s="13">
        <v>0.0251603154449005</v>
      </c>
      <c r="H123" s="13">
        <v>0.0267092329211272</v>
      </c>
      <c r="I123" s="13">
        <v>0.020299066808483</v>
      </c>
      <c r="J123" s="13">
        <v>0.0157852578669132</v>
      </c>
      <c r="K123" s="13">
        <v>0.0136412729590796</v>
      </c>
      <c r="L123" s="13">
        <v>0.0122960317931592</v>
      </c>
      <c r="M123" s="13">
        <v>0.0309181788022559</v>
      </c>
      <c r="N123" s="13">
        <v>0.0392724270975392</v>
      </c>
      <c r="O123" s="13">
        <v>0.0366453481681281</v>
      </c>
      <c r="P123" s="13">
        <v>0.0481332572464136</v>
      </c>
      <c r="Q123" s="13">
        <v>0.0404574743968112</v>
      </c>
      <c r="R123" s="13">
        <v>0.0959791270703551</v>
      </c>
      <c r="S123" s="13">
        <v>0.0277228006849882</v>
      </c>
      <c r="T123" s="13">
        <v>0.0394613307347383</v>
      </c>
      <c r="U123" s="13">
        <v>0.0959940699577631</v>
      </c>
      <c r="V123" s="13">
        <v>0</v>
      </c>
      <c r="W123" s="13">
        <v>0.0496943713228938</v>
      </c>
      <c r="X123" s="13">
        <v>0.0364732759477461</v>
      </c>
      <c r="Y123" s="13">
        <v>0.0300032488409673</v>
      </c>
      <c r="Z123" s="13">
        <v>0.0457732004521727</v>
      </c>
      <c r="AA123" s="13">
        <v>0.0322763662709251</v>
      </c>
      <c r="AB123" s="13">
        <v>0.0436655506800339</v>
      </c>
      <c r="AC123" s="13">
        <v>0.0262197945696427</v>
      </c>
      <c r="AD123" s="13">
        <v>0.01334704517675</v>
      </c>
      <c r="AE123" s="13">
        <v>0.0361689438641663</v>
      </c>
      <c r="AF123" s="13">
        <v>0.0228152445798977</v>
      </c>
      <c r="AG123" s="13">
        <v>0.0201432583718309</v>
      </c>
      <c r="AH123" s="13">
        <v>0.0219221860654795</v>
      </c>
      <c r="AI123" s="13">
        <v>0.00990837945680784</v>
      </c>
    </row>
    <row r="124" spans="4:35">
      <c r="D124" s="13" t="s">
        <v>18</v>
      </c>
      <c r="E124" s="13">
        <v>0.0203427675001286</v>
      </c>
      <c r="F124" s="13">
        <v>0.0208205620234539</v>
      </c>
      <c r="G124" s="13">
        <v>0.0226599400475146</v>
      </c>
      <c r="H124" s="13">
        <v>0.0234367157081739</v>
      </c>
      <c r="I124" s="13">
        <v>0.0194311060192497</v>
      </c>
      <c r="J124" s="13">
        <v>0.0167525480023569</v>
      </c>
      <c r="K124" s="13">
        <v>0.0149157875175402</v>
      </c>
      <c r="L124" s="13">
        <v>0.0136755084912578</v>
      </c>
      <c r="M124" s="13">
        <v>0.03131105827065</v>
      </c>
      <c r="N124" s="13">
        <v>0.0335512405202098</v>
      </c>
      <c r="O124" s="13">
        <v>0.036015656499783</v>
      </c>
      <c r="P124" s="13">
        <v>0.0370158651182802</v>
      </c>
      <c r="Q124" s="13">
        <v>0.0543421395447883</v>
      </c>
      <c r="R124" s="13">
        <v>0.0590540206374144</v>
      </c>
      <c r="S124" s="13">
        <v>0.0247086427622513</v>
      </c>
      <c r="T124" s="13">
        <v>0.0298083561167319</v>
      </c>
      <c r="U124" s="13">
        <v>0.0463009849022867</v>
      </c>
      <c r="V124" s="13">
        <v>0.0669954827452567</v>
      </c>
      <c r="W124" s="13">
        <v>0</v>
      </c>
      <c r="X124" s="13">
        <v>0.0737111805810958</v>
      </c>
      <c r="Y124" s="13">
        <v>0.0826835631185399</v>
      </c>
      <c r="Z124" s="13">
        <v>0.0385915480602361</v>
      </c>
      <c r="AA124" s="13">
        <v>0.0310448807218853</v>
      </c>
      <c r="AB124" s="13">
        <v>0.0490059995754248</v>
      </c>
      <c r="AC124" s="13">
        <v>0.0339971630316246</v>
      </c>
      <c r="AD124" s="13">
        <v>0.0163771480158873</v>
      </c>
      <c r="AE124" s="13">
        <v>0.0287797458086182</v>
      </c>
      <c r="AF124" s="13">
        <v>0.0220159034873292</v>
      </c>
      <c r="AG124" s="13">
        <v>0.0203341131583575</v>
      </c>
      <c r="AH124" s="13">
        <v>0.0207901559206028</v>
      </c>
      <c r="AI124" s="13">
        <v>0.0115302160930707</v>
      </c>
    </row>
    <row r="125" spans="4:35">
      <c r="D125" s="13" t="s">
        <v>19</v>
      </c>
      <c r="E125" s="13">
        <v>0.0187871751192341</v>
      </c>
      <c r="F125" s="13">
        <v>0.0189741591021578</v>
      </c>
      <c r="G125" s="13">
        <v>0.0210664268193973</v>
      </c>
      <c r="H125" s="13">
        <v>0.0223257460579712</v>
      </c>
      <c r="I125" s="13">
        <v>0.0189793988751504</v>
      </c>
      <c r="J125" s="13">
        <v>0.0151422147474877</v>
      </c>
      <c r="K125" s="13">
        <v>0.0136461096569332</v>
      </c>
      <c r="L125" s="13">
        <v>0.0126463669392786</v>
      </c>
      <c r="M125" s="13">
        <v>0.0237797256069564</v>
      </c>
      <c r="N125" s="13">
        <v>0.0261810988566322</v>
      </c>
      <c r="O125" s="13">
        <v>0.0263017484960596</v>
      </c>
      <c r="P125" s="13">
        <v>0.0286461113838091</v>
      </c>
      <c r="Q125" s="13">
        <v>0.0324998636718188</v>
      </c>
      <c r="R125" s="13">
        <v>0.0388380710658475</v>
      </c>
      <c r="S125" s="13">
        <v>0.0217637165913837</v>
      </c>
      <c r="T125" s="13">
        <v>0.0269513601538402</v>
      </c>
      <c r="U125" s="13">
        <v>0.0363122055786067</v>
      </c>
      <c r="V125" s="13">
        <v>0.0500737612619363</v>
      </c>
      <c r="W125" s="13">
        <v>0.0750637901105839</v>
      </c>
      <c r="X125" s="13">
        <v>0</v>
      </c>
      <c r="Y125" s="13">
        <v>0.111745861530907</v>
      </c>
      <c r="Z125" s="13">
        <v>0.0475742905111832</v>
      </c>
      <c r="AA125" s="13">
        <v>0.0395046050694634</v>
      </c>
      <c r="AB125" s="13">
        <v>0.0824218163817419</v>
      </c>
      <c r="AC125" s="13">
        <v>0.058883082275079</v>
      </c>
      <c r="AD125" s="13">
        <v>0.0205256773050297</v>
      </c>
      <c r="AE125" s="13">
        <v>0.0295442424648255</v>
      </c>
      <c r="AF125" s="13">
        <v>0.0244076593218934</v>
      </c>
      <c r="AG125" s="13">
        <v>0.0229311756495037</v>
      </c>
      <c r="AH125" s="13">
        <v>0.0217500791610858</v>
      </c>
      <c r="AI125" s="13">
        <v>0.0127324602342025</v>
      </c>
    </row>
    <row r="126" spans="4:35">
      <c r="D126" s="13" t="s">
        <v>20</v>
      </c>
      <c r="E126" s="13">
        <v>0.0196049853459871</v>
      </c>
      <c r="F126" s="13">
        <v>0.0198937544694118</v>
      </c>
      <c r="G126" s="13">
        <v>0.021592437184138</v>
      </c>
      <c r="H126" s="13">
        <v>0.0224874665092611</v>
      </c>
      <c r="I126" s="13">
        <v>0.0193388445006899</v>
      </c>
      <c r="J126" s="13">
        <v>0.0164063870766569</v>
      </c>
      <c r="K126" s="13">
        <v>0.0148645858148644</v>
      </c>
      <c r="L126" s="13">
        <v>0.0138035775182152</v>
      </c>
      <c r="M126" s="13">
        <v>0.0265226040838839</v>
      </c>
      <c r="N126" s="13">
        <v>0.0280865606528253</v>
      </c>
      <c r="O126" s="13">
        <v>0.0293005620989942</v>
      </c>
      <c r="P126" s="13">
        <v>0.0302598568560488</v>
      </c>
      <c r="Q126" s="13">
        <v>0.0387487524613972</v>
      </c>
      <c r="R126" s="13">
        <v>0.0408707838396847</v>
      </c>
      <c r="S126" s="13">
        <v>0.0227318767457592</v>
      </c>
      <c r="T126" s="13">
        <v>0.0269234191800065</v>
      </c>
      <c r="U126" s="13">
        <v>0.0362329134323826</v>
      </c>
      <c r="V126" s="13">
        <v>0.0472312793895442</v>
      </c>
      <c r="W126" s="13">
        <v>0.0965477793813311</v>
      </c>
      <c r="X126" s="13">
        <v>0.128131948943976</v>
      </c>
      <c r="Y126" s="13">
        <v>0</v>
      </c>
      <c r="Z126" s="13">
        <v>0.0391163789714806</v>
      </c>
      <c r="AA126" s="13">
        <v>0.0336446761075612</v>
      </c>
      <c r="AB126" s="13">
        <v>0.0548751608426855</v>
      </c>
      <c r="AC126" s="13">
        <v>0.0452131448716252</v>
      </c>
      <c r="AD126" s="13">
        <v>0.020122941633768</v>
      </c>
      <c r="AE126" s="13">
        <v>0.0278536608633933</v>
      </c>
      <c r="AF126" s="13">
        <v>0.0232210759399302</v>
      </c>
      <c r="AG126" s="13">
        <v>0.0219445293791381</v>
      </c>
      <c r="AH126" s="13">
        <v>0.0213199994787894</v>
      </c>
      <c r="AI126" s="13">
        <v>0.013108056426571</v>
      </c>
    </row>
    <row r="127" spans="4:35">
      <c r="D127" s="13" t="s">
        <v>21</v>
      </c>
      <c r="E127" s="13">
        <v>0.021207181337891</v>
      </c>
      <c r="F127" s="13">
        <v>0.0210610775701707</v>
      </c>
      <c r="G127" s="13">
        <v>0.0254985580674911</v>
      </c>
      <c r="H127" s="13">
        <v>0.0290915392327903</v>
      </c>
      <c r="I127" s="13">
        <v>0.0233257789487385</v>
      </c>
      <c r="J127" s="13">
        <v>0.0150182002959431</v>
      </c>
      <c r="K127" s="13">
        <v>0.013267662139022</v>
      </c>
      <c r="L127" s="13">
        <v>0.0121768376063238</v>
      </c>
      <c r="M127" s="13">
        <v>0.0211060974575363</v>
      </c>
      <c r="N127" s="13">
        <v>0.0257067482878041</v>
      </c>
      <c r="O127" s="13">
        <v>0.0229825713889487</v>
      </c>
      <c r="P127" s="13">
        <v>0.0289155416580046</v>
      </c>
      <c r="Q127" s="13">
        <v>0.0230740440016596</v>
      </c>
      <c r="R127" s="13">
        <v>0.0339348317932075</v>
      </c>
      <c r="S127" s="13">
        <v>0.0243729575293751</v>
      </c>
      <c r="T127" s="13">
        <v>0.0356617440870213</v>
      </c>
      <c r="U127" s="13">
        <v>0.0406476818866715</v>
      </c>
      <c r="V127" s="13">
        <v>0.0491780772391765</v>
      </c>
      <c r="W127" s="13">
        <v>0.0307548877020929</v>
      </c>
      <c r="X127" s="13">
        <v>0.0372303521185144</v>
      </c>
      <c r="Y127" s="13">
        <v>0.0266966940663827</v>
      </c>
      <c r="Z127" s="13">
        <v>0</v>
      </c>
      <c r="AA127" s="13">
        <v>0.116967847350787</v>
      </c>
      <c r="AB127" s="13">
        <v>0.083408755727833</v>
      </c>
      <c r="AC127" s="13">
        <v>0.0463109658099074</v>
      </c>
      <c r="AD127" s="13">
        <v>0.0201338336601615</v>
      </c>
      <c r="AE127" s="13">
        <v>0.0552570090173651</v>
      </c>
      <c r="AF127" s="13">
        <v>0.0389983337990776</v>
      </c>
      <c r="AG127" s="13">
        <v>0.0337807314607058</v>
      </c>
      <c r="AH127" s="13">
        <v>0.0311303500517727</v>
      </c>
      <c r="AI127" s="13">
        <v>0.0131031087076237</v>
      </c>
    </row>
    <row r="128" spans="4:35">
      <c r="D128" s="13" t="s">
        <v>22</v>
      </c>
      <c r="E128" s="13">
        <v>0.0218207604379587</v>
      </c>
      <c r="F128" s="13">
        <v>0.0214594735266631</v>
      </c>
      <c r="G128" s="13">
        <v>0.0259156953022489</v>
      </c>
      <c r="H128" s="13">
        <v>0.0298071575207775</v>
      </c>
      <c r="I128" s="13">
        <v>0.0251823437007551</v>
      </c>
      <c r="J128" s="13">
        <v>0.0155164335865552</v>
      </c>
      <c r="K128" s="13">
        <v>0.0138597937905086</v>
      </c>
      <c r="L128" s="13">
        <v>0.0128260488881603</v>
      </c>
      <c r="M128" s="13">
        <v>0.0199114633303039</v>
      </c>
      <c r="N128" s="13">
        <v>0.0237481605293388</v>
      </c>
      <c r="O128" s="13">
        <v>0.0212989942822319</v>
      </c>
      <c r="P128" s="13">
        <v>0.0261046373458248</v>
      </c>
      <c r="Q128" s="13">
        <v>0.0210592956300579</v>
      </c>
      <c r="R128" s="13">
        <v>0.0288831370570108</v>
      </c>
      <c r="S128" s="13">
        <v>0.023890921870168</v>
      </c>
      <c r="T128" s="13">
        <v>0.0332536940598465</v>
      </c>
      <c r="U128" s="13">
        <v>0.0337874299712953</v>
      </c>
      <c r="V128" s="13">
        <v>0.0378581996866719</v>
      </c>
      <c r="W128" s="13">
        <v>0.0270101501194607</v>
      </c>
      <c r="X128" s="13">
        <v>0.0337510746046207</v>
      </c>
      <c r="Y128" s="13">
        <v>0.0250686096790624</v>
      </c>
      <c r="Z128" s="13">
        <v>0.127697252828623</v>
      </c>
      <c r="AA128" s="13">
        <v>0</v>
      </c>
      <c r="AB128" s="13">
        <v>0.0647499085548353</v>
      </c>
      <c r="AC128" s="13">
        <v>0.0532041544017366</v>
      </c>
      <c r="AD128" s="13">
        <v>0.026228792349572</v>
      </c>
      <c r="AE128" s="13">
        <v>0.054943281832351</v>
      </c>
      <c r="AF128" s="13">
        <v>0.0521782250983303</v>
      </c>
      <c r="AG128" s="13">
        <v>0.0464886740402464</v>
      </c>
      <c r="AH128" s="13">
        <v>0.0366168676884134</v>
      </c>
      <c r="AI128" s="13">
        <v>0.0158793682863713</v>
      </c>
    </row>
    <row r="129" spans="4:35">
      <c r="D129" s="13" t="s">
        <v>23</v>
      </c>
      <c r="E129" s="13">
        <v>0.0193884846732667</v>
      </c>
      <c r="F129" s="13">
        <v>0.0194123277785673</v>
      </c>
      <c r="G129" s="13">
        <v>0.0224345248072155</v>
      </c>
      <c r="H129" s="13">
        <v>0.0245815952262488</v>
      </c>
      <c r="I129" s="13">
        <v>0.0204595771996118</v>
      </c>
      <c r="J129" s="13">
        <v>0.0146843751465399</v>
      </c>
      <c r="K129" s="13">
        <v>0.0131211447732624</v>
      </c>
      <c r="L129" s="13">
        <v>0.0121161232236295</v>
      </c>
      <c r="M129" s="13">
        <v>0.0217118455308428</v>
      </c>
      <c r="N129" s="13">
        <v>0.0252383788448018</v>
      </c>
      <c r="O129" s="13">
        <v>0.0238557956731458</v>
      </c>
      <c r="P129" s="13">
        <v>0.0280837065809422</v>
      </c>
      <c r="Q129" s="13">
        <v>0.0263138407297466</v>
      </c>
      <c r="R129" s="13">
        <v>0.0360335593700629</v>
      </c>
      <c r="S129" s="13">
        <v>0.0223244796667292</v>
      </c>
      <c r="T129" s="13">
        <v>0.0298458716683506</v>
      </c>
      <c r="U129" s="13">
        <v>0.0381151343732035</v>
      </c>
      <c r="V129" s="13">
        <v>0.0522679569633472</v>
      </c>
      <c r="W129" s="13">
        <v>0.0435118466428422</v>
      </c>
      <c r="X129" s="13">
        <v>0.0718626655955746</v>
      </c>
      <c r="Y129" s="13">
        <v>0.0417264044813685</v>
      </c>
      <c r="Z129" s="13">
        <v>0.0929282931497192</v>
      </c>
      <c r="AA129" s="13">
        <v>0.066078537189023</v>
      </c>
      <c r="AB129" s="13">
        <v>0</v>
      </c>
      <c r="AC129" s="13">
        <v>0.0785549792749321</v>
      </c>
      <c r="AD129" s="13">
        <v>0.0217168222697927</v>
      </c>
      <c r="AE129" s="13">
        <v>0.0374836613695702</v>
      </c>
      <c r="AF129" s="13">
        <v>0.0301156782784752</v>
      </c>
      <c r="AG129" s="13">
        <v>0.0276976851412945</v>
      </c>
      <c r="AH129" s="13">
        <v>0.0252682768909181</v>
      </c>
      <c r="AI129" s="13">
        <v>0.0130664274869752</v>
      </c>
    </row>
    <row r="130" spans="4:35">
      <c r="D130" s="13" t="s">
        <v>24</v>
      </c>
      <c r="E130" s="13">
        <v>0.0206187075090027</v>
      </c>
      <c r="F130" s="13">
        <v>0.0205116887422402</v>
      </c>
      <c r="G130" s="13">
        <v>0.0233151668321484</v>
      </c>
      <c r="H130" s="13">
        <v>0.0254090825266114</v>
      </c>
      <c r="I130" s="13">
        <v>0.0223145930565004</v>
      </c>
      <c r="J130" s="13">
        <v>0.0160764520062592</v>
      </c>
      <c r="K130" s="13">
        <v>0.0146132962957361</v>
      </c>
      <c r="L130" s="13">
        <v>0.0136607939949744</v>
      </c>
      <c r="M130" s="13">
        <v>0.0216435188371429</v>
      </c>
      <c r="N130" s="13">
        <v>0.0243920460868705</v>
      </c>
      <c r="O130" s="13">
        <v>0.0232719693878187</v>
      </c>
      <c r="P130" s="13">
        <v>0.0264252739944729</v>
      </c>
      <c r="Q130" s="13">
        <v>0.0252951526112661</v>
      </c>
      <c r="R130" s="13">
        <v>0.0314220632415797</v>
      </c>
      <c r="S130" s="13">
        <v>0.0226978260674947</v>
      </c>
      <c r="T130" s="13">
        <v>0.0286228744519075</v>
      </c>
      <c r="U130" s="13">
        <v>0.0328244043957705</v>
      </c>
      <c r="V130" s="13">
        <v>0.0399122222856946</v>
      </c>
      <c r="W130" s="13">
        <v>0.038386718048851</v>
      </c>
      <c r="X130" s="13">
        <v>0.0652877524825093</v>
      </c>
      <c r="Y130" s="13">
        <v>0.0437199760398743</v>
      </c>
      <c r="Z130" s="13">
        <v>0.0656145565109489</v>
      </c>
      <c r="AA130" s="13">
        <v>0.0690473233580157</v>
      </c>
      <c r="AB130" s="13">
        <v>0.0998973022309954</v>
      </c>
      <c r="AC130" s="13">
        <v>0</v>
      </c>
      <c r="AD130" s="13">
        <v>0.034933323960372</v>
      </c>
      <c r="AE130" s="13">
        <v>0.0362276458579968</v>
      </c>
      <c r="AF130" s="13">
        <v>0.0347013545521843</v>
      </c>
      <c r="AG130" s="13">
        <v>0.0336976286244563</v>
      </c>
      <c r="AH130" s="13">
        <v>0.0281602581862899</v>
      </c>
      <c r="AI130" s="13">
        <v>0.0172990278240152</v>
      </c>
    </row>
    <row r="131" spans="4:35">
      <c r="D131" s="13" t="s">
        <v>25</v>
      </c>
      <c r="E131" s="13">
        <v>0.0265648431207595</v>
      </c>
      <c r="F131" s="13">
        <v>0.0260074698349657</v>
      </c>
      <c r="G131" s="13">
        <v>0.0289728930799287</v>
      </c>
      <c r="H131" s="13">
        <v>0.0314027217854257</v>
      </c>
      <c r="I131" s="13">
        <v>0.0306312974934102</v>
      </c>
      <c r="J131" s="13">
        <v>0.0213147568826978</v>
      </c>
      <c r="K131" s="13">
        <v>0.0199714646527651</v>
      </c>
      <c r="L131" s="13">
        <v>0.0191237449352174</v>
      </c>
      <c r="M131" s="13">
        <v>0.0234177243803138</v>
      </c>
      <c r="N131" s="13">
        <v>0.0258453258511334</v>
      </c>
      <c r="O131" s="13">
        <v>0.0242920246799741</v>
      </c>
      <c r="P131" s="13">
        <v>0.0270922965463087</v>
      </c>
      <c r="Q131" s="13">
        <v>0.024381377447353</v>
      </c>
      <c r="R131" s="13">
        <v>0.0285207138194658</v>
      </c>
      <c r="S131" s="13">
        <v>0.0268039092207099</v>
      </c>
      <c r="T131" s="13">
        <v>0.0312169516753733</v>
      </c>
      <c r="U131" s="13">
        <v>0.030515050117732</v>
      </c>
      <c r="V131" s="13">
        <v>0.0323523899925045</v>
      </c>
      <c r="W131" s="13">
        <v>0.0294456531987657</v>
      </c>
      <c r="X131" s="13">
        <v>0.0362395914985313</v>
      </c>
      <c r="Y131" s="13">
        <v>0.0309849842971797</v>
      </c>
      <c r="Z131" s="13">
        <v>0.045424216960324</v>
      </c>
      <c r="AA131" s="13">
        <v>0.0542031106781414</v>
      </c>
      <c r="AB131" s="13">
        <v>0.0439765274135614</v>
      </c>
      <c r="AC131" s="13">
        <v>0.0556268573538329</v>
      </c>
      <c r="AD131" s="13">
        <v>0</v>
      </c>
      <c r="AE131" s="13">
        <v>0.0391811517159652</v>
      </c>
      <c r="AF131" s="13">
        <v>0.0493892952166361</v>
      </c>
      <c r="AG131" s="13">
        <v>0.0547220959625224</v>
      </c>
      <c r="AH131" s="13">
        <v>0.039882634650086</v>
      </c>
      <c r="AI131" s="13">
        <v>0.0424969255384154</v>
      </c>
    </row>
    <row r="132" spans="4:35">
      <c r="D132" s="13" t="s">
        <v>26</v>
      </c>
      <c r="E132" s="13">
        <v>0.0316883983254687</v>
      </c>
      <c r="F132" s="13">
        <v>0.0307702283220087</v>
      </c>
      <c r="G132" s="13">
        <v>0.0429330610805598</v>
      </c>
      <c r="H132" s="13">
        <v>0.0568892771577039</v>
      </c>
      <c r="I132" s="13">
        <v>0.0385666085837339</v>
      </c>
      <c r="J132" s="13">
        <v>0.0188931376561763</v>
      </c>
      <c r="K132" s="13">
        <v>0.0162236413683369</v>
      </c>
      <c r="L132" s="13">
        <v>0.014646852091444</v>
      </c>
      <c r="M132" s="13">
        <v>0.0232382096424084</v>
      </c>
      <c r="N132" s="13">
        <v>0.030215486841526</v>
      </c>
      <c r="O132" s="13">
        <v>0.0245105694790312</v>
      </c>
      <c r="P132" s="13">
        <v>0.033594615877588</v>
      </c>
      <c r="Q132" s="13">
        <v>0.0211126129352181</v>
      </c>
      <c r="R132" s="13">
        <v>0.0311566407622668</v>
      </c>
      <c r="S132" s="13">
        <v>0.0357411192640972</v>
      </c>
      <c r="T132" s="13">
        <v>0.0646159676270314</v>
      </c>
      <c r="U132" s="13">
        <v>0.0424888509827051</v>
      </c>
      <c r="V132" s="13">
        <v>0.037140790623303</v>
      </c>
      <c r="W132" s="13">
        <v>0.0219211811334018</v>
      </c>
      <c r="X132" s="13">
        <v>0.0220979880180337</v>
      </c>
      <c r="Y132" s="13">
        <v>0.0181692154387841</v>
      </c>
      <c r="Z132" s="13">
        <v>0.0528131929876439</v>
      </c>
      <c r="AA132" s="13">
        <v>0.0481010538279442</v>
      </c>
      <c r="AB132" s="13">
        <v>0.0321559051819124</v>
      </c>
      <c r="AC132" s="13">
        <v>0.0244387396939446</v>
      </c>
      <c r="AD132" s="13">
        <v>0.0165985929955452</v>
      </c>
      <c r="AE132" s="13">
        <v>0</v>
      </c>
      <c r="AF132" s="13">
        <v>0.0569037135713406</v>
      </c>
      <c r="AG132" s="13">
        <v>0.0417243014670374</v>
      </c>
      <c r="AH132" s="13">
        <v>0.056958669784164</v>
      </c>
      <c r="AI132" s="13">
        <v>0.0136913772796408</v>
      </c>
    </row>
    <row r="133" spans="4:35">
      <c r="D133" s="13" t="s">
        <v>27</v>
      </c>
      <c r="E133" s="13">
        <v>0.026394078573229</v>
      </c>
      <c r="F133" s="13">
        <v>0.0251148987110691</v>
      </c>
      <c r="G133" s="13">
        <v>0.0318018889787577</v>
      </c>
      <c r="H133" s="13">
        <v>0.0389173517474945</v>
      </c>
      <c r="I133" s="13">
        <v>0.0368480153830636</v>
      </c>
      <c r="J133" s="13">
        <v>0.0172529282916935</v>
      </c>
      <c r="K133" s="13">
        <v>0.0154356077552718</v>
      </c>
      <c r="L133" s="13">
        <v>0.0143305645212244</v>
      </c>
      <c r="M133" s="13">
        <v>0.0180375286001616</v>
      </c>
      <c r="N133" s="13">
        <v>0.0215985738941029</v>
      </c>
      <c r="O133" s="13">
        <v>0.0186469424011827</v>
      </c>
      <c r="P133" s="13">
        <v>0.0230127481047691</v>
      </c>
      <c r="Q133" s="13">
        <v>0.0168235668865817</v>
      </c>
      <c r="R133" s="13">
        <v>0.0220918149434943</v>
      </c>
      <c r="S133" s="13">
        <v>0.0258176772055574</v>
      </c>
      <c r="T133" s="13">
        <v>0.0341490235810157</v>
      </c>
      <c r="U133" s="13">
        <v>0.0265746152570445</v>
      </c>
      <c r="V133" s="13">
        <v>0.025465450477865</v>
      </c>
      <c r="W133" s="13">
        <v>0.0182273875242058</v>
      </c>
      <c r="X133" s="13">
        <v>0.0198434383048042</v>
      </c>
      <c r="Y133" s="13">
        <v>0.0164644469566583</v>
      </c>
      <c r="Z133" s="13">
        <v>0.0405146434400099</v>
      </c>
      <c r="AA133" s="13">
        <v>0.0496523963991034</v>
      </c>
      <c r="AB133" s="13">
        <v>0.0280816291744192</v>
      </c>
      <c r="AC133" s="13">
        <v>0.0254446239646543</v>
      </c>
      <c r="AD133" s="13">
        <v>0.0227424801599775</v>
      </c>
      <c r="AE133" s="13">
        <v>0.0618516838154925</v>
      </c>
      <c r="AF133" s="13">
        <v>0</v>
      </c>
      <c r="AG133" s="13">
        <v>0.16792308002509</v>
      </c>
      <c r="AH133" s="13">
        <v>0.0914651275114797</v>
      </c>
      <c r="AI133" s="13">
        <v>0.0194757874105267</v>
      </c>
    </row>
    <row r="134" spans="4:35">
      <c r="D134" s="13" t="s">
        <v>28</v>
      </c>
      <c r="E134" s="13">
        <v>0.0261116322360084</v>
      </c>
      <c r="F134" s="13">
        <v>0.0248897330088822</v>
      </c>
      <c r="G134" s="13">
        <v>0.0304352403622774</v>
      </c>
      <c r="H134" s="13">
        <v>0.035976956706374</v>
      </c>
      <c r="I134" s="13">
        <v>0.0357981586712265</v>
      </c>
      <c r="J134" s="13">
        <v>0.0178376679148358</v>
      </c>
      <c r="K134" s="13">
        <v>0.0161713139999684</v>
      </c>
      <c r="L134" s="13">
        <v>0.015152416353949</v>
      </c>
      <c r="M134" s="13">
        <v>0.0182368440333239</v>
      </c>
      <c r="N134" s="13">
        <v>0.0214272647101679</v>
      </c>
      <c r="O134" s="13">
        <v>0.0188001844495149</v>
      </c>
      <c r="P134" s="13">
        <v>0.0226715031224507</v>
      </c>
      <c r="Q134" s="13">
        <v>0.017207809071129</v>
      </c>
      <c r="R134" s="13">
        <v>0.0220130439274805</v>
      </c>
      <c r="S134" s="13">
        <v>0.0252009154499395</v>
      </c>
      <c r="T134" s="13">
        <v>0.0317848815130785</v>
      </c>
      <c r="U134" s="13">
        <v>0.0258254100015217</v>
      </c>
      <c r="V134" s="13">
        <v>0.0251729782115853</v>
      </c>
      <c r="W134" s="13">
        <v>0.0188491509560171</v>
      </c>
      <c r="X134" s="13">
        <v>0.0208735230372523</v>
      </c>
      <c r="Y134" s="13">
        <v>0.0174208652762544</v>
      </c>
      <c r="Z134" s="13">
        <v>0.0392928617606166</v>
      </c>
      <c r="AA134" s="13">
        <v>0.0495309563459526</v>
      </c>
      <c r="AB134" s="13">
        <v>0.0289169022768603</v>
      </c>
      <c r="AC134" s="13">
        <v>0.0276648035934421</v>
      </c>
      <c r="AD134" s="13">
        <v>0.0282128111123593</v>
      </c>
      <c r="AE134" s="13">
        <v>0.0507783557936914</v>
      </c>
      <c r="AF134" s="13">
        <v>0.18801349975793</v>
      </c>
      <c r="AG134" s="13">
        <v>0</v>
      </c>
      <c r="AH134" s="13">
        <v>0.0753632475647165</v>
      </c>
      <c r="AI134" s="13">
        <v>0.0243690687811934</v>
      </c>
    </row>
    <row r="135" spans="4:35">
      <c r="D135" s="13" t="s">
        <v>29</v>
      </c>
      <c r="E135" s="13">
        <v>0.0369661545774715</v>
      </c>
      <c r="F135" s="13">
        <v>0.0341909663897807</v>
      </c>
      <c r="G135" s="13">
        <v>0.0458456637628555</v>
      </c>
      <c r="H135" s="13">
        <v>0.0596571853597084</v>
      </c>
      <c r="I135" s="13">
        <v>0.0635558363583598</v>
      </c>
      <c r="J135" s="13">
        <v>0.0217849598217257</v>
      </c>
      <c r="K135" s="13">
        <v>0.0192214429115046</v>
      </c>
      <c r="L135" s="13">
        <v>0.0176826157265509</v>
      </c>
      <c r="M135" s="13">
        <v>0.0205188911356141</v>
      </c>
      <c r="N135" s="13">
        <v>0.024841617020171</v>
      </c>
      <c r="O135" s="13">
        <v>0.020871052828964</v>
      </c>
      <c r="P135" s="13">
        <v>0.0260753949413616</v>
      </c>
      <c r="Q135" s="13">
        <v>0.0178803430406809</v>
      </c>
      <c r="R135" s="13">
        <v>0.0233170627651932</v>
      </c>
      <c r="S135" s="13">
        <v>0.0333136182943706</v>
      </c>
      <c r="T135" s="13">
        <v>0.0421800485315402</v>
      </c>
      <c r="U135" s="13">
        <v>0.0284770338252901</v>
      </c>
      <c r="V135" s="13">
        <v>0.0255764262406484</v>
      </c>
      <c r="W135" s="13">
        <v>0.017991833684387</v>
      </c>
      <c r="X135" s="13">
        <v>0.0184833803901875</v>
      </c>
      <c r="Y135" s="13">
        <v>0.0158008978475067</v>
      </c>
      <c r="Z135" s="13">
        <v>0.0338049065917074</v>
      </c>
      <c r="AA135" s="13">
        <v>0.0364218389599599</v>
      </c>
      <c r="AB135" s="13">
        <v>0.0246283346107767</v>
      </c>
      <c r="AC135" s="13">
        <v>0.0215832086311046</v>
      </c>
      <c r="AD135" s="13">
        <v>0.0191963474910666</v>
      </c>
      <c r="AE135" s="13">
        <v>0.064714339476358</v>
      </c>
      <c r="AF135" s="13">
        <v>0.095606035856479</v>
      </c>
      <c r="AG135" s="13">
        <v>0.0703575535312526</v>
      </c>
      <c r="AH135" s="13">
        <v>0</v>
      </c>
      <c r="AI135" s="13">
        <v>0.0194550093974231</v>
      </c>
    </row>
    <row r="136" spans="4:35">
      <c r="D136" s="13" t="s">
        <v>30</v>
      </c>
      <c r="E136" s="13">
        <v>0.0335256766878345</v>
      </c>
      <c r="F136" s="13">
        <v>0.0323099953776949</v>
      </c>
      <c r="G136" s="13">
        <v>0.0348709843877208</v>
      </c>
      <c r="H136" s="13">
        <v>0.037020793533933</v>
      </c>
      <c r="I136" s="13">
        <v>0.0405833400804049</v>
      </c>
      <c r="J136" s="13">
        <v>0.0278254092680483</v>
      </c>
      <c r="K136" s="13">
        <v>0.0269471638124035</v>
      </c>
      <c r="L136" s="13">
        <v>0.0265202785730982</v>
      </c>
      <c r="M136" s="13">
        <v>0.0249316758868696</v>
      </c>
      <c r="N136" s="13">
        <v>0.0272426578918118</v>
      </c>
      <c r="O136" s="13">
        <v>0.0251620470328151</v>
      </c>
      <c r="P136" s="13">
        <v>0.0278752009562974</v>
      </c>
      <c r="Q136" s="13">
        <v>0.0235657080831381</v>
      </c>
      <c r="R136" s="13">
        <v>0.0270162529106016</v>
      </c>
      <c r="S136" s="13">
        <v>0.0309884337426291</v>
      </c>
      <c r="T136" s="13">
        <v>0.0332658028349621</v>
      </c>
      <c r="U136" s="13">
        <v>0.0293729184603088</v>
      </c>
      <c r="V136" s="13">
        <v>0.0288597762883328</v>
      </c>
      <c r="W136" s="13">
        <v>0.0249109021979177</v>
      </c>
      <c r="X136" s="13">
        <v>0.0270126515558427</v>
      </c>
      <c r="Y136" s="13">
        <v>0.0242530971514933</v>
      </c>
      <c r="Z136" s="13">
        <v>0.0355225724481182</v>
      </c>
      <c r="AA136" s="13">
        <v>0.0394319476804659</v>
      </c>
      <c r="AB136" s="13">
        <v>0.0317943982209014</v>
      </c>
      <c r="AC136" s="13">
        <v>0.0331005646469412</v>
      </c>
      <c r="AD136" s="13">
        <v>0.051065384144884</v>
      </c>
      <c r="AE136" s="13">
        <v>0.0388348964238711</v>
      </c>
      <c r="AF136" s="13">
        <v>0.0508228623591037</v>
      </c>
      <c r="AG136" s="13">
        <v>0.0567968679389752</v>
      </c>
      <c r="AH136" s="13">
        <v>0.0485697394225809</v>
      </c>
      <c r="AI136" s="13">
        <v>0</v>
      </c>
    </row>
    <row r="139" spans="5:66">
      <c r="E139" s="13" t="s">
        <v>0</v>
      </c>
      <c r="F139" s="13" t="s">
        <v>1</v>
      </c>
      <c r="G139" s="13" t="s">
        <v>2</v>
      </c>
      <c r="H139" s="13" t="s">
        <v>3</v>
      </c>
      <c r="I139" s="13" t="s">
        <v>4</v>
      </c>
      <c r="J139" s="13" t="s">
        <v>5</v>
      </c>
      <c r="K139" s="13" t="s">
        <v>6</v>
      </c>
      <c r="L139" s="13" t="s">
        <v>7</v>
      </c>
      <c r="M139" s="13" t="s">
        <v>8</v>
      </c>
      <c r="N139" s="13" t="s">
        <v>9</v>
      </c>
      <c r="O139" s="13" t="s">
        <v>10</v>
      </c>
      <c r="P139" s="13" t="s">
        <v>11</v>
      </c>
      <c r="Q139" s="13" t="s">
        <v>12</v>
      </c>
      <c r="R139" s="13" t="s">
        <v>13</v>
      </c>
      <c r="S139" s="13" t="s">
        <v>14</v>
      </c>
      <c r="T139" s="13" t="s">
        <v>15</v>
      </c>
      <c r="U139" s="13" t="s">
        <v>16</v>
      </c>
      <c r="V139" s="13" t="s">
        <v>17</v>
      </c>
      <c r="W139" s="13" t="s">
        <v>18</v>
      </c>
      <c r="X139" s="13" t="s">
        <v>19</v>
      </c>
      <c r="Y139" s="13" t="s">
        <v>20</v>
      </c>
      <c r="Z139" s="13" t="s">
        <v>21</v>
      </c>
      <c r="AA139" s="13" t="s">
        <v>22</v>
      </c>
      <c r="AB139" s="13" t="s">
        <v>23</v>
      </c>
      <c r="AC139" s="13" t="s">
        <v>24</v>
      </c>
      <c r="AD139" s="13" t="s">
        <v>25</v>
      </c>
      <c r="AE139" s="13" t="s">
        <v>26</v>
      </c>
      <c r="AF139" s="13" t="s">
        <v>27</v>
      </c>
      <c r="AG139" s="13" t="s">
        <v>28</v>
      </c>
      <c r="AH139" s="13" t="s">
        <v>29</v>
      </c>
      <c r="AI139" s="13" t="s">
        <v>30</v>
      </c>
      <c r="AJ139">
        <v>1</v>
      </c>
      <c r="AK139">
        <v>2</v>
      </c>
      <c r="AL139">
        <v>3</v>
      </c>
      <c r="AM139">
        <v>4</v>
      </c>
      <c r="AN139">
        <v>5</v>
      </c>
      <c r="AO139">
        <v>6</v>
      </c>
      <c r="AP139">
        <v>7</v>
      </c>
      <c r="AQ139">
        <v>8</v>
      </c>
      <c r="AR139">
        <v>9</v>
      </c>
      <c r="AS139">
        <v>10</v>
      </c>
      <c r="AT139">
        <v>11</v>
      </c>
      <c r="AU139">
        <v>12</v>
      </c>
      <c r="AV139">
        <v>13</v>
      </c>
      <c r="AW139">
        <v>14</v>
      </c>
      <c r="AX139">
        <v>15</v>
      </c>
      <c r="AY139">
        <v>16</v>
      </c>
      <c r="AZ139">
        <v>17</v>
      </c>
      <c r="BA139">
        <v>18</v>
      </c>
      <c r="BB139">
        <v>19</v>
      </c>
      <c r="BC139">
        <v>20</v>
      </c>
      <c r="BD139">
        <v>21</v>
      </c>
      <c r="BE139">
        <v>22</v>
      </c>
      <c r="BF139">
        <v>23</v>
      </c>
      <c r="BG139">
        <v>24</v>
      </c>
      <c r="BH139">
        <v>25</v>
      </c>
      <c r="BI139">
        <v>26</v>
      </c>
      <c r="BJ139">
        <v>27</v>
      </c>
      <c r="BK139">
        <v>28</v>
      </c>
      <c r="BL139">
        <v>29</v>
      </c>
      <c r="BM139">
        <v>30</v>
      </c>
      <c r="BN139">
        <v>31</v>
      </c>
    </row>
    <row r="140" spans="3:66">
      <c r="C140" s="13" t="s">
        <v>45</v>
      </c>
      <c r="D140" s="13" t="s">
        <v>0</v>
      </c>
      <c r="E140" s="13">
        <f>E70*E106</f>
        <v>0</v>
      </c>
      <c r="F140" s="13">
        <f>F70*F106</f>
        <v>0.0162523443939715</v>
      </c>
      <c r="G140" s="13">
        <f t="shared" ref="F140:AI140" si="98">G70*G106</f>
        <v>0.00264841994904442</v>
      </c>
      <c r="H140" s="13">
        <f t="shared" si="98"/>
        <v>0.00139209635849273</v>
      </c>
      <c r="I140" s="13">
        <f t="shared" si="98"/>
        <v>0.00224345913576154</v>
      </c>
      <c r="J140" s="13">
        <f t="shared" si="98"/>
        <v>0.00138075628405991</v>
      </c>
      <c r="K140" s="13">
        <f t="shared" si="98"/>
        <v>0.000810701005214849</v>
      </c>
      <c r="L140" s="13">
        <f t="shared" si="98"/>
        <v>0.000565736296678746</v>
      </c>
      <c r="M140" s="13">
        <f t="shared" si="98"/>
        <v>0.00180258077808951</v>
      </c>
      <c r="N140" s="13">
        <f t="shared" si="98"/>
        <v>0.00153036234472962</v>
      </c>
      <c r="O140" s="13">
        <f t="shared" si="98"/>
        <v>0.00110727706897502</v>
      </c>
      <c r="P140" s="13">
        <f t="shared" si="98"/>
        <v>0.000617263727469401</v>
      </c>
      <c r="Q140" s="13">
        <f t="shared" si="98"/>
        <v>0.000688536555464879</v>
      </c>
      <c r="R140" s="13">
        <f t="shared" si="98"/>
        <v>0.0004411601658002</v>
      </c>
      <c r="S140" s="13">
        <f t="shared" si="98"/>
        <v>0.00263363672304316</v>
      </c>
      <c r="T140" s="13">
        <f t="shared" si="98"/>
        <v>0.000961644724216981</v>
      </c>
      <c r="U140" s="13">
        <f t="shared" si="98"/>
        <v>0.000715431147127427</v>
      </c>
      <c r="V140" s="13">
        <f t="shared" si="98"/>
        <v>0.000473511560727249</v>
      </c>
      <c r="W140" s="13">
        <f t="shared" si="98"/>
        <v>0.000575339997835228</v>
      </c>
      <c r="X140" s="13">
        <f t="shared" si="98"/>
        <v>0.000242271804332566</v>
      </c>
      <c r="Y140" s="13">
        <f t="shared" si="98"/>
        <v>0.000269404040759971</v>
      </c>
      <c r="Z140" s="13">
        <f t="shared" si="98"/>
        <v>0.000522946748774038</v>
      </c>
      <c r="AA140" s="13">
        <f t="shared" si="98"/>
        <v>0.000369616782257234</v>
      </c>
      <c r="AB140" s="13">
        <f t="shared" si="98"/>
        <v>0.000237627578215911</v>
      </c>
      <c r="AC140" s="13">
        <f t="shared" si="98"/>
        <v>0.000216309721602022</v>
      </c>
      <c r="AD140" s="13">
        <f t="shared" si="98"/>
        <v>0.000190337499948542</v>
      </c>
      <c r="AE140" s="13">
        <f t="shared" si="98"/>
        <v>0.00075693600825175</v>
      </c>
      <c r="AF140" s="13">
        <f t="shared" si="98"/>
        <v>0.000328194935357898</v>
      </c>
      <c r="AG140" s="13">
        <f t="shared" si="98"/>
        <v>0.000431988338748675</v>
      </c>
      <c r="AH140" s="13">
        <f t="shared" si="98"/>
        <v>0.000707392930964191</v>
      </c>
      <c r="AI140" s="13">
        <f t="shared" si="98"/>
        <v>0.000252753437342652</v>
      </c>
      <c r="AJ140" s="13">
        <f>SUM(E140:AI140)</f>
        <v>0.0413660380432578</v>
      </c>
      <c r="AK140" s="13">
        <f>$AJ140</f>
        <v>0.0413660380432578</v>
      </c>
      <c r="AL140" s="13">
        <f t="shared" ref="AL140:BN148" si="99">$AJ140</f>
        <v>0.0413660380432578</v>
      </c>
      <c r="AM140" s="13">
        <f t="shared" si="99"/>
        <v>0.0413660380432578</v>
      </c>
      <c r="AN140" s="13">
        <f t="shared" si="99"/>
        <v>0.0413660380432578</v>
      </c>
      <c r="AO140" s="13">
        <f t="shared" si="99"/>
        <v>0.0413660380432578</v>
      </c>
      <c r="AP140" s="13">
        <f t="shared" si="99"/>
        <v>0.0413660380432578</v>
      </c>
      <c r="AQ140" s="13">
        <f t="shared" si="99"/>
        <v>0.0413660380432578</v>
      </c>
      <c r="AR140" s="13">
        <f t="shared" si="99"/>
        <v>0.0413660380432578</v>
      </c>
      <c r="AS140" s="13">
        <f t="shared" si="99"/>
        <v>0.0413660380432578</v>
      </c>
      <c r="AT140" s="13">
        <f t="shared" si="99"/>
        <v>0.0413660380432578</v>
      </c>
      <c r="AU140" s="13">
        <f t="shared" si="99"/>
        <v>0.0413660380432578</v>
      </c>
      <c r="AV140" s="13">
        <f t="shared" si="99"/>
        <v>0.0413660380432578</v>
      </c>
      <c r="AW140" s="13">
        <f t="shared" si="99"/>
        <v>0.0413660380432578</v>
      </c>
      <c r="AX140" s="13">
        <f t="shared" si="99"/>
        <v>0.0413660380432578</v>
      </c>
      <c r="AY140" s="13">
        <f t="shared" si="99"/>
        <v>0.0413660380432578</v>
      </c>
      <c r="AZ140" s="13">
        <f t="shared" si="99"/>
        <v>0.0413660380432578</v>
      </c>
      <c r="BA140" s="13">
        <f t="shared" si="99"/>
        <v>0.0413660380432578</v>
      </c>
      <c r="BB140" s="13">
        <f t="shared" si="99"/>
        <v>0.0413660380432578</v>
      </c>
      <c r="BC140" s="13">
        <f t="shared" si="99"/>
        <v>0.0413660380432578</v>
      </c>
      <c r="BD140" s="13">
        <f t="shared" si="99"/>
        <v>0.0413660380432578</v>
      </c>
      <c r="BE140" s="13">
        <f t="shared" si="99"/>
        <v>0.0413660380432578</v>
      </c>
      <c r="BF140" s="13">
        <f t="shared" si="99"/>
        <v>0.0413660380432578</v>
      </c>
      <c r="BG140" s="13">
        <f t="shared" si="99"/>
        <v>0.0413660380432578</v>
      </c>
      <c r="BH140" s="13">
        <f t="shared" si="99"/>
        <v>0.0413660380432578</v>
      </c>
      <c r="BI140" s="13">
        <f t="shared" si="99"/>
        <v>0.0413660380432578</v>
      </c>
      <c r="BJ140" s="13">
        <f t="shared" si="99"/>
        <v>0.0413660380432578</v>
      </c>
      <c r="BK140" s="13">
        <f t="shared" si="99"/>
        <v>0.0413660380432578</v>
      </c>
      <c r="BL140" s="13">
        <f t="shared" si="99"/>
        <v>0.0413660380432578</v>
      </c>
      <c r="BM140" s="13">
        <f t="shared" si="99"/>
        <v>0.0413660380432578</v>
      </c>
      <c r="BN140" s="13">
        <f t="shared" si="99"/>
        <v>0.0413660380432578</v>
      </c>
    </row>
    <row r="141" spans="4:66">
      <c r="D141" s="13" t="s">
        <v>1</v>
      </c>
      <c r="E141" s="13">
        <f>E71*E107</f>
        <v>0.0185544562627514</v>
      </c>
      <c r="F141" s="13">
        <f t="shared" ref="E141:AI141" si="100">F71*F107</f>
        <v>0</v>
      </c>
      <c r="G141" s="13">
        <f t="shared" si="100"/>
        <v>0.00232922889933945</v>
      </c>
      <c r="H141" s="13">
        <f t="shared" si="100"/>
        <v>0.00124852296860993</v>
      </c>
      <c r="I141" s="13">
        <f t="shared" si="100"/>
        <v>0.00183186621940616</v>
      </c>
      <c r="J141" s="13">
        <f t="shared" si="100"/>
        <v>0.00146619866598015</v>
      </c>
      <c r="K141" s="13">
        <f t="shared" si="100"/>
        <v>0.000827563670624228</v>
      </c>
      <c r="L141" s="13">
        <f t="shared" si="100"/>
        <v>0.000567623652209791</v>
      </c>
      <c r="M141" s="13">
        <f t="shared" si="100"/>
        <v>0.00194649372267458</v>
      </c>
      <c r="N141" s="13">
        <f t="shared" si="100"/>
        <v>0.00165642519808275</v>
      </c>
      <c r="O141" s="13">
        <f t="shared" si="100"/>
        <v>0.00118189528896465</v>
      </c>
      <c r="P141" s="13">
        <f t="shared" si="100"/>
        <v>0.000657369698671352</v>
      </c>
      <c r="Q141" s="13">
        <f t="shared" si="100"/>
        <v>0.000715089764500197</v>
      </c>
      <c r="R141" s="13">
        <f t="shared" si="100"/>
        <v>0.0004558842265354</v>
      </c>
      <c r="S141" s="13">
        <f t="shared" si="100"/>
        <v>0.00318984414916125</v>
      </c>
      <c r="T141" s="13">
        <f t="shared" si="100"/>
        <v>0.000974173142580763</v>
      </c>
      <c r="U141" s="13">
        <f t="shared" si="100"/>
        <v>0.000736288943453894</v>
      </c>
      <c r="V141" s="13">
        <f t="shared" si="100"/>
        <v>0.00048079109346537</v>
      </c>
      <c r="W141" s="13">
        <f t="shared" si="100"/>
        <v>0.000583157292388398</v>
      </c>
      <c r="X141" s="13">
        <f t="shared" si="100"/>
        <v>0.000242316316502916</v>
      </c>
      <c r="Y141" s="13">
        <f t="shared" si="100"/>
        <v>0.000270727932936396</v>
      </c>
      <c r="Z141" s="13">
        <f t="shared" si="100"/>
        <v>0.00051432050061316</v>
      </c>
      <c r="AA141" s="13">
        <f t="shared" si="100"/>
        <v>0.000359981012424127</v>
      </c>
      <c r="AB141" s="13">
        <f t="shared" si="100"/>
        <v>0.000235618464003489</v>
      </c>
      <c r="AC141" s="13">
        <f t="shared" si="100"/>
        <v>0.000213105544194244</v>
      </c>
      <c r="AD141" s="13">
        <f t="shared" si="100"/>
        <v>0.000184541454391054</v>
      </c>
      <c r="AE141" s="13">
        <f t="shared" si="100"/>
        <v>0.000727894313078275</v>
      </c>
      <c r="AF141" s="13">
        <f t="shared" si="100"/>
        <v>0.000309268388255856</v>
      </c>
      <c r="AG141" s="13">
        <f t="shared" si="100"/>
        <v>0.000407790375497853</v>
      </c>
      <c r="AH141" s="13">
        <f t="shared" si="100"/>
        <v>0.000647957538430195</v>
      </c>
      <c r="AI141" s="13">
        <f t="shared" si="100"/>
        <v>0.000241232126036705</v>
      </c>
      <c r="AJ141" s="13">
        <f t="shared" ref="AJ141:AJ170" si="101">SUM(E141:AI141)</f>
        <v>0.043757626825764</v>
      </c>
      <c r="AK141" s="13">
        <f t="shared" ref="AK141:AZ164" si="102">$AJ141</f>
        <v>0.043757626825764</v>
      </c>
      <c r="AL141" s="13">
        <f t="shared" si="99"/>
        <v>0.043757626825764</v>
      </c>
      <c r="AM141" s="13">
        <f t="shared" si="99"/>
        <v>0.043757626825764</v>
      </c>
      <c r="AN141" s="13">
        <f t="shared" si="99"/>
        <v>0.043757626825764</v>
      </c>
      <c r="AO141" s="13">
        <f t="shared" si="99"/>
        <v>0.043757626825764</v>
      </c>
      <c r="AP141" s="13">
        <f t="shared" si="99"/>
        <v>0.043757626825764</v>
      </c>
      <c r="AQ141" s="13">
        <f t="shared" si="99"/>
        <v>0.043757626825764</v>
      </c>
      <c r="AR141" s="13">
        <f t="shared" si="99"/>
        <v>0.043757626825764</v>
      </c>
      <c r="AS141" s="13">
        <f t="shared" si="99"/>
        <v>0.043757626825764</v>
      </c>
      <c r="AT141" s="13">
        <f t="shared" si="99"/>
        <v>0.043757626825764</v>
      </c>
      <c r="AU141" s="13">
        <f t="shared" si="99"/>
        <v>0.043757626825764</v>
      </c>
      <c r="AV141" s="13">
        <f t="shared" si="99"/>
        <v>0.043757626825764</v>
      </c>
      <c r="AW141" s="13">
        <f t="shared" si="99"/>
        <v>0.043757626825764</v>
      </c>
      <c r="AX141" s="13">
        <f t="shared" si="99"/>
        <v>0.043757626825764</v>
      </c>
      <c r="AY141" s="13">
        <f t="shared" si="99"/>
        <v>0.043757626825764</v>
      </c>
      <c r="AZ141" s="13">
        <f t="shared" si="99"/>
        <v>0.043757626825764</v>
      </c>
      <c r="BA141" s="13">
        <f t="shared" si="99"/>
        <v>0.043757626825764</v>
      </c>
      <c r="BB141" s="13">
        <f t="shared" si="99"/>
        <v>0.043757626825764</v>
      </c>
      <c r="BC141" s="13">
        <f t="shared" si="99"/>
        <v>0.043757626825764</v>
      </c>
      <c r="BD141" s="13">
        <f t="shared" si="99"/>
        <v>0.043757626825764</v>
      </c>
      <c r="BE141" s="13">
        <f t="shared" si="99"/>
        <v>0.043757626825764</v>
      </c>
      <c r="BF141" s="13">
        <f t="shared" si="99"/>
        <v>0.043757626825764</v>
      </c>
      <c r="BG141" s="13">
        <f t="shared" si="99"/>
        <v>0.043757626825764</v>
      </c>
      <c r="BH141" s="13">
        <f t="shared" si="99"/>
        <v>0.043757626825764</v>
      </c>
      <c r="BI141" s="13">
        <f t="shared" si="99"/>
        <v>0.043757626825764</v>
      </c>
      <c r="BJ141" s="13">
        <f t="shared" si="99"/>
        <v>0.043757626825764</v>
      </c>
      <c r="BK141" s="13">
        <f t="shared" si="99"/>
        <v>0.043757626825764</v>
      </c>
      <c r="BL141" s="13">
        <f t="shared" si="99"/>
        <v>0.043757626825764</v>
      </c>
      <c r="BM141" s="13">
        <f t="shared" si="99"/>
        <v>0.043757626825764</v>
      </c>
      <c r="BN141" s="13">
        <f t="shared" si="99"/>
        <v>0.043757626825764</v>
      </c>
    </row>
    <row r="142" spans="4:66">
      <c r="D142" s="13" t="s">
        <v>2</v>
      </c>
      <c r="E142" s="13">
        <f t="shared" ref="E142:AI142" si="103">E72*E108</f>
        <v>0.00718429008178458</v>
      </c>
      <c r="F142" s="13">
        <f t="shared" si="103"/>
        <v>0.00553448180126803</v>
      </c>
      <c r="G142" s="13">
        <f t="shared" si="103"/>
        <v>0</v>
      </c>
      <c r="H142" s="13">
        <f t="shared" si="103"/>
        <v>0.00298796477055363</v>
      </c>
      <c r="I142" s="13">
        <f t="shared" si="103"/>
        <v>0.00245918821703007</v>
      </c>
      <c r="J142" s="13">
        <f t="shared" si="103"/>
        <v>0.000971486453761584</v>
      </c>
      <c r="K142" s="13">
        <f t="shared" si="103"/>
        <v>0.000609094324951989</v>
      </c>
      <c r="L142" s="13">
        <f t="shared" si="103"/>
        <v>0.000440925560076583</v>
      </c>
      <c r="M142" s="13">
        <f t="shared" si="103"/>
        <v>0.00179910140218998</v>
      </c>
      <c r="N142" s="13">
        <f t="shared" si="103"/>
        <v>0.00164163297931924</v>
      </c>
      <c r="O142" s="13">
        <f t="shared" si="103"/>
        <v>0.00113882444918036</v>
      </c>
      <c r="P142" s="13">
        <f t="shared" si="103"/>
        <v>0.000688283787336815</v>
      </c>
      <c r="Q142" s="13">
        <f t="shared" si="103"/>
        <v>0.000713326426151377</v>
      </c>
      <c r="R142" s="13">
        <f t="shared" si="103"/>
        <v>0.000486493164346231</v>
      </c>
      <c r="S142" s="13">
        <f t="shared" si="103"/>
        <v>0.00299807289500072</v>
      </c>
      <c r="T142" s="13">
        <f t="shared" si="103"/>
        <v>0.00140946659075726</v>
      </c>
      <c r="U142" s="13">
        <f t="shared" si="103"/>
        <v>0.000833861261772452</v>
      </c>
      <c r="V142" s="13">
        <f t="shared" si="103"/>
        <v>0.000534894152149536</v>
      </c>
      <c r="W142" s="13">
        <f t="shared" si="103"/>
        <v>0.000612526382494606</v>
      </c>
      <c r="X142" s="13">
        <f t="shared" si="103"/>
        <v>0.000259647281609237</v>
      </c>
      <c r="Y142" s="13">
        <f t="shared" si="103"/>
        <v>0.000283589899718578</v>
      </c>
      <c r="Z142" s="13">
        <f t="shared" si="103"/>
        <v>0.000600954581058933</v>
      </c>
      <c r="AA142" s="13">
        <f t="shared" si="103"/>
        <v>0.000419562028601208</v>
      </c>
      <c r="AB142" s="13">
        <f t="shared" si="103"/>
        <v>0.000262797579071607</v>
      </c>
      <c r="AC142" s="13">
        <f t="shared" si="103"/>
        <v>0.000233778538214077</v>
      </c>
      <c r="AD142" s="13">
        <f t="shared" si="103"/>
        <v>0.000198408594062657</v>
      </c>
      <c r="AE142" s="13">
        <f t="shared" si="103"/>
        <v>0.000980171887324695</v>
      </c>
      <c r="AF142" s="13">
        <f t="shared" si="103"/>
        <v>0.000377946038482512</v>
      </c>
      <c r="AG142" s="13">
        <f t="shared" si="103"/>
        <v>0.000481245021646614</v>
      </c>
      <c r="AH142" s="13">
        <f t="shared" si="103"/>
        <v>0.000838506080157788</v>
      </c>
      <c r="AI142" s="13">
        <f t="shared" si="103"/>
        <v>0.000251266873753044</v>
      </c>
      <c r="AJ142" s="13">
        <f t="shared" si="101"/>
        <v>0.038231789103826</v>
      </c>
      <c r="AK142" s="13">
        <f t="shared" si="102"/>
        <v>0.038231789103826</v>
      </c>
      <c r="AL142" s="13">
        <f t="shared" si="99"/>
        <v>0.038231789103826</v>
      </c>
      <c r="AM142" s="13">
        <f t="shared" si="99"/>
        <v>0.038231789103826</v>
      </c>
      <c r="AN142" s="13">
        <f t="shared" si="99"/>
        <v>0.038231789103826</v>
      </c>
      <c r="AO142" s="13">
        <f t="shared" si="99"/>
        <v>0.038231789103826</v>
      </c>
      <c r="AP142" s="13">
        <f t="shared" si="99"/>
        <v>0.038231789103826</v>
      </c>
      <c r="AQ142" s="13">
        <f t="shared" si="99"/>
        <v>0.038231789103826</v>
      </c>
      <c r="AR142" s="13">
        <f t="shared" si="99"/>
        <v>0.038231789103826</v>
      </c>
      <c r="AS142" s="13">
        <f t="shared" si="99"/>
        <v>0.038231789103826</v>
      </c>
      <c r="AT142" s="13">
        <f t="shared" si="99"/>
        <v>0.038231789103826</v>
      </c>
      <c r="AU142" s="13">
        <f t="shared" si="99"/>
        <v>0.038231789103826</v>
      </c>
      <c r="AV142" s="13">
        <f t="shared" si="99"/>
        <v>0.038231789103826</v>
      </c>
      <c r="AW142" s="13">
        <f t="shared" si="99"/>
        <v>0.038231789103826</v>
      </c>
      <c r="AX142" s="13">
        <f t="shared" si="99"/>
        <v>0.038231789103826</v>
      </c>
      <c r="AY142" s="13">
        <f t="shared" si="99"/>
        <v>0.038231789103826</v>
      </c>
      <c r="AZ142" s="13">
        <f t="shared" si="99"/>
        <v>0.038231789103826</v>
      </c>
      <c r="BA142" s="13">
        <f t="shared" si="99"/>
        <v>0.038231789103826</v>
      </c>
      <c r="BB142" s="13">
        <f t="shared" si="99"/>
        <v>0.038231789103826</v>
      </c>
      <c r="BC142" s="13">
        <f t="shared" si="99"/>
        <v>0.038231789103826</v>
      </c>
      <c r="BD142" s="13">
        <f t="shared" si="99"/>
        <v>0.038231789103826</v>
      </c>
      <c r="BE142" s="13">
        <f t="shared" si="99"/>
        <v>0.038231789103826</v>
      </c>
      <c r="BF142" s="13">
        <f t="shared" si="99"/>
        <v>0.038231789103826</v>
      </c>
      <c r="BG142" s="13">
        <f t="shared" si="99"/>
        <v>0.038231789103826</v>
      </c>
      <c r="BH142" s="13">
        <f t="shared" si="99"/>
        <v>0.038231789103826</v>
      </c>
      <c r="BI142" s="13">
        <f t="shared" si="99"/>
        <v>0.038231789103826</v>
      </c>
      <c r="BJ142" s="13">
        <f t="shared" si="99"/>
        <v>0.038231789103826</v>
      </c>
      <c r="BK142" s="13">
        <f t="shared" si="99"/>
        <v>0.038231789103826</v>
      </c>
      <c r="BL142" s="13">
        <f t="shared" si="99"/>
        <v>0.038231789103826</v>
      </c>
      <c r="BM142" s="13">
        <f t="shared" si="99"/>
        <v>0.038231789103826</v>
      </c>
      <c r="BN142" s="13">
        <f t="shared" si="99"/>
        <v>0.038231789103826</v>
      </c>
    </row>
    <row r="143" spans="4:66">
      <c r="D143" s="13" t="s">
        <v>3</v>
      </c>
      <c r="E143" s="13">
        <f t="shared" ref="E143:AI143" si="104">E73*E109</f>
        <v>0.00446580367816325</v>
      </c>
      <c r="F143" s="13">
        <f t="shared" si="104"/>
        <v>0.0035082832559819</v>
      </c>
      <c r="G143" s="13">
        <f t="shared" si="104"/>
        <v>0.00353353008395308</v>
      </c>
      <c r="H143" s="13">
        <f t="shared" si="104"/>
        <v>0</v>
      </c>
      <c r="I143" s="13">
        <f t="shared" si="104"/>
        <v>0.00285769048951592</v>
      </c>
      <c r="J143" s="13">
        <f t="shared" si="104"/>
        <v>0.000850867060243182</v>
      </c>
      <c r="K143" s="13">
        <f t="shared" si="104"/>
        <v>0.000557488057368808</v>
      </c>
      <c r="L143" s="13">
        <f t="shared" si="104"/>
        <v>0.000413820642213408</v>
      </c>
      <c r="M143" s="13">
        <f t="shared" si="104"/>
        <v>0.00174458345414494</v>
      </c>
      <c r="N143" s="13">
        <f t="shared" si="104"/>
        <v>0.00160287173952425</v>
      </c>
      <c r="O143" s="13">
        <f t="shared" si="104"/>
        <v>0.00113171154543106</v>
      </c>
      <c r="P143" s="13">
        <f t="shared" si="104"/>
        <v>0.000697005182182802</v>
      </c>
      <c r="Q143" s="13">
        <f t="shared" si="104"/>
        <v>0.000741812906598744</v>
      </c>
      <c r="R143" s="13">
        <f t="shared" si="104"/>
        <v>0.000522336574801657</v>
      </c>
      <c r="S143" s="13">
        <f t="shared" si="104"/>
        <v>0.00218764304551034</v>
      </c>
      <c r="T143" s="13">
        <f t="shared" si="104"/>
        <v>0.00169239301391437</v>
      </c>
      <c r="U143" s="13">
        <f t="shared" si="104"/>
        <v>0.000920168457024928</v>
      </c>
      <c r="V143" s="13">
        <f t="shared" si="104"/>
        <v>0.000600372999296104</v>
      </c>
      <c r="W143" s="13">
        <f t="shared" si="104"/>
        <v>0.000669839514584371</v>
      </c>
      <c r="X143" s="13">
        <f t="shared" si="104"/>
        <v>0.000290942288400549</v>
      </c>
      <c r="Y143" s="13">
        <f t="shared" si="104"/>
        <v>0.000312275270013951</v>
      </c>
      <c r="Z143" s="13">
        <f t="shared" si="104"/>
        <v>0.000724937719601185</v>
      </c>
      <c r="AA143" s="13">
        <f t="shared" si="104"/>
        <v>0.000510225127488043</v>
      </c>
      <c r="AB143" s="13">
        <f t="shared" si="104"/>
        <v>0.000304454583707693</v>
      </c>
      <c r="AC143" s="13">
        <f t="shared" si="104"/>
        <v>0.000269378582883089</v>
      </c>
      <c r="AD143" s="13">
        <f t="shared" si="104"/>
        <v>0.00022737560953343</v>
      </c>
      <c r="AE143" s="13">
        <f t="shared" si="104"/>
        <v>0.00137324735840668</v>
      </c>
      <c r="AF143" s="13">
        <f t="shared" si="104"/>
        <v>0.000489021697575732</v>
      </c>
      <c r="AG143" s="13">
        <f t="shared" si="104"/>
        <v>0.000601480990567011</v>
      </c>
      <c r="AH143" s="13">
        <f t="shared" si="104"/>
        <v>0.00115366224319886</v>
      </c>
      <c r="AI143" s="13">
        <f t="shared" si="104"/>
        <v>0.000282049101927605</v>
      </c>
      <c r="AJ143" s="13">
        <f t="shared" si="101"/>
        <v>0.035237272273757</v>
      </c>
      <c r="AK143" s="13">
        <f t="shared" si="102"/>
        <v>0.035237272273757</v>
      </c>
      <c r="AL143" s="13">
        <f t="shared" si="99"/>
        <v>0.035237272273757</v>
      </c>
      <c r="AM143" s="13">
        <f t="shared" si="99"/>
        <v>0.035237272273757</v>
      </c>
      <c r="AN143" s="13">
        <f t="shared" si="99"/>
        <v>0.035237272273757</v>
      </c>
      <c r="AO143" s="13">
        <f t="shared" si="99"/>
        <v>0.035237272273757</v>
      </c>
      <c r="AP143" s="13">
        <f t="shared" si="99"/>
        <v>0.035237272273757</v>
      </c>
      <c r="AQ143" s="13">
        <f t="shared" si="99"/>
        <v>0.035237272273757</v>
      </c>
      <c r="AR143" s="13">
        <f t="shared" si="99"/>
        <v>0.035237272273757</v>
      </c>
      <c r="AS143" s="13">
        <f t="shared" si="99"/>
        <v>0.035237272273757</v>
      </c>
      <c r="AT143" s="13">
        <f t="shared" si="99"/>
        <v>0.035237272273757</v>
      </c>
      <c r="AU143" s="13">
        <f t="shared" si="99"/>
        <v>0.035237272273757</v>
      </c>
      <c r="AV143" s="13">
        <f t="shared" si="99"/>
        <v>0.035237272273757</v>
      </c>
      <c r="AW143" s="13">
        <f t="shared" si="99"/>
        <v>0.035237272273757</v>
      </c>
      <c r="AX143" s="13">
        <f t="shared" si="99"/>
        <v>0.035237272273757</v>
      </c>
      <c r="AY143" s="13">
        <f t="shared" si="99"/>
        <v>0.035237272273757</v>
      </c>
      <c r="AZ143" s="13">
        <f t="shared" si="99"/>
        <v>0.035237272273757</v>
      </c>
      <c r="BA143" s="13">
        <f t="shared" si="99"/>
        <v>0.035237272273757</v>
      </c>
      <c r="BB143" s="13">
        <f t="shared" si="99"/>
        <v>0.035237272273757</v>
      </c>
      <c r="BC143" s="13">
        <f t="shared" si="99"/>
        <v>0.035237272273757</v>
      </c>
      <c r="BD143" s="13">
        <f t="shared" si="99"/>
        <v>0.035237272273757</v>
      </c>
      <c r="BE143" s="13">
        <f t="shared" si="99"/>
        <v>0.035237272273757</v>
      </c>
      <c r="BF143" s="13">
        <f t="shared" si="99"/>
        <v>0.035237272273757</v>
      </c>
      <c r="BG143" s="13">
        <f t="shared" si="99"/>
        <v>0.035237272273757</v>
      </c>
      <c r="BH143" s="13">
        <f t="shared" si="99"/>
        <v>0.035237272273757</v>
      </c>
      <c r="BI143" s="13">
        <f t="shared" si="99"/>
        <v>0.035237272273757</v>
      </c>
      <c r="BJ143" s="13">
        <f t="shared" si="99"/>
        <v>0.035237272273757</v>
      </c>
      <c r="BK143" s="13">
        <f t="shared" si="99"/>
        <v>0.035237272273757</v>
      </c>
      <c r="BL143" s="13">
        <f t="shared" si="99"/>
        <v>0.035237272273757</v>
      </c>
      <c r="BM143" s="13">
        <f t="shared" si="99"/>
        <v>0.035237272273757</v>
      </c>
      <c r="BN143" s="13">
        <f t="shared" si="99"/>
        <v>0.035237272273757</v>
      </c>
    </row>
    <row r="144" spans="4:66">
      <c r="D144" s="13" t="s">
        <v>4</v>
      </c>
      <c r="E144" s="13">
        <f t="shared" ref="E144:AI144" si="105">E74*E110</f>
        <v>0.00551221692918192</v>
      </c>
      <c r="F144" s="13">
        <f t="shared" si="105"/>
        <v>0.00394248160879556</v>
      </c>
      <c r="G144" s="13">
        <f t="shared" si="105"/>
        <v>0.00222742401346653</v>
      </c>
      <c r="H144" s="13">
        <f t="shared" si="105"/>
        <v>0.00218873406409806</v>
      </c>
      <c r="I144" s="13">
        <f t="shared" si="105"/>
        <v>0</v>
      </c>
      <c r="J144" s="13">
        <f t="shared" si="105"/>
        <v>0.00113174802463234</v>
      </c>
      <c r="K144" s="13">
        <f t="shared" si="105"/>
        <v>0.000769414969469777</v>
      </c>
      <c r="L144" s="13">
        <f t="shared" si="105"/>
        <v>0.000582479310669928</v>
      </c>
      <c r="M144" s="13">
        <f t="shared" si="105"/>
        <v>0.00178509046004833</v>
      </c>
      <c r="N144" s="13">
        <f t="shared" si="105"/>
        <v>0.00151172587757951</v>
      </c>
      <c r="O144" s="13">
        <f t="shared" si="105"/>
        <v>0.00114040014233319</v>
      </c>
      <c r="P144" s="13">
        <f t="shared" si="105"/>
        <v>0.000641276159985304</v>
      </c>
      <c r="Q144" s="13">
        <f t="shared" si="105"/>
        <v>0.000777037633738684</v>
      </c>
      <c r="R144" s="13">
        <f t="shared" si="105"/>
        <v>0.000510281609774227</v>
      </c>
      <c r="S144" s="13">
        <f t="shared" si="105"/>
        <v>0.00183523651364047</v>
      </c>
      <c r="T144" s="13">
        <f t="shared" si="105"/>
        <v>0.00111933001057563</v>
      </c>
      <c r="U144" s="13">
        <f t="shared" si="105"/>
        <v>0.000838628415070059</v>
      </c>
      <c r="V144" s="13">
        <f t="shared" si="105"/>
        <v>0.00058702730785662</v>
      </c>
      <c r="W144" s="13">
        <f t="shared" si="105"/>
        <v>0.000714486500392571</v>
      </c>
      <c r="X144" s="13">
        <f t="shared" si="105"/>
        <v>0.000318204134108058</v>
      </c>
      <c r="Y144" s="13">
        <f t="shared" si="105"/>
        <v>0.000345501612857184</v>
      </c>
      <c r="Z144" s="13">
        <f t="shared" si="105"/>
        <v>0.000747812374360572</v>
      </c>
      <c r="AA144" s="13">
        <f t="shared" si="105"/>
        <v>0.000554574532798452</v>
      </c>
      <c r="AB144" s="13">
        <f t="shared" si="105"/>
        <v>0.000326010511601667</v>
      </c>
      <c r="AC144" s="13">
        <f t="shared" si="105"/>
        <v>0.000304358577753523</v>
      </c>
      <c r="AD144" s="13">
        <f t="shared" si="105"/>
        <v>0.000285341193016141</v>
      </c>
      <c r="AE144" s="13">
        <f t="shared" si="105"/>
        <v>0.00119771172629284</v>
      </c>
      <c r="AF144" s="13">
        <f t="shared" si="105"/>
        <v>0.000595691558637613</v>
      </c>
      <c r="AG144" s="13">
        <f t="shared" si="105"/>
        <v>0.000769982165606264</v>
      </c>
      <c r="AH144" s="13">
        <f t="shared" si="105"/>
        <v>0.00158122565796651</v>
      </c>
      <c r="AI144" s="13">
        <f t="shared" si="105"/>
        <v>0.000397785803655015</v>
      </c>
      <c r="AJ144" s="13">
        <f t="shared" si="101"/>
        <v>0.0352392193999625</v>
      </c>
      <c r="AK144" s="13">
        <f t="shared" si="102"/>
        <v>0.0352392193999625</v>
      </c>
      <c r="AL144" s="13">
        <f t="shared" si="99"/>
        <v>0.0352392193999625</v>
      </c>
      <c r="AM144" s="13">
        <f t="shared" si="99"/>
        <v>0.0352392193999625</v>
      </c>
      <c r="AN144" s="13">
        <f t="shared" si="99"/>
        <v>0.0352392193999625</v>
      </c>
      <c r="AO144" s="13">
        <f t="shared" si="99"/>
        <v>0.0352392193999625</v>
      </c>
      <c r="AP144" s="13">
        <f t="shared" si="99"/>
        <v>0.0352392193999625</v>
      </c>
      <c r="AQ144" s="13">
        <f t="shared" si="99"/>
        <v>0.0352392193999625</v>
      </c>
      <c r="AR144" s="13">
        <f t="shared" si="99"/>
        <v>0.0352392193999625</v>
      </c>
      <c r="AS144" s="13">
        <f t="shared" si="99"/>
        <v>0.0352392193999625</v>
      </c>
      <c r="AT144" s="13">
        <f t="shared" si="99"/>
        <v>0.0352392193999625</v>
      </c>
      <c r="AU144" s="13">
        <f t="shared" si="99"/>
        <v>0.0352392193999625</v>
      </c>
      <c r="AV144" s="13">
        <f t="shared" si="99"/>
        <v>0.0352392193999625</v>
      </c>
      <c r="AW144" s="13">
        <f t="shared" si="99"/>
        <v>0.0352392193999625</v>
      </c>
      <c r="AX144" s="13">
        <f t="shared" si="99"/>
        <v>0.0352392193999625</v>
      </c>
      <c r="AY144" s="13">
        <f t="shared" si="99"/>
        <v>0.0352392193999625</v>
      </c>
      <c r="AZ144" s="13">
        <f t="shared" si="99"/>
        <v>0.0352392193999625</v>
      </c>
      <c r="BA144" s="13">
        <f t="shared" si="99"/>
        <v>0.0352392193999625</v>
      </c>
      <c r="BB144" s="13">
        <f t="shared" si="99"/>
        <v>0.0352392193999625</v>
      </c>
      <c r="BC144" s="13">
        <f t="shared" si="99"/>
        <v>0.0352392193999625</v>
      </c>
      <c r="BD144" s="13">
        <f t="shared" si="99"/>
        <v>0.0352392193999625</v>
      </c>
      <c r="BE144" s="13">
        <f t="shared" si="99"/>
        <v>0.0352392193999625</v>
      </c>
      <c r="BF144" s="13">
        <f t="shared" si="99"/>
        <v>0.0352392193999625</v>
      </c>
      <c r="BG144" s="13">
        <f t="shared" si="99"/>
        <v>0.0352392193999625</v>
      </c>
      <c r="BH144" s="13">
        <f t="shared" si="99"/>
        <v>0.0352392193999625</v>
      </c>
      <c r="BI144" s="13">
        <f t="shared" si="99"/>
        <v>0.0352392193999625</v>
      </c>
      <c r="BJ144" s="13">
        <f t="shared" si="99"/>
        <v>0.0352392193999625</v>
      </c>
      <c r="BK144" s="13">
        <f t="shared" si="99"/>
        <v>0.0352392193999625</v>
      </c>
      <c r="BL144" s="13">
        <f t="shared" si="99"/>
        <v>0.0352392193999625</v>
      </c>
      <c r="BM144" s="13">
        <f t="shared" si="99"/>
        <v>0.0352392193999625</v>
      </c>
      <c r="BN144" s="13">
        <f t="shared" si="99"/>
        <v>0.0352392193999625</v>
      </c>
    </row>
    <row r="145" spans="4:66">
      <c r="D145" s="13" t="s">
        <v>5</v>
      </c>
      <c r="E145" s="13">
        <f t="shared" ref="E145:AI145" si="106">E75*E111</f>
        <v>0.00459169753327951</v>
      </c>
      <c r="F145" s="13">
        <f t="shared" si="106"/>
        <v>0.00427087488094019</v>
      </c>
      <c r="G145" s="13">
        <f t="shared" si="106"/>
        <v>0.00119095673281337</v>
      </c>
      <c r="H145" s="13">
        <f t="shared" si="106"/>
        <v>0.000882038668999244</v>
      </c>
      <c r="I145" s="13">
        <f t="shared" si="106"/>
        <v>0.00153178513875104</v>
      </c>
      <c r="J145" s="13">
        <f t="shared" si="106"/>
        <v>0</v>
      </c>
      <c r="K145" s="13">
        <f t="shared" si="106"/>
        <v>0.00405237526328567</v>
      </c>
      <c r="L145" s="13">
        <f t="shared" si="106"/>
        <v>0.00189622334214533</v>
      </c>
      <c r="M145" s="13">
        <f t="shared" si="106"/>
        <v>0.0025956085836741</v>
      </c>
      <c r="N145" s="13">
        <f t="shared" si="106"/>
        <v>0.00186739139367322</v>
      </c>
      <c r="O145" s="13">
        <f t="shared" si="106"/>
        <v>0.00152126522773966</v>
      </c>
      <c r="P145" s="13">
        <f t="shared" si="106"/>
        <v>0.000722489299895001</v>
      </c>
      <c r="Q145" s="13">
        <f t="shared" si="106"/>
        <v>0.000962653558450886</v>
      </c>
      <c r="R145" s="13">
        <f t="shared" si="106"/>
        <v>0.000546233013194362</v>
      </c>
      <c r="S145" s="13">
        <f t="shared" si="106"/>
        <v>0.00193345217598041</v>
      </c>
      <c r="T145" s="13">
        <f t="shared" si="106"/>
        <v>0.000824544589359144</v>
      </c>
      <c r="U145" s="13">
        <f t="shared" si="106"/>
        <v>0.000808268401073745</v>
      </c>
      <c r="V145" s="13">
        <f t="shared" si="106"/>
        <v>0.000564935398859051</v>
      </c>
      <c r="W145" s="13">
        <f t="shared" si="106"/>
        <v>0.000762328669891401</v>
      </c>
      <c r="X145" s="13">
        <f t="shared" si="106"/>
        <v>0.00031417935340097</v>
      </c>
      <c r="Y145" s="13">
        <f t="shared" si="106"/>
        <v>0.000362741619223758</v>
      </c>
      <c r="Z145" s="13">
        <f t="shared" si="106"/>
        <v>0.000595853177666553</v>
      </c>
      <c r="AA145" s="13">
        <f t="shared" si="106"/>
        <v>0.000422883322259444</v>
      </c>
      <c r="AB145" s="13">
        <f t="shared" si="106"/>
        <v>0.000289571153112594</v>
      </c>
      <c r="AC145" s="13">
        <f t="shared" si="106"/>
        <v>0.000271363641843509</v>
      </c>
      <c r="AD145" s="13">
        <f t="shared" si="106"/>
        <v>0.000245722168213054</v>
      </c>
      <c r="AE145" s="13">
        <f t="shared" si="106"/>
        <v>0.000726122369498395</v>
      </c>
      <c r="AF145" s="13">
        <f t="shared" si="106"/>
        <v>0.000345171585268969</v>
      </c>
      <c r="AG145" s="13">
        <f t="shared" si="106"/>
        <v>0.00047481335712778</v>
      </c>
      <c r="AH145" s="13">
        <f t="shared" si="106"/>
        <v>0.000670749030953858</v>
      </c>
      <c r="AI145" s="13">
        <f t="shared" si="106"/>
        <v>0.000337526541328058</v>
      </c>
      <c r="AJ145" s="13">
        <f t="shared" si="101"/>
        <v>0.0365818191919023</v>
      </c>
      <c r="AK145" s="13">
        <f t="shared" si="102"/>
        <v>0.0365818191919023</v>
      </c>
      <c r="AL145" s="13">
        <f t="shared" si="99"/>
        <v>0.0365818191919023</v>
      </c>
      <c r="AM145" s="13">
        <f t="shared" si="99"/>
        <v>0.0365818191919023</v>
      </c>
      <c r="AN145" s="13">
        <f t="shared" si="99"/>
        <v>0.0365818191919023</v>
      </c>
      <c r="AO145" s="13">
        <f t="shared" si="99"/>
        <v>0.0365818191919023</v>
      </c>
      <c r="AP145" s="13">
        <f t="shared" si="99"/>
        <v>0.0365818191919023</v>
      </c>
      <c r="AQ145" s="13">
        <f t="shared" si="99"/>
        <v>0.0365818191919023</v>
      </c>
      <c r="AR145" s="13">
        <f t="shared" si="99"/>
        <v>0.0365818191919023</v>
      </c>
      <c r="AS145" s="13">
        <f t="shared" si="99"/>
        <v>0.0365818191919023</v>
      </c>
      <c r="AT145" s="13">
        <f t="shared" si="99"/>
        <v>0.0365818191919023</v>
      </c>
      <c r="AU145" s="13">
        <f t="shared" si="99"/>
        <v>0.0365818191919023</v>
      </c>
      <c r="AV145" s="13">
        <f t="shared" si="99"/>
        <v>0.0365818191919023</v>
      </c>
      <c r="AW145" s="13">
        <f t="shared" si="99"/>
        <v>0.0365818191919023</v>
      </c>
      <c r="AX145" s="13">
        <f t="shared" si="99"/>
        <v>0.0365818191919023</v>
      </c>
      <c r="AY145" s="13">
        <f t="shared" si="99"/>
        <v>0.0365818191919023</v>
      </c>
      <c r="AZ145" s="13">
        <f t="shared" si="99"/>
        <v>0.0365818191919023</v>
      </c>
      <c r="BA145" s="13">
        <f t="shared" si="99"/>
        <v>0.0365818191919023</v>
      </c>
      <c r="BB145" s="13">
        <f t="shared" si="99"/>
        <v>0.0365818191919023</v>
      </c>
      <c r="BC145" s="13">
        <f t="shared" si="99"/>
        <v>0.0365818191919023</v>
      </c>
      <c r="BD145" s="13">
        <f t="shared" si="99"/>
        <v>0.0365818191919023</v>
      </c>
      <c r="BE145" s="13">
        <f t="shared" si="99"/>
        <v>0.0365818191919023</v>
      </c>
      <c r="BF145" s="13">
        <f t="shared" si="99"/>
        <v>0.0365818191919023</v>
      </c>
      <c r="BG145" s="13">
        <f t="shared" si="99"/>
        <v>0.0365818191919023</v>
      </c>
      <c r="BH145" s="13">
        <f t="shared" si="99"/>
        <v>0.0365818191919023</v>
      </c>
      <c r="BI145" s="13">
        <f t="shared" si="99"/>
        <v>0.0365818191919023</v>
      </c>
      <c r="BJ145" s="13">
        <f t="shared" si="99"/>
        <v>0.0365818191919023</v>
      </c>
      <c r="BK145" s="13">
        <f t="shared" si="99"/>
        <v>0.0365818191919023</v>
      </c>
      <c r="BL145" s="13">
        <f t="shared" si="99"/>
        <v>0.0365818191919023</v>
      </c>
      <c r="BM145" s="13">
        <f t="shared" si="99"/>
        <v>0.0365818191919023</v>
      </c>
      <c r="BN145" s="13">
        <f t="shared" si="99"/>
        <v>0.0365818191919023</v>
      </c>
    </row>
    <row r="146" spans="4:66">
      <c r="D146" s="13" t="s">
        <v>6</v>
      </c>
      <c r="E146" s="13">
        <f t="shared" ref="E146:AI146" si="107">E76*E112</f>
        <v>0.00348552762395207</v>
      </c>
      <c r="F146" s="13">
        <f t="shared" si="107"/>
        <v>0.00311657095890444</v>
      </c>
      <c r="G146" s="13">
        <f t="shared" si="107"/>
        <v>0.00096537347436312</v>
      </c>
      <c r="H146" s="13">
        <f t="shared" si="107"/>
        <v>0.000747159041202956</v>
      </c>
      <c r="I146" s="13">
        <f t="shared" si="107"/>
        <v>0.00134635724529894</v>
      </c>
      <c r="J146" s="13">
        <f t="shared" si="107"/>
        <v>0.00523915478445938</v>
      </c>
      <c r="K146" s="13">
        <f t="shared" si="107"/>
        <v>0</v>
      </c>
      <c r="L146" s="13">
        <f t="shared" si="107"/>
        <v>0.00434637619219104</v>
      </c>
      <c r="M146" s="13">
        <f t="shared" si="107"/>
        <v>0.00221748942741637</v>
      </c>
      <c r="N146" s="13">
        <f t="shared" si="107"/>
        <v>0.00156848528400762</v>
      </c>
      <c r="O146" s="13">
        <f t="shared" si="107"/>
        <v>0.0013178229866976</v>
      </c>
      <c r="P146" s="13">
        <f t="shared" si="107"/>
        <v>0.000615509447832563</v>
      </c>
      <c r="Q146" s="13">
        <f t="shared" si="107"/>
        <v>0.000873689273663472</v>
      </c>
      <c r="R146" s="13">
        <f t="shared" si="107"/>
        <v>0.000486436512248308</v>
      </c>
      <c r="S146" s="13">
        <f t="shared" si="107"/>
        <v>0.00149323006187788</v>
      </c>
      <c r="T146" s="13">
        <f t="shared" si="107"/>
        <v>0.000698845976529024</v>
      </c>
      <c r="U146" s="13">
        <f t="shared" si="107"/>
        <v>0.000710031226314766</v>
      </c>
      <c r="V146" s="13">
        <f t="shared" si="107"/>
        <v>0.000509546313084228</v>
      </c>
      <c r="W146" s="13">
        <f t="shared" si="107"/>
        <v>0.000708417411750765</v>
      </c>
      <c r="X146" s="13">
        <f t="shared" si="107"/>
        <v>0.000295514472000226</v>
      </c>
      <c r="Y146" s="13">
        <f t="shared" si="107"/>
        <v>0.00034301957378784</v>
      </c>
      <c r="Z146" s="13">
        <f t="shared" si="107"/>
        <v>0.000549411098269128</v>
      </c>
      <c r="AA146" s="13">
        <f t="shared" si="107"/>
        <v>0.000394245800899676</v>
      </c>
      <c r="AB146" s="13">
        <f t="shared" si="107"/>
        <v>0.000270055613170422</v>
      </c>
      <c r="AC146" s="13">
        <f t="shared" si="107"/>
        <v>0.000257449052339624</v>
      </c>
      <c r="AD146" s="13">
        <f t="shared" si="107"/>
        <v>0.00024030097237028</v>
      </c>
      <c r="AE146" s="13">
        <f t="shared" si="107"/>
        <v>0.00065078228363118</v>
      </c>
      <c r="AF146" s="13">
        <f t="shared" si="107"/>
        <v>0.000322312842707656</v>
      </c>
      <c r="AG146" s="13">
        <f t="shared" si="107"/>
        <v>0.000449274552276606</v>
      </c>
      <c r="AH146" s="13">
        <f t="shared" si="107"/>
        <v>0.000617690516319733</v>
      </c>
      <c r="AI146" s="13">
        <f t="shared" si="107"/>
        <v>0.000341162342367877</v>
      </c>
      <c r="AJ146" s="13">
        <f t="shared" si="101"/>
        <v>0.0351772423619348</v>
      </c>
      <c r="AK146" s="13">
        <f t="shared" si="102"/>
        <v>0.0351772423619348</v>
      </c>
      <c r="AL146" s="13">
        <f t="shared" si="99"/>
        <v>0.0351772423619348</v>
      </c>
      <c r="AM146" s="13">
        <f t="shared" si="99"/>
        <v>0.0351772423619348</v>
      </c>
      <c r="AN146" s="13">
        <f t="shared" si="99"/>
        <v>0.0351772423619348</v>
      </c>
      <c r="AO146" s="13">
        <f t="shared" si="99"/>
        <v>0.0351772423619348</v>
      </c>
      <c r="AP146" s="13">
        <f t="shared" si="99"/>
        <v>0.0351772423619348</v>
      </c>
      <c r="AQ146" s="13">
        <f t="shared" si="99"/>
        <v>0.0351772423619348</v>
      </c>
      <c r="AR146" s="13">
        <f t="shared" si="99"/>
        <v>0.0351772423619348</v>
      </c>
      <c r="AS146" s="13">
        <f t="shared" si="99"/>
        <v>0.0351772423619348</v>
      </c>
      <c r="AT146" s="13">
        <f t="shared" si="99"/>
        <v>0.0351772423619348</v>
      </c>
      <c r="AU146" s="13">
        <f t="shared" si="99"/>
        <v>0.0351772423619348</v>
      </c>
      <c r="AV146" s="13">
        <f t="shared" si="99"/>
        <v>0.0351772423619348</v>
      </c>
      <c r="AW146" s="13">
        <f t="shared" si="99"/>
        <v>0.0351772423619348</v>
      </c>
      <c r="AX146" s="13">
        <f t="shared" si="99"/>
        <v>0.0351772423619348</v>
      </c>
      <c r="AY146" s="13">
        <f t="shared" si="99"/>
        <v>0.0351772423619348</v>
      </c>
      <c r="AZ146" s="13">
        <f t="shared" si="99"/>
        <v>0.0351772423619348</v>
      </c>
      <c r="BA146" s="13">
        <f t="shared" si="99"/>
        <v>0.0351772423619348</v>
      </c>
      <c r="BB146" s="13">
        <f t="shared" si="99"/>
        <v>0.0351772423619348</v>
      </c>
      <c r="BC146" s="13">
        <f t="shared" si="99"/>
        <v>0.0351772423619348</v>
      </c>
      <c r="BD146" s="13">
        <f t="shared" si="99"/>
        <v>0.0351772423619348</v>
      </c>
      <c r="BE146" s="13">
        <f t="shared" si="99"/>
        <v>0.0351772423619348</v>
      </c>
      <c r="BF146" s="13">
        <f t="shared" si="99"/>
        <v>0.0351772423619348</v>
      </c>
      <c r="BG146" s="13">
        <f t="shared" si="99"/>
        <v>0.0351772423619348</v>
      </c>
      <c r="BH146" s="13">
        <f t="shared" si="99"/>
        <v>0.0351772423619348</v>
      </c>
      <c r="BI146" s="13">
        <f t="shared" si="99"/>
        <v>0.0351772423619348</v>
      </c>
      <c r="BJ146" s="13">
        <f t="shared" si="99"/>
        <v>0.0351772423619348</v>
      </c>
      <c r="BK146" s="13">
        <f t="shared" si="99"/>
        <v>0.0351772423619348</v>
      </c>
      <c r="BL146" s="13">
        <f t="shared" si="99"/>
        <v>0.0351772423619348</v>
      </c>
      <c r="BM146" s="13">
        <f t="shared" si="99"/>
        <v>0.0351772423619348</v>
      </c>
      <c r="BN146" s="13">
        <f t="shared" si="99"/>
        <v>0.0351772423619348</v>
      </c>
    </row>
    <row r="147" spans="4:66">
      <c r="D147" s="13" t="s">
        <v>7</v>
      </c>
      <c r="E147" s="13">
        <f t="shared" ref="E147:AI147" si="108">E77*E113</f>
        <v>0.00333515547236188</v>
      </c>
      <c r="F147" s="13">
        <f t="shared" si="108"/>
        <v>0.00293109779734698</v>
      </c>
      <c r="G147" s="13">
        <f t="shared" si="108"/>
        <v>0.00095823119870493</v>
      </c>
      <c r="H147" s="13">
        <f t="shared" si="108"/>
        <v>0.000760473108565864</v>
      </c>
      <c r="I147" s="13">
        <f t="shared" si="108"/>
        <v>0.00139757269648348</v>
      </c>
      <c r="J147" s="13">
        <f t="shared" si="108"/>
        <v>0.0033615167932104</v>
      </c>
      <c r="K147" s="13">
        <f t="shared" si="108"/>
        <v>0.00595966071977059</v>
      </c>
      <c r="L147" s="13">
        <f t="shared" si="108"/>
        <v>0</v>
      </c>
      <c r="M147" s="13">
        <f t="shared" si="108"/>
        <v>0.00222716824678059</v>
      </c>
      <c r="N147" s="13">
        <f t="shared" si="108"/>
        <v>0.00157195081475936</v>
      </c>
      <c r="O147" s="13">
        <f t="shared" si="108"/>
        <v>0.00133859533347868</v>
      </c>
      <c r="P147" s="13">
        <f t="shared" si="108"/>
        <v>0.000623172990801787</v>
      </c>
      <c r="Q147" s="13">
        <f t="shared" si="108"/>
        <v>0.000914746330470086</v>
      </c>
      <c r="R147" s="13">
        <f t="shared" si="108"/>
        <v>0.000505894215222374</v>
      </c>
      <c r="S147" s="13">
        <f t="shared" si="108"/>
        <v>0.00144281520538057</v>
      </c>
      <c r="T147" s="13">
        <f t="shared" si="108"/>
        <v>0.000710348385623035</v>
      </c>
      <c r="U147" s="13">
        <f t="shared" si="108"/>
        <v>0.000734209703813052</v>
      </c>
      <c r="V147" s="13">
        <f t="shared" si="108"/>
        <v>0.000535583684596471</v>
      </c>
      <c r="W147" s="13">
        <f t="shared" si="108"/>
        <v>0.0007573909636944</v>
      </c>
      <c r="X147" s="13">
        <f t="shared" si="108"/>
        <v>0.00031935172990985</v>
      </c>
      <c r="Y147" s="13">
        <f t="shared" si="108"/>
        <v>0.000371442287991251</v>
      </c>
      <c r="Z147" s="13">
        <f t="shared" si="108"/>
        <v>0.000587991618491324</v>
      </c>
      <c r="AA147" s="13">
        <f t="shared" si="108"/>
        <v>0.000425438506545698</v>
      </c>
      <c r="AB147" s="13">
        <f t="shared" si="108"/>
        <v>0.000290789526137129</v>
      </c>
      <c r="AC147" s="13">
        <f t="shared" si="108"/>
        <v>0.000280641987031303</v>
      </c>
      <c r="AD147" s="13">
        <f t="shared" si="108"/>
        <v>0.00026831944791887</v>
      </c>
      <c r="AE147" s="13">
        <f t="shared" si="108"/>
        <v>0.000685117840834057</v>
      </c>
      <c r="AF147" s="13">
        <f t="shared" si="108"/>
        <v>0.000348940012556872</v>
      </c>
      <c r="AG147" s="13">
        <f t="shared" si="108"/>
        <v>0.000490887532728622</v>
      </c>
      <c r="AH147" s="13">
        <f t="shared" si="108"/>
        <v>0.000662620783027487</v>
      </c>
      <c r="AI147" s="13">
        <f t="shared" si="108"/>
        <v>0.000391525185187188</v>
      </c>
      <c r="AJ147" s="13">
        <f t="shared" si="101"/>
        <v>0.0351886501194242</v>
      </c>
      <c r="AK147" s="13">
        <f t="shared" si="102"/>
        <v>0.0351886501194242</v>
      </c>
      <c r="AL147" s="13">
        <f t="shared" si="99"/>
        <v>0.0351886501194242</v>
      </c>
      <c r="AM147" s="13">
        <f t="shared" si="99"/>
        <v>0.0351886501194242</v>
      </c>
      <c r="AN147" s="13">
        <f t="shared" si="99"/>
        <v>0.0351886501194242</v>
      </c>
      <c r="AO147" s="13">
        <f t="shared" si="99"/>
        <v>0.0351886501194242</v>
      </c>
      <c r="AP147" s="13">
        <f t="shared" si="99"/>
        <v>0.0351886501194242</v>
      </c>
      <c r="AQ147" s="13">
        <f t="shared" si="99"/>
        <v>0.0351886501194242</v>
      </c>
      <c r="AR147" s="13">
        <f t="shared" si="99"/>
        <v>0.0351886501194242</v>
      </c>
      <c r="AS147" s="13">
        <f t="shared" si="99"/>
        <v>0.0351886501194242</v>
      </c>
      <c r="AT147" s="13">
        <f t="shared" si="99"/>
        <v>0.0351886501194242</v>
      </c>
      <c r="AU147" s="13">
        <f t="shared" si="99"/>
        <v>0.0351886501194242</v>
      </c>
      <c r="AV147" s="13">
        <f t="shared" si="99"/>
        <v>0.0351886501194242</v>
      </c>
      <c r="AW147" s="13">
        <f t="shared" si="99"/>
        <v>0.0351886501194242</v>
      </c>
      <c r="AX147" s="13">
        <f t="shared" si="99"/>
        <v>0.0351886501194242</v>
      </c>
      <c r="AY147" s="13">
        <f t="shared" si="99"/>
        <v>0.0351886501194242</v>
      </c>
      <c r="AZ147" s="13">
        <f t="shared" si="99"/>
        <v>0.0351886501194242</v>
      </c>
      <c r="BA147" s="13">
        <f t="shared" si="99"/>
        <v>0.0351886501194242</v>
      </c>
      <c r="BB147" s="13">
        <f t="shared" si="99"/>
        <v>0.0351886501194242</v>
      </c>
      <c r="BC147" s="13">
        <f t="shared" si="99"/>
        <v>0.0351886501194242</v>
      </c>
      <c r="BD147" s="13">
        <f t="shared" si="99"/>
        <v>0.0351886501194242</v>
      </c>
      <c r="BE147" s="13">
        <f t="shared" si="99"/>
        <v>0.0351886501194242</v>
      </c>
      <c r="BF147" s="13">
        <f t="shared" si="99"/>
        <v>0.0351886501194242</v>
      </c>
      <c r="BG147" s="13">
        <f t="shared" si="99"/>
        <v>0.0351886501194242</v>
      </c>
      <c r="BH147" s="13">
        <f t="shared" si="99"/>
        <v>0.0351886501194242</v>
      </c>
      <c r="BI147" s="13">
        <f t="shared" si="99"/>
        <v>0.0351886501194242</v>
      </c>
      <c r="BJ147" s="13">
        <f t="shared" si="99"/>
        <v>0.0351886501194242</v>
      </c>
      <c r="BK147" s="13">
        <f t="shared" si="99"/>
        <v>0.0351886501194242</v>
      </c>
      <c r="BL147" s="13">
        <f t="shared" si="99"/>
        <v>0.0351886501194242</v>
      </c>
      <c r="BM147" s="13">
        <f t="shared" si="99"/>
        <v>0.0351886501194242</v>
      </c>
      <c r="BN147" s="13">
        <f t="shared" si="99"/>
        <v>0.0351886501194242</v>
      </c>
    </row>
    <row r="148" spans="4:66">
      <c r="D148" s="13" t="s">
        <v>8</v>
      </c>
      <c r="E148" s="13">
        <f t="shared" ref="E148:AI148" si="109">E78*E114</f>
        <v>0.00212718174423326</v>
      </c>
      <c r="F148" s="13">
        <f t="shared" si="109"/>
        <v>0.00201201240374094</v>
      </c>
      <c r="G148" s="13">
        <f t="shared" si="109"/>
        <v>0.000782651630706318</v>
      </c>
      <c r="H148" s="13">
        <f t="shared" si="109"/>
        <v>0.000641757985148107</v>
      </c>
      <c r="I148" s="13">
        <f t="shared" si="109"/>
        <v>0.00085735750392637</v>
      </c>
      <c r="J148" s="13">
        <f t="shared" si="109"/>
        <v>0.000921070386446142</v>
      </c>
      <c r="K148" s="13">
        <f t="shared" si="109"/>
        <v>0.000608644359887041</v>
      </c>
      <c r="L148" s="13">
        <f t="shared" si="109"/>
        <v>0.000445821333964916</v>
      </c>
      <c r="M148" s="13">
        <f t="shared" si="109"/>
        <v>0</v>
      </c>
      <c r="N148" s="13">
        <f t="shared" si="109"/>
        <v>0.00567015405005373</v>
      </c>
      <c r="O148" s="13">
        <f t="shared" si="109"/>
        <v>0.00953177238086721</v>
      </c>
      <c r="P148" s="13">
        <f t="shared" si="109"/>
        <v>0.00173204499733522</v>
      </c>
      <c r="Q148" s="13">
        <f t="shared" si="109"/>
        <v>0.00214805238629459</v>
      </c>
      <c r="R148" s="13">
        <f t="shared" si="109"/>
        <v>0.00106688174751064</v>
      </c>
      <c r="S148" s="13">
        <f t="shared" si="109"/>
        <v>0.00163677569925757</v>
      </c>
      <c r="T148" s="13">
        <f t="shared" si="109"/>
        <v>0.000889967778654545</v>
      </c>
      <c r="U148" s="13">
        <f t="shared" si="109"/>
        <v>0.00133588670460718</v>
      </c>
      <c r="V148" s="13">
        <f t="shared" si="109"/>
        <v>0.000846866896410831</v>
      </c>
      <c r="W148" s="13">
        <f t="shared" si="109"/>
        <v>0.00109046887317187</v>
      </c>
      <c r="X148" s="13">
        <f t="shared" si="109"/>
        <v>0.000377614988605773</v>
      </c>
      <c r="Y148" s="13">
        <f t="shared" si="109"/>
        <v>0.000448801955851304</v>
      </c>
      <c r="Z148" s="13">
        <f t="shared" si="109"/>
        <v>0.000640889935665603</v>
      </c>
      <c r="AA148" s="13">
        <f t="shared" si="109"/>
        <v>0.000415322991946617</v>
      </c>
      <c r="AB148" s="13">
        <f t="shared" si="109"/>
        <v>0.000327680584695907</v>
      </c>
      <c r="AC148" s="13">
        <f t="shared" si="109"/>
        <v>0.000279604055320782</v>
      </c>
      <c r="AD148" s="13">
        <f t="shared" si="109"/>
        <v>0.000206615448547686</v>
      </c>
      <c r="AE148" s="13">
        <f t="shared" si="109"/>
        <v>0.000683537801937165</v>
      </c>
      <c r="AF148" s="13">
        <f t="shared" si="109"/>
        <v>0.000276187104776123</v>
      </c>
      <c r="AG148" s="13">
        <f t="shared" si="109"/>
        <v>0.000371525546870504</v>
      </c>
      <c r="AH148" s="13">
        <f t="shared" si="109"/>
        <v>0.000483516526485591</v>
      </c>
      <c r="AI148" s="13">
        <f t="shared" si="109"/>
        <v>0.000231457887789004</v>
      </c>
      <c r="AJ148" s="13">
        <f t="shared" si="101"/>
        <v>0.0390881236907086</v>
      </c>
      <c r="AK148" s="13">
        <f t="shared" si="102"/>
        <v>0.0390881236907086</v>
      </c>
      <c r="AL148" s="13">
        <f t="shared" si="99"/>
        <v>0.0390881236907086</v>
      </c>
      <c r="AM148" s="13">
        <f t="shared" si="99"/>
        <v>0.0390881236907086</v>
      </c>
      <c r="AN148" s="13">
        <f t="shared" si="99"/>
        <v>0.0390881236907086</v>
      </c>
      <c r="AO148" s="13">
        <f t="shared" si="99"/>
        <v>0.0390881236907086</v>
      </c>
      <c r="AP148" s="13">
        <f t="shared" si="99"/>
        <v>0.0390881236907086</v>
      </c>
      <c r="AQ148" s="13">
        <f t="shared" si="99"/>
        <v>0.0390881236907086</v>
      </c>
      <c r="AR148" s="13">
        <f t="shared" si="99"/>
        <v>0.0390881236907086</v>
      </c>
      <c r="AS148" s="13">
        <f t="shared" si="99"/>
        <v>0.0390881236907086</v>
      </c>
      <c r="AT148" s="13">
        <f t="shared" si="99"/>
        <v>0.0390881236907086</v>
      </c>
      <c r="AU148" s="13">
        <f t="shared" si="99"/>
        <v>0.0390881236907086</v>
      </c>
      <c r="AV148" s="13">
        <f t="shared" si="99"/>
        <v>0.0390881236907086</v>
      </c>
      <c r="AW148" s="13">
        <f t="shared" si="99"/>
        <v>0.0390881236907086</v>
      </c>
      <c r="AX148" s="13">
        <f t="shared" si="99"/>
        <v>0.0390881236907086</v>
      </c>
      <c r="AY148" s="13">
        <f t="shared" si="99"/>
        <v>0.0390881236907086</v>
      </c>
      <c r="AZ148" s="13">
        <f t="shared" si="99"/>
        <v>0.0390881236907086</v>
      </c>
      <c r="BA148" s="13">
        <f t="shared" si="99"/>
        <v>0.0390881236907086</v>
      </c>
      <c r="BB148" s="13">
        <f t="shared" si="99"/>
        <v>0.0390881236907086</v>
      </c>
      <c r="BC148" s="13">
        <f t="shared" si="99"/>
        <v>0.0390881236907086</v>
      </c>
      <c r="BD148" s="13">
        <f t="shared" si="99"/>
        <v>0.0390881236907086</v>
      </c>
      <c r="BE148" s="13">
        <f t="shared" si="99"/>
        <v>0.0390881236907086</v>
      </c>
      <c r="BF148" s="13">
        <f t="shared" si="99"/>
        <v>0.0390881236907086</v>
      </c>
      <c r="BG148" s="13">
        <f t="shared" si="99"/>
        <v>0.0390881236907086</v>
      </c>
      <c r="BH148" s="13">
        <f t="shared" si="99"/>
        <v>0.0390881236907086</v>
      </c>
      <c r="BI148" s="13">
        <f t="shared" ref="BI148:BN148" si="110">$AJ148</f>
        <v>0.0390881236907086</v>
      </c>
      <c r="BJ148" s="13">
        <f t="shared" si="110"/>
        <v>0.0390881236907086</v>
      </c>
      <c r="BK148" s="13">
        <f t="shared" si="110"/>
        <v>0.0390881236907086</v>
      </c>
      <c r="BL148" s="13">
        <f t="shared" si="110"/>
        <v>0.0390881236907086</v>
      </c>
      <c r="BM148" s="13">
        <f t="shared" si="110"/>
        <v>0.0390881236907086</v>
      </c>
      <c r="BN148" s="13">
        <f t="shared" si="110"/>
        <v>0.0390881236907086</v>
      </c>
    </row>
    <row r="149" spans="4:66">
      <c r="D149" s="13" t="s">
        <v>9</v>
      </c>
      <c r="E149" s="13">
        <f t="shared" ref="E149:AI149" si="111">E79*E115</f>
        <v>0.00207918839001299</v>
      </c>
      <c r="F149" s="13">
        <f t="shared" si="111"/>
        <v>0.00197123854919195</v>
      </c>
      <c r="G149" s="13">
        <f t="shared" si="111"/>
        <v>0.000822202190344242</v>
      </c>
      <c r="H149" s="13">
        <f t="shared" si="111"/>
        <v>0.000678840918670842</v>
      </c>
      <c r="I149" s="13">
        <f t="shared" si="111"/>
        <v>0.000835919546243355</v>
      </c>
      <c r="J149" s="13">
        <f t="shared" si="111"/>
        <v>0.000762919436662405</v>
      </c>
      <c r="K149" s="13">
        <f t="shared" si="111"/>
        <v>0.000495646679657982</v>
      </c>
      <c r="L149" s="13">
        <f t="shared" si="111"/>
        <v>0.000362273429817465</v>
      </c>
      <c r="M149" s="13">
        <f t="shared" si="111"/>
        <v>0.00652806645735585</v>
      </c>
      <c r="N149" s="13">
        <f t="shared" si="111"/>
        <v>0</v>
      </c>
      <c r="O149" s="13">
        <f t="shared" si="111"/>
        <v>0.00466378129543237</v>
      </c>
      <c r="P149" s="13">
        <f t="shared" si="111"/>
        <v>0.00409259091241537</v>
      </c>
      <c r="Q149" s="13">
        <f t="shared" si="111"/>
        <v>0.00156219689365232</v>
      </c>
      <c r="R149" s="13">
        <f t="shared" si="111"/>
        <v>0.00110904492009741</v>
      </c>
      <c r="S149" s="13">
        <f t="shared" si="111"/>
        <v>0.00185192159577633</v>
      </c>
      <c r="T149" s="13">
        <f t="shared" si="111"/>
        <v>0.00109181660442344</v>
      </c>
      <c r="U149" s="13">
        <f t="shared" si="111"/>
        <v>0.00164870527422574</v>
      </c>
      <c r="V149" s="13">
        <f t="shared" si="111"/>
        <v>0.000868499281730778</v>
      </c>
      <c r="W149" s="13">
        <f t="shared" si="111"/>
        <v>0.000943418912789256</v>
      </c>
      <c r="X149" s="13">
        <f t="shared" si="111"/>
        <v>0.000335668605899274</v>
      </c>
      <c r="Y149" s="13">
        <f t="shared" si="111"/>
        <v>0.000383722803047851</v>
      </c>
      <c r="Z149" s="13">
        <f t="shared" si="111"/>
        <v>0.000630235883119623</v>
      </c>
      <c r="AA149" s="13">
        <f t="shared" si="111"/>
        <v>0.000399938525030559</v>
      </c>
      <c r="AB149" s="13">
        <f t="shared" si="111"/>
        <v>0.000307535951915683</v>
      </c>
      <c r="AC149" s="13">
        <f t="shared" si="111"/>
        <v>0.000254415927515578</v>
      </c>
      <c r="AD149" s="13">
        <f t="shared" si="111"/>
        <v>0.000184111357946323</v>
      </c>
      <c r="AE149" s="13">
        <f t="shared" si="111"/>
        <v>0.000717579358079358</v>
      </c>
      <c r="AF149" s="13">
        <f t="shared" si="111"/>
        <v>0.000267012695067634</v>
      </c>
      <c r="AG149" s="13">
        <f t="shared" si="111"/>
        <v>0.000352440819234063</v>
      </c>
      <c r="AH149" s="13">
        <f t="shared" si="111"/>
        <v>0.000472626171096462</v>
      </c>
      <c r="AI149" s="13">
        <f t="shared" si="111"/>
        <v>0.000204197517916412</v>
      </c>
      <c r="AJ149" s="13">
        <f t="shared" si="101"/>
        <v>0.0368777569043689</v>
      </c>
      <c r="AK149" s="13">
        <f t="shared" si="102"/>
        <v>0.0368777569043689</v>
      </c>
      <c r="AL149" s="13">
        <f t="shared" si="102"/>
        <v>0.0368777569043689</v>
      </c>
      <c r="AM149" s="13">
        <f t="shared" si="102"/>
        <v>0.0368777569043689</v>
      </c>
      <c r="AN149" s="13">
        <f t="shared" si="102"/>
        <v>0.0368777569043689</v>
      </c>
      <c r="AO149" s="13">
        <f t="shared" si="102"/>
        <v>0.0368777569043689</v>
      </c>
      <c r="AP149" s="13">
        <f t="shared" si="102"/>
        <v>0.0368777569043689</v>
      </c>
      <c r="AQ149" s="13">
        <f t="shared" si="102"/>
        <v>0.0368777569043689</v>
      </c>
      <c r="AR149" s="13">
        <f t="shared" si="102"/>
        <v>0.0368777569043689</v>
      </c>
      <c r="AS149" s="13">
        <f t="shared" si="102"/>
        <v>0.0368777569043689</v>
      </c>
      <c r="AT149" s="13">
        <f t="shared" si="102"/>
        <v>0.0368777569043689</v>
      </c>
      <c r="AU149" s="13">
        <f t="shared" si="102"/>
        <v>0.0368777569043689</v>
      </c>
      <c r="AV149" s="13">
        <f t="shared" si="102"/>
        <v>0.0368777569043689</v>
      </c>
      <c r="AW149" s="13">
        <f t="shared" si="102"/>
        <v>0.0368777569043689</v>
      </c>
      <c r="AX149" s="13">
        <f t="shared" si="102"/>
        <v>0.0368777569043689</v>
      </c>
      <c r="AY149" s="13">
        <f t="shared" si="102"/>
        <v>0.0368777569043689</v>
      </c>
      <c r="AZ149" s="13">
        <f t="shared" si="102"/>
        <v>0.0368777569043689</v>
      </c>
      <c r="BA149" s="13">
        <f t="shared" ref="BA149:BN170" si="112">$AJ149</f>
        <v>0.0368777569043689</v>
      </c>
      <c r="BB149" s="13">
        <f t="shared" si="112"/>
        <v>0.0368777569043689</v>
      </c>
      <c r="BC149" s="13">
        <f t="shared" si="112"/>
        <v>0.0368777569043689</v>
      </c>
      <c r="BD149" s="13">
        <f t="shared" si="112"/>
        <v>0.0368777569043689</v>
      </c>
      <c r="BE149" s="13">
        <f t="shared" si="112"/>
        <v>0.0368777569043689</v>
      </c>
      <c r="BF149" s="13">
        <f t="shared" si="112"/>
        <v>0.0368777569043689</v>
      </c>
      <c r="BG149" s="13">
        <f t="shared" si="112"/>
        <v>0.0368777569043689</v>
      </c>
      <c r="BH149" s="13">
        <f t="shared" si="112"/>
        <v>0.0368777569043689</v>
      </c>
      <c r="BI149" s="13">
        <f t="shared" si="112"/>
        <v>0.0368777569043689</v>
      </c>
      <c r="BJ149" s="13">
        <f t="shared" si="112"/>
        <v>0.0368777569043689</v>
      </c>
      <c r="BK149" s="13">
        <f t="shared" si="112"/>
        <v>0.0368777569043689</v>
      </c>
      <c r="BL149" s="13">
        <f t="shared" si="112"/>
        <v>0.0368777569043689</v>
      </c>
      <c r="BM149" s="13">
        <f t="shared" si="112"/>
        <v>0.0368777569043689</v>
      </c>
      <c r="BN149" s="13">
        <f t="shared" si="112"/>
        <v>0.0368777569043689</v>
      </c>
    </row>
    <row r="150" spans="4:66">
      <c r="D150" s="13" t="s">
        <v>10</v>
      </c>
      <c r="E150" s="13">
        <f t="shared" ref="E150:AI150" si="113">E80*E116</f>
        <v>0.00181974003731578</v>
      </c>
      <c r="F150" s="13">
        <f t="shared" si="113"/>
        <v>0.00170137415243321</v>
      </c>
      <c r="G150" s="13">
        <f t="shared" si="113"/>
        <v>0.000689942372227666</v>
      </c>
      <c r="H150" s="13">
        <f t="shared" si="113"/>
        <v>0.000579773633791279</v>
      </c>
      <c r="I150" s="13">
        <f t="shared" si="113"/>
        <v>0.000762785045331412</v>
      </c>
      <c r="J150" s="13">
        <f t="shared" si="113"/>
        <v>0.000751798991953664</v>
      </c>
      <c r="K150" s="13">
        <f t="shared" si="113"/>
        <v>0.000503735206912349</v>
      </c>
      <c r="L150" s="13">
        <f t="shared" si="113"/>
        <v>0.000373164490330267</v>
      </c>
      <c r="M150" s="13">
        <f t="shared" si="113"/>
        <v>0.0132744594642295</v>
      </c>
      <c r="N150" s="13">
        <f t="shared" si="113"/>
        <v>0.00564146178187028</v>
      </c>
      <c r="O150" s="13">
        <f t="shared" si="113"/>
        <v>0</v>
      </c>
      <c r="P150" s="13">
        <f t="shared" si="113"/>
        <v>0.00194110277017309</v>
      </c>
      <c r="Q150" s="13">
        <f t="shared" si="113"/>
        <v>0.00251455582916153</v>
      </c>
      <c r="R150" s="13">
        <f t="shared" si="113"/>
        <v>0.00126506223383481</v>
      </c>
      <c r="S150" s="13">
        <f t="shared" si="113"/>
        <v>0.00139370097749578</v>
      </c>
      <c r="T150" s="13">
        <f t="shared" si="113"/>
        <v>0.000840528309703837</v>
      </c>
      <c r="U150" s="13">
        <f t="shared" si="113"/>
        <v>0.00145587760568987</v>
      </c>
      <c r="V150" s="13">
        <f t="shared" si="113"/>
        <v>0.00090881693632095</v>
      </c>
      <c r="W150" s="13">
        <f t="shared" si="113"/>
        <v>0.0011356988070489</v>
      </c>
      <c r="X150" s="13">
        <f t="shared" si="113"/>
        <v>0.000378166725432101</v>
      </c>
      <c r="Y150" s="13">
        <f t="shared" si="113"/>
        <v>0.000448921946583011</v>
      </c>
      <c r="Z150" s="13">
        <f t="shared" si="113"/>
        <v>0.000631873929679114</v>
      </c>
      <c r="AA150" s="13">
        <f t="shared" si="113"/>
        <v>0.000402251988486368</v>
      </c>
      <c r="AB150" s="13">
        <f t="shared" si="113"/>
        <v>0.000325989928545961</v>
      </c>
      <c r="AC150" s="13">
        <f t="shared" si="113"/>
        <v>0.000272210604247127</v>
      </c>
      <c r="AD150" s="13">
        <f t="shared" si="113"/>
        <v>0.000194060935642117</v>
      </c>
      <c r="AE150" s="13">
        <f t="shared" si="113"/>
        <v>0.000652784119989337</v>
      </c>
      <c r="AF150" s="13">
        <f t="shared" si="113"/>
        <v>0.000258517710522042</v>
      </c>
      <c r="AG150" s="13">
        <f t="shared" si="113"/>
        <v>0.000346782693437932</v>
      </c>
      <c r="AH150" s="13">
        <f t="shared" si="113"/>
        <v>0.000445305541729009</v>
      </c>
      <c r="AI150" s="13">
        <f t="shared" si="113"/>
        <v>0.000211506047754069</v>
      </c>
      <c r="AJ150" s="13">
        <f t="shared" si="101"/>
        <v>0.0421219508178724</v>
      </c>
      <c r="AK150" s="13">
        <f t="shared" si="102"/>
        <v>0.0421219508178724</v>
      </c>
      <c r="AL150" s="13">
        <f t="shared" si="102"/>
        <v>0.0421219508178724</v>
      </c>
      <c r="AM150" s="13">
        <f t="shared" si="102"/>
        <v>0.0421219508178724</v>
      </c>
      <c r="AN150" s="13">
        <f t="shared" si="102"/>
        <v>0.0421219508178724</v>
      </c>
      <c r="AO150" s="13">
        <f t="shared" si="102"/>
        <v>0.0421219508178724</v>
      </c>
      <c r="AP150" s="13">
        <f t="shared" si="102"/>
        <v>0.0421219508178724</v>
      </c>
      <c r="AQ150" s="13">
        <f t="shared" si="102"/>
        <v>0.0421219508178724</v>
      </c>
      <c r="AR150" s="13">
        <f t="shared" si="102"/>
        <v>0.0421219508178724</v>
      </c>
      <c r="AS150" s="13">
        <f t="shared" si="102"/>
        <v>0.0421219508178724</v>
      </c>
      <c r="AT150" s="13">
        <f t="shared" si="102"/>
        <v>0.0421219508178724</v>
      </c>
      <c r="AU150" s="13">
        <f t="shared" si="102"/>
        <v>0.0421219508178724</v>
      </c>
      <c r="AV150" s="13">
        <f t="shared" si="102"/>
        <v>0.0421219508178724</v>
      </c>
      <c r="AW150" s="13">
        <f t="shared" si="102"/>
        <v>0.0421219508178724</v>
      </c>
      <c r="AX150" s="13">
        <f t="shared" si="102"/>
        <v>0.0421219508178724</v>
      </c>
      <c r="AY150" s="13">
        <f t="shared" si="102"/>
        <v>0.0421219508178724</v>
      </c>
      <c r="AZ150" s="13">
        <f t="shared" si="102"/>
        <v>0.0421219508178724</v>
      </c>
      <c r="BA150" s="13">
        <f t="shared" si="112"/>
        <v>0.0421219508178724</v>
      </c>
      <c r="BB150" s="13">
        <f t="shared" si="112"/>
        <v>0.0421219508178724</v>
      </c>
      <c r="BC150" s="13">
        <f t="shared" si="112"/>
        <v>0.0421219508178724</v>
      </c>
      <c r="BD150" s="13">
        <f t="shared" si="112"/>
        <v>0.0421219508178724</v>
      </c>
      <c r="BE150" s="13">
        <f t="shared" si="112"/>
        <v>0.0421219508178724</v>
      </c>
      <c r="BF150" s="13">
        <f t="shared" si="112"/>
        <v>0.0421219508178724</v>
      </c>
      <c r="BG150" s="13">
        <f t="shared" si="112"/>
        <v>0.0421219508178724</v>
      </c>
      <c r="BH150" s="13">
        <f t="shared" si="112"/>
        <v>0.0421219508178724</v>
      </c>
      <c r="BI150" s="13">
        <f t="shared" si="112"/>
        <v>0.0421219508178724</v>
      </c>
      <c r="BJ150" s="13">
        <f t="shared" si="112"/>
        <v>0.0421219508178724</v>
      </c>
      <c r="BK150" s="13">
        <f t="shared" si="112"/>
        <v>0.0421219508178724</v>
      </c>
      <c r="BL150" s="13">
        <f t="shared" si="112"/>
        <v>0.0421219508178724</v>
      </c>
      <c r="BM150" s="13">
        <f t="shared" si="112"/>
        <v>0.0421219508178724</v>
      </c>
      <c r="BN150" s="13">
        <f t="shared" si="112"/>
        <v>0.0421219508178724</v>
      </c>
    </row>
    <row r="151" spans="4:66">
      <c r="D151" s="13" t="s">
        <v>11</v>
      </c>
      <c r="E151" s="13">
        <f>E81*E117</f>
        <v>0.00189007973719943</v>
      </c>
      <c r="F151" s="13">
        <f t="shared" ref="E151:AI151" si="114">F81*F117</f>
        <v>0.00176314015051727</v>
      </c>
      <c r="G151" s="13">
        <f t="shared" si="114"/>
        <v>0.000776926437158609</v>
      </c>
      <c r="H151" s="13">
        <f t="shared" si="114"/>
        <v>0.000665296205641925</v>
      </c>
      <c r="I151" s="13">
        <f t="shared" si="114"/>
        <v>0.000799183165108605</v>
      </c>
      <c r="J151" s="13">
        <f t="shared" si="114"/>
        <v>0.000665249481746569</v>
      </c>
      <c r="K151" s="13">
        <f t="shared" si="114"/>
        <v>0.000438365407141995</v>
      </c>
      <c r="L151" s="13">
        <f t="shared" si="114"/>
        <v>0.000323680063494307</v>
      </c>
      <c r="M151" s="13">
        <f t="shared" si="114"/>
        <v>0.00449426501577172</v>
      </c>
      <c r="N151" s="13">
        <f t="shared" si="114"/>
        <v>0.00922376297789083</v>
      </c>
      <c r="O151" s="13">
        <f t="shared" si="114"/>
        <v>0.00361663644322668</v>
      </c>
      <c r="P151" s="13">
        <f t="shared" si="114"/>
        <v>0</v>
      </c>
      <c r="Q151" s="13">
        <f t="shared" si="114"/>
        <v>0.00155014112017508</v>
      </c>
      <c r="R151" s="13">
        <f t="shared" si="114"/>
        <v>0.00135736798984155</v>
      </c>
      <c r="S151" s="13">
        <f t="shared" si="114"/>
        <v>0.00163075763442856</v>
      </c>
      <c r="T151" s="13">
        <f t="shared" si="114"/>
        <v>0.00117009193762714</v>
      </c>
      <c r="U151" s="13">
        <f t="shared" si="114"/>
        <v>0.00223218200098005</v>
      </c>
      <c r="V151" s="13">
        <f t="shared" si="114"/>
        <v>0.00100938978873083</v>
      </c>
      <c r="W151" s="13">
        <f t="shared" si="114"/>
        <v>0.000986997001955837</v>
      </c>
      <c r="X151" s="13">
        <f t="shared" si="114"/>
        <v>0.000348273527026119</v>
      </c>
      <c r="Y151" s="13">
        <f t="shared" si="114"/>
        <v>0.000392028689038459</v>
      </c>
      <c r="Z151" s="13">
        <f t="shared" si="114"/>
        <v>0.000672232100465129</v>
      </c>
      <c r="AA151" s="13">
        <f t="shared" si="114"/>
        <v>0.000416881730001067</v>
      </c>
      <c r="AB151" s="13">
        <f t="shared" si="114"/>
        <v>0.000324504556110371</v>
      </c>
      <c r="AC151" s="13">
        <f t="shared" si="114"/>
        <v>0.000261365040578716</v>
      </c>
      <c r="AD151" s="13">
        <f t="shared" si="114"/>
        <v>0.000183010633104816</v>
      </c>
      <c r="AE151" s="13">
        <f t="shared" si="114"/>
        <v>0.0007565575234694</v>
      </c>
      <c r="AF151" s="13">
        <f t="shared" si="114"/>
        <v>0.00026977844743806</v>
      </c>
      <c r="AG151" s="13">
        <f t="shared" si="114"/>
        <v>0.000353615843952368</v>
      </c>
      <c r="AH151" s="13">
        <f t="shared" si="114"/>
        <v>0.000470436199748001</v>
      </c>
      <c r="AI151" s="13">
        <f t="shared" si="114"/>
        <v>0.000198130311648428</v>
      </c>
      <c r="AJ151" s="13">
        <f t="shared" si="101"/>
        <v>0.0392403271612179</v>
      </c>
      <c r="AK151" s="13">
        <f t="shared" si="102"/>
        <v>0.0392403271612179</v>
      </c>
      <c r="AL151" s="13">
        <f t="shared" si="102"/>
        <v>0.0392403271612179</v>
      </c>
      <c r="AM151" s="13">
        <f t="shared" si="102"/>
        <v>0.0392403271612179</v>
      </c>
      <c r="AN151" s="13">
        <f t="shared" si="102"/>
        <v>0.0392403271612179</v>
      </c>
      <c r="AO151" s="13">
        <f t="shared" si="102"/>
        <v>0.0392403271612179</v>
      </c>
      <c r="AP151" s="13">
        <f t="shared" si="102"/>
        <v>0.0392403271612179</v>
      </c>
      <c r="AQ151" s="13">
        <f t="shared" si="102"/>
        <v>0.0392403271612179</v>
      </c>
      <c r="AR151" s="13">
        <f t="shared" si="102"/>
        <v>0.0392403271612179</v>
      </c>
      <c r="AS151" s="13">
        <f t="shared" si="102"/>
        <v>0.0392403271612179</v>
      </c>
      <c r="AT151" s="13">
        <f t="shared" si="102"/>
        <v>0.0392403271612179</v>
      </c>
      <c r="AU151" s="13">
        <f t="shared" si="102"/>
        <v>0.0392403271612179</v>
      </c>
      <c r="AV151" s="13">
        <f t="shared" si="102"/>
        <v>0.0392403271612179</v>
      </c>
      <c r="AW151" s="13">
        <f t="shared" si="102"/>
        <v>0.0392403271612179</v>
      </c>
      <c r="AX151" s="13">
        <f t="shared" si="102"/>
        <v>0.0392403271612179</v>
      </c>
      <c r="AY151" s="13">
        <f t="shared" si="102"/>
        <v>0.0392403271612179</v>
      </c>
      <c r="AZ151" s="13">
        <f t="shared" si="102"/>
        <v>0.0392403271612179</v>
      </c>
      <c r="BA151" s="13">
        <f t="shared" si="112"/>
        <v>0.0392403271612179</v>
      </c>
      <c r="BB151" s="13">
        <f t="shared" si="112"/>
        <v>0.0392403271612179</v>
      </c>
      <c r="BC151" s="13">
        <f t="shared" si="112"/>
        <v>0.0392403271612179</v>
      </c>
      <c r="BD151" s="13">
        <f t="shared" si="112"/>
        <v>0.0392403271612179</v>
      </c>
      <c r="BE151" s="13">
        <f t="shared" si="112"/>
        <v>0.0392403271612179</v>
      </c>
      <c r="BF151" s="13">
        <f t="shared" si="112"/>
        <v>0.0392403271612179</v>
      </c>
      <c r="BG151" s="13">
        <f t="shared" si="112"/>
        <v>0.0392403271612179</v>
      </c>
      <c r="BH151" s="13">
        <f t="shared" si="112"/>
        <v>0.0392403271612179</v>
      </c>
      <c r="BI151" s="13">
        <f t="shared" si="112"/>
        <v>0.0392403271612179</v>
      </c>
      <c r="BJ151" s="13">
        <f t="shared" si="112"/>
        <v>0.0392403271612179</v>
      </c>
      <c r="BK151" s="13">
        <f t="shared" si="112"/>
        <v>0.0392403271612179</v>
      </c>
      <c r="BL151" s="13">
        <f t="shared" si="112"/>
        <v>0.0392403271612179</v>
      </c>
      <c r="BM151" s="13">
        <f t="shared" si="112"/>
        <v>0.0392403271612179</v>
      </c>
      <c r="BN151" s="13">
        <f t="shared" si="112"/>
        <v>0.0392403271612179</v>
      </c>
    </row>
    <row r="152" spans="4:66">
      <c r="D152" s="13" t="s">
        <v>12</v>
      </c>
      <c r="E152" s="13">
        <f t="shared" ref="E152:AI152" si="115">E82*E118</f>
        <v>0.00179779161973122</v>
      </c>
      <c r="F152" s="13">
        <f t="shared" si="115"/>
        <v>0.00163546289578027</v>
      </c>
      <c r="G152" s="13">
        <f t="shared" si="115"/>
        <v>0.000686599769576394</v>
      </c>
      <c r="H152" s="13">
        <f t="shared" si="115"/>
        <v>0.000603776776849433</v>
      </c>
      <c r="I152" s="13">
        <f t="shared" si="115"/>
        <v>0.000825745593999072</v>
      </c>
      <c r="J152" s="13">
        <f t="shared" si="115"/>
        <v>0.000755833480944055</v>
      </c>
      <c r="K152" s="13">
        <f t="shared" si="115"/>
        <v>0.000530593023645668</v>
      </c>
      <c r="L152" s="13">
        <f t="shared" si="115"/>
        <v>0.000405145467258825</v>
      </c>
      <c r="M152" s="13">
        <f t="shared" si="115"/>
        <v>0.00475277610823912</v>
      </c>
      <c r="N152" s="13">
        <f t="shared" si="115"/>
        <v>0.00300226171878834</v>
      </c>
      <c r="O152" s="13">
        <f t="shared" si="115"/>
        <v>0.00399503498824068</v>
      </c>
      <c r="P152" s="13">
        <f t="shared" si="115"/>
        <v>0.00132182577688485</v>
      </c>
      <c r="Q152" s="13">
        <f t="shared" si="115"/>
        <v>0</v>
      </c>
      <c r="R152" s="13">
        <f t="shared" si="115"/>
        <v>0.0018822625825295</v>
      </c>
      <c r="S152" s="13">
        <f t="shared" si="115"/>
        <v>0.001225194207609</v>
      </c>
      <c r="T152" s="13">
        <f t="shared" si="115"/>
        <v>0.000836212702656198</v>
      </c>
      <c r="U152" s="13">
        <f t="shared" si="115"/>
        <v>0.00165709970851675</v>
      </c>
      <c r="V152" s="13">
        <f t="shared" si="115"/>
        <v>0.00137296984002132</v>
      </c>
      <c r="W152" s="13">
        <f t="shared" si="115"/>
        <v>0.00234484012487006</v>
      </c>
      <c r="X152" s="13">
        <f t="shared" si="115"/>
        <v>0.000639418064220469</v>
      </c>
      <c r="Y152" s="13">
        <f t="shared" si="115"/>
        <v>0.000812376365532362</v>
      </c>
      <c r="Z152" s="13">
        <f t="shared" si="115"/>
        <v>0.000868080910002064</v>
      </c>
      <c r="AA152" s="13">
        <f t="shared" si="115"/>
        <v>0.000544236435739831</v>
      </c>
      <c r="AB152" s="13">
        <f t="shared" si="115"/>
        <v>0.000492038615566458</v>
      </c>
      <c r="AC152" s="13">
        <f t="shared" si="115"/>
        <v>0.000404868395301511</v>
      </c>
      <c r="AD152" s="13">
        <f t="shared" si="115"/>
        <v>0.000266524608978114</v>
      </c>
      <c r="AE152" s="13">
        <f t="shared" si="115"/>
        <v>0.000769418872652514</v>
      </c>
      <c r="AF152" s="13">
        <f t="shared" si="115"/>
        <v>0.000319157769073871</v>
      </c>
      <c r="AG152" s="13">
        <f t="shared" si="115"/>
        <v>0.000434335726277476</v>
      </c>
      <c r="AH152" s="13">
        <f t="shared" si="115"/>
        <v>0.000522028554166765</v>
      </c>
      <c r="AI152" s="13">
        <f t="shared" si="115"/>
        <v>0.000271057846481321</v>
      </c>
      <c r="AJ152" s="13">
        <f t="shared" si="101"/>
        <v>0.0359749685501335</v>
      </c>
      <c r="AK152" s="13">
        <f t="shared" si="102"/>
        <v>0.0359749685501335</v>
      </c>
      <c r="AL152" s="13">
        <f t="shared" si="102"/>
        <v>0.0359749685501335</v>
      </c>
      <c r="AM152" s="13">
        <f t="shared" si="102"/>
        <v>0.0359749685501335</v>
      </c>
      <c r="AN152" s="13">
        <f t="shared" si="102"/>
        <v>0.0359749685501335</v>
      </c>
      <c r="AO152" s="13">
        <f t="shared" si="102"/>
        <v>0.0359749685501335</v>
      </c>
      <c r="AP152" s="13">
        <f t="shared" si="102"/>
        <v>0.0359749685501335</v>
      </c>
      <c r="AQ152" s="13">
        <f t="shared" si="102"/>
        <v>0.0359749685501335</v>
      </c>
      <c r="AR152" s="13">
        <f t="shared" si="102"/>
        <v>0.0359749685501335</v>
      </c>
      <c r="AS152" s="13">
        <f t="shared" si="102"/>
        <v>0.0359749685501335</v>
      </c>
      <c r="AT152" s="13">
        <f t="shared" si="102"/>
        <v>0.0359749685501335</v>
      </c>
      <c r="AU152" s="13">
        <f t="shared" si="102"/>
        <v>0.0359749685501335</v>
      </c>
      <c r="AV152" s="13">
        <f t="shared" si="102"/>
        <v>0.0359749685501335</v>
      </c>
      <c r="AW152" s="13">
        <f t="shared" si="102"/>
        <v>0.0359749685501335</v>
      </c>
      <c r="AX152" s="13">
        <f t="shared" si="102"/>
        <v>0.0359749685501335</v>
      </c>
      <c r="AY152" s="13">
        <f t="shared" si="102"/>
        <v>0.0359749685501335</v>
      </c>
      <c r="AZ152" s="13">
        <f t="shared" si="102"/>
        <v>0.0359749685501335</v>
      </c>
      <c r="BA152" s="13">
        <f t="shared" si="112"/>
        <v>0.0359749685501335</v>
      </c>
      <c r="BB152" s="13">
        <f t="shared" si="112"/>
        <v>0.0359749685501335</v>
      </c>
      <c r="BC152" s="13">
        <f t="shared" si="112"/>
        <v>0.0359749685501335</v>
      </c>
      <c r="BD152" s="13">
        <f t="shared" si="112"/>
        <v>0.0359749685501335</v>
      </c>
      <c r="BE152" s="13">
        <f t="shared" si="112"/>
        <v>0.0359749685501335</v>
      </c>
      <c r="BF152" s="13">
        <f t="shared" si="112"/>
        <v>0.0359749685501335</v>
      </c>
      <c r="BG152" s="13">
        <f t="shared" si="112"/>
        <v>0.0359749685501335</v>
      </c>
      <c r="BH152" s="13">
        <f t="shared" si="112"/>
        <v>0.0359749685501335</v>
      </c>
      <c r="BI152" s="13">
        <f t="shared" si="112"/>
        <v>0.0359749685501335</v>
      </c>
      <c r="BJ152" s="13">
        <f t="shared" si="112"/>
        <v>0.0359749685501335</v>
      </c>
      <c r="BK152" s="13">
        <f t="shared" si="112"/>
        <v>0.0359749685501335</v>
      </c>
      <c r="BL152" s="13">
        <f t="shared" si="112"/>
        <v>0.0359749685501335</v>
      </c>
      <c r="BM152" s="13">
        <f t="shared" si="112"/>
        <v>0.0359749685501335</v>
      </c>
      <c r="BN152" s="13">
        <f t="shared" si="112"/>
        <v>0.0359749685501335</v>
      </c>
    </row>
    <row r="153" spans="4:66">
      <c r="D153" s="13" t="s">
        <v>13</v>
      </c>
      <c r="E153" s="13">
        <f t="shared" ref="E153:AI153" si="116">E83*E119</f>
        <v>0.00158834594250464</v>
      </c>
      <c r="F153" s="13">
        <f t="shared" si="116"/>
        <v>0.00143770954949648</v>
      </c>
      <c r="G153" s="13">
        <f t="shared" si="116"/>
        <v>0.000645696660084758</v>
      </c>
      <c r="H153" s="13">
        <f t="shared" si="116"/>
        <v>0.000586231180344246</v>
      </c>
      <c r="I153" s="13">
        <f t="shared" si="116"/>
        <v>0.00074773995300638</v>
      </c>
      <c r="J153" s="13">
        <f t="shared" si="116"/>
        <v>0.000591385275768686</v>
      </c>
      <c r="K153" s="13">
        <f t="shared" si="116"/>
        <v>0.000407349469532696</v>
      </c>
      <c r="L153" s="13">
        <f t="shared" si="116"/>
        <v>0.000308963004252292</v>
      </c>
      <c r="M153" s="13">
        <f t="shared" si="116"/>
        <v>0.00325503175913767</v>
      </c>
      <c r="N153" s="13">
        <f t="shared" si="116"/>
        <v>0.00293899179264186</v>
      </c>
      <c r="O153" s="13">
        <f t="shared" si="116"/>
        <v>0.00277145386279728</v>
      </c>
      <c r="P153" s="13">
        <f t="shared" si="116"/>
        <v>0.00159601526469853</v>
      </c>
      <c r="Q153" s="13">
        <f t="shared" si="116"/>
        <v>0.00259547390343213</v>
      </c>
      <c r="R153" s="13">
        <f t="shared" si="116"/>
        <v>0</v>
      </c>
      <c r="S153" s="13">
        <f t="shared" si="116"/>
        <v>0.00114437962977178</v>
      </c>
      <c r="T153" s="13">
        <f t="shared" si="116"/>
        <v>0.000928125778699971</v>
      </c>
      <c r="U153" s="13">
        <f t="shared" si="116"/>
        <v>0.00320375652200706</v>
      </c>
      <c r="V153" s="13">
        <f t="shared" si="116"/>
        <v>0.00234136590370562</v>
      </c>
      <c r="W153" s="13">
        <f t="shared" si="116"/>
        <v>0.0018317079904355</v>
      </c>
      <c r="X153" s="13">
        <f t="shared" si="116"/>
        <v>0.000549276828991967</v>
      </c>
      <c r="Y153" s="13">
        <f t="shared" si="116"/>
        <v>0.000615946209367673</v>
      </c>
      <c r="Z153" s="13">
        <f t="shared" si="116"/>
        <v>0.000917724772118284</v>
      </c>
      <c r="AA153" s="13">
        <f t="shared" si="116"/>
        <v>0.00053656012957822</v>
      </c>
      <c r="AB153" s="13">
        <f t="shared" si="116"/>
        <v>0.000484342271674979</v>
      </c>
      <c r="AC153" s="13">
        <f t="shared" si="116"/>
        <v>0.000361527664358131</v>
      </c>
      <c r="AD153" s="13">
        <f t="shared" si="116"/>
        <v>0.00022411438476514</v>
      </c>
      <c r="AE153" s="13">
        <f t="shared" si="116"/>
        <v>0.000816209678964916</v>
      </c>
      <c r="AF153" s="13">
        <f t="shared" si="116"/>
        <v>0.000301265224155113</v>
      </c>
      <c r="AG153" s="13">
        <f t="shared" si="116"/>
        <v>0.000399402096240535</v>
      </c>
      <c r="AH153" s="13">
        <f t="shared" si="116"/>
        <v>0.000489353296966171</v>
      </c>
      <c r="AI153" s="13">
        <f t="shared" si="116"/>
        <v>0.0002233761842133</v>
      </c>
      <c r="AJ153" s="13">
        <f t="shared" si="101"/>
        <v>0.034838822183712</v>
      </c>
      <c r="AK153" s="13">
        <f t="shared" si="102"/>
        <v>0.034838822183712</v>
      </c>
      <c r="AL153" s="13">
        <f t="shared" si="102"/>
        <v>0.034838822183712</v>
      </c>
      <c r="AM153" s="13">
        <f t="shared" si="102"/>
        <v>0.034838822183712</v>
      </c>
      <c r="AN153" s="13">
        <f t="shared" si="102"/>
        <v>0.034838822183712</v>
      </c>
      <c r="AO153" s="13">
        <f t="shared" si="102"/>
        <v>0.034838822183712</v>
      </c>
      <c r="AP153" s="13">
        <f t="shared" si="102"/>
        <v>0.034838822183712</v>
      </c>
      <c r="AQ153" s="13">
        <f t="shared" si="102"/>
        <v>0.034838822183712</v>
      </c>
      <c r="AR153" s="13">
        <f t="shared" si="102"/>
        <v>0.034838822183712</v>
      </c>
      <c r="AS153" s="13">
        <f t="shared" si="102"/>
        <v>0.034838822183712</v>
      </c>
      <c r="AT153" s="13">
        <f t="shared" si="102"/>
        <v>0.034838822183712</v>
      </c>
      <c r="AU153" s="13">
        <f t="shared" si="102"/>
        <v>0.034838822183712</v>
      </c>
      <c r="AV153" s="13">
        <f t="shared" si="102"/>
        <v>0.034838822183712</v>
      </c>
      <c r="AW153" s="13">
        <f t="shared" si="102"/>
        <v>0.034838822183712</v>
      </c>
      <c r="AX153" s="13">
        <f t="shared" si="102"/>
        <v>0.034838822183712</v>
      </c>
      <c r="AY153" s="13">
        <f t="shared" si="102"/>
        <v>0.034838822183712</v>
      </c>
      <c r="AZ153" s="13">
        <f t="shared" si="102"/>
        <v>0.034838822183712</v>
      </c>
      <c r="BA153" s="13">
        <f t="shared" si="112"/>
        <v>0.034838822183712</v>
      </c>
      <c r="BB153" s="13">
        <f t="shared" si="112"/>
        <v>0.034838822183712</v>
      </c>
      <c r="BC153" s="13">
        <f t="shared" si="112"/>
        <v>0.034838822183712</v>
      </c>
      <c r="BD153" s="13">
        <f t="shared" si="112"/>
        <v>0.034838822183712</v>
      </c>
      <c r="BE153" s="13">
        <f t="shared" si="112"/>
        <v>0.034838822183712</v>
      </c>
      <c r="BF153" s="13">
        <f t="shared" si="112"/>
        <v>0.034838822183712</v>
      </c>
      <c r="BG153" s="13">
        <f t="shared" si="112"/>
        <v>0.034838822183712</v>
      </c>
      <c r="BH153" s="13">
        <f t="shared" si="112"/>
        <v>0.034838822183712</v>
      </c>
      <c r="BI153" s="13">
        <f t="shared" si="112"/>
        <v>0.034838822183712</v>
      </c>
      <c r="BJ153" s="13">
        <f t="shared" si="112"/>
        <v>0.034838822183712</v>
      </c>
      <c r="BK153" s="13">
        <f t="shared" si="112"/>
        <v>0.034838822183712</v>
      </c>
      <c r="BL153" s="13">
        <f t="shared" si="112"/>
        <v>0.034838822183712</v>
      </c>
      <c r="BM153" s="13">
        <f t="shared" si="112"/>
        <v>0.034838822183712</v>
      </c>
      <c r="BN153" s="13">
        <f t="shared" si="112"/>
        <v>0.034838822183712</v>
      </c>
    </row>
    <row r="154" spans="4:66">
      <c r="D154" s="13" t="s">
        <v>14</v>
      </c>
      <c r="E154" s="13">
        <f t="shared" ref="E154:AI154" si="117">E84*E120</f>
        <v>0.00541871261308814</v>
      </c>
      <c r="F154" s="13">
        <f t="shared" si="117"/>
        <v>0.00574880395205848</v>
      </c>
      <c r="G154" s="13">
        <f t="shared" si="117"/>
        <v>0.00227397365041319</v>
      </c>
      <c r="H154" s="13">
        <f t="shared" si="117"/>
        <v>0.00140309274709282</v>
      </c>
      <c r="I154" s="13">
        <f t="shared" si="117"/>
        <v>0.00153682406731874</v>
      </c>
      <c r="J154" s="13">
        <f t="shared" si="117"/>
        <v>0.00119623757389055</v>
      </c>
      <c r="K154" s="13">
        <f t="shared" si="117"/>
        <v>0.00071459365576312</v>
      </c>
      <c r="L154" s="13">
        <f t="shared" si="117"/>
        <v>0.000503557326328478</v>
      </c>
      <c r="M154" s="13">
        <f t="shared" si="117"/>
        <v>0.00285377386337515</v>
      </c>
      <c r="N154" s="13">
        <f t="shared" si="117"/>
        <v>0.00280455056705741</v>
      </c>
      <c r="O154" s="13">
        <f t="shared" si="117"/>
        <v>0.00174484482350773</v>
      </c>
      <c r="P154" s="13">
        <f t="shared" si="117"/>
        <v>0.00109577225598333</v>
      </c>
      <c r="Q154" s="13">
        <f t="shared" si="117"/>
        <v>0.000965456775807824</v>
      </c>
      <c r="R154" s="13">
        <f t="shared" si="117"/>
        <v>0.000653975624191161</v>
      </c>
      <c r="S154" s="13">
        <f t="shared" si="117"/>
        <v>0</v>
      </c>
      <c r="T154" s="13">
        <f t="shared" si="117"/>
        <v>0.00163724213713442</v>
      </c>
      <c r="U154" s="13">
        <f t="shared" si="117"/>
        <v>0.00110731990069104</v>
      </c>
      <c r="V154" s="13">
        <f t="shared" si="117"/>
        <v>0.000662612785675926</v>
      </c>
      <c r="W154" s="13">
        <f t="shared" si="117"/>
        <v>0.000750906517938349</v>
      </c>
      <c r="X154" s="13">
        <f t="shared" si="117"/>
        <v>0.000301576088393321</v>
      </c>
      <c r="Y154" s="13">
        <f t="shared" si="117"/>
        <v>0.000335656705601811</v>
      </c>
      <c r="Z154" s="13">
        <f t="shared" si="117"/>
        <v>0.000645810647324615</v>
      </c>
      <c r="AA154" s="13">
        <f t="shared" si="117"/>
        <v>0.000434847683014142</v>
      </c>
      <c r="AB154" s="13">
        <f t="shared" si="117"/>
        <v>0.000294006391169322</v>
      </c>
      <c r="AC154" s="13">
        <f t="shared" si="117"/>
        <v>0.000255871147012678</v>
      </c>
      <c r="AD154" s="13">
        <f t="shared" si="117"/>
        <v>0.000206365785700495</v>
      </c>
      <c r="AE154" s="13">
        <f t="shared" si="117"/>
        <v>0.000917380443125785</v>
      </c>
      <c r="AF154" s="13">
        <f t="shared" si="117"/>
        <v>0.000344957020443516</v>
      </c>
      <c r="AG154" s="13">
        <f t="shared" si="117"/>
        <v>0.000447998718977471</v>
      </c>
      <c r="AH154" s="13">
        <f t="shared" si="117"/>
        <v>0.000685015971562913</v>
      </c>
      <c r="AI154" s="13">
        <f t="shared" si="117"/>
        <v>0.00025103923104984</v>
      </c>
      <c r="AJ154" s="13">
        <f t="shared" si="101"/>
        <v>0.0381927766706917</v>
      </c>
      <c r="AK154" s="13">
        <f t="shared" si="102"/>
        <v>0.0381927766706917</v>
      </c>
      <c r="AL154" s="13">
        <f t="shared" si="102"/>
        <v>0.0381927766706917</v>
      </c>
      <c r="AM154" s="13">
        <f t="shared" si="102"/>
        <v>0.0381927766706917</v>
      </c>
      <c r="AN154" s="13">
        <f t="shared" si="102"/>
        <v>0.0381927766706917</v>
      </c>
      <c r="AO154" s="13">
        <f t="shared" si="102"/>
        <v>0.0381927766706917</v>
      </c>
      <c r="AP154" s="13">
        <f t="shared" si="102"/>
        <v>0.0381927766706917</v>
      </c>
      <c r="AQ154" s="13">
        <f t="shared" si="102"/>
        <v>0.0381927766706917</v>
      </c>
      <c r="AR154" s="13">
        <f t="shared" si="102"/>
        <v>0.0381927766706917</v>
      </c>
      <c r="AS154" s="13">
        <f t="shared" si="102"/>
        <v>0.0381927766706917</v>
      </c>
      <c r="AT154" s="13">
        <f t="shared" si="102"/>
        <v>0.0381927766706917</v>
      </c>
      <c r="AU154" s="13">
        <f t="shared" si="102"/>
        <v>0.0381927766706917</v>
      </c>
      <c r="AV154" s="13">
        <f t="shared" si="102"/>
        <v>0.0381927766706917</v>
      </c>
      <c r="AW154" s="13">
        <f t="shared" si="102"/>
        <v>0.0381927766706917</v>
      </c>
      <c r="AX154" s="13">
        <f t="shared" si="102"/>
        <v>0.0381927766706917</v>
      </c>
      <c r="AY154" s="13">
        <f t="shared" si="102"/>
        <v>0.0381927766706917</v>
      </c>
      <c r="AZ154" s="13">
        <f t="shared" si="102"/>
        <v>0.0381927766706917</v>
      </c>
      <c r="BA154" s="13">
        <f t="shared" si="112"/>
        <v>0.0381927766706917</v>
      </c>
      <c r="BB154" s="13">
        <f t="shared" si="112"/>
        <v>0.0381927766706917</v>
      </c>
      <c r="BC154" s="13">
        <f t="shared" si="112"/>
        <v>0.0381927766706917</v>
      </c>
      <c r="BD154" s="13">
        <f t="shared" si="112"/>
        <v>0.0381927766706917</v>
      </c>
      <c r="BE154" s="13">
        <f t="shared" si="112"/>
        <v>0.0381927766706917</v>
      </c>
      <c r="BF154" s="13">
        <f t="shared" si="112"/>
        <v>0.0381927766706917</v>
      </c>
      <c r="BG154" s="13">
        <f t="shared" si="112"/>
        <v>0.0381927766706917</v>
      </c>
      <c r="BH154" s="13">
        <f t="shared" si="112"/>
        <v>0.0381927766706917</v>
      </c>
      <c r="BI154" s="13">
        <f t="shared" si="112"/>
        <v>0.0381927766706917</v>
      </c>
      <c r="BJ154" s="13">
        <f t="shared" si="112"/>
        <v>0.0381927766706917</v>
      </c>
      <c r="BK154" s="13">
        <f t="shared" si="112"/>
        <v>0.0381927766706917</v>
      </c>
      <c r="BL154" s="13">
        <f t="shared" si="112"/>
        <v>0.0381927766706917</v>
      </c>
      <c r="BM154" s="13">
        <f t="shared" si="112"/>
        <v>0.0381927766706917</v>
      </c>
      <c r="BN154" s="13">
        <f t="shared" si="112"/>
        <v>0.0381927766706917</v>
      </c>
    </row>
    <row r="155" spans="4:66">
      <c r="D155" s="13" t="s">
        <v>15</v>
      </c>
      <c r="E155" s="13">
        <f t="shared" ref="E155:AI155" si="118">E85*E121</f>
        <v>0.00304422659825641</v>
      </c>
      <c r="F155" s="13">
        <f t="shared" si="118"/>
        <v>0.00270125920452823</v>
      </c>
      <c r="G155" s="13">
        <f t="shared" si="118"/>
        <v>0.00164482652070578</v>
      </c>
      <c r="H155" s="13">
        <f t="shared" si="118"/>
        <v>0.00167006439493058</v>
      </c>
      <c r="I155" s="13">
        <f t="shared" si="118"/>
        <v>0.00144215630668458</v>
      </c>
      <c r="J155" s="13">
        <f t="shared" si="118"/>
        <v>0.000784910656239826</v>
      </c>
      <c r="K155" s="13">
        <f t="shared" si="118"/>
        <v>0.000514559942875936</v>
      </c>
      <c r="L155" s="13">
        <f t="shared" si="118"/>
        <v>0.000381444783488599</v>
      </c>
      <c r="M155" s="13">
        <f t="shared" si="118"/>
        <v>0.00238740854859327</v>
      </c>
      <c r="N155" s="13">
        <f t="shared" si="118"/>
        <v>0.00254397270520438</v>
      </c>
      <c r="O155" s="13">
        <f t="shared" si="118"/>
        <v>0.00161905508116893</v>
      </c>
      <c r="P155" s="13">
        <f t="shared" si="118"/>
        <v>0.00120968679704923</v>
      </c>
      <c r="Q155" s="13">
        <f t="shared" si="118"/>
        <v>0.00101383372598018</v>
      </c>
      <c r="R155" s="13">
        <f t="shared" si="118"/>
        <v>0.000816056731551299</v>
      </c>
      <c r="S155" s="13">
        <f t="shared" si="118"/>
        <v>0.00251903955611282</v>
      </c>
      <c r="T155" s="13">
        <f t="shared" si="118"/>
        <v>0</v>
      </c>
      <c r="U155" s="13">
        <f t="shared" si="118"/>
        <v>0.00168708361688957</v>
      </c>
      <c r="V155" s="13">
        <f t="shared" si="118"/>
        <v>0.000920727616983871</v>
      </c>
      <c r="W155" s="13">
        <f t="shared" si="118"/>
        <v>0.000884324676361291</v>
      </c>
      <c r="X155" s="13">
        <f t="shared" si="118"/>
        <v>0.000364570281626433</v>
      </c>
      <c r="Y155" s="13">
        <f t="shared" si="118"/>
        <v>0.000388085111875779</v>
      </c>
      <c r="Z155" s="13">
        <f t="shared" si="118"/>
        <v>0.000922436081786542</v>
      </c>
      <c r="AA155" s="13">
        <f t="shared" si="118"/>
        <v>0.00059085495690109</v>
      </c>
      <c r="AB155" s="13">
        <f t="shared" si="118"/>
        <v>0.000383704089068659</v>
      </c>
      <c r="AC155" s="13">
        <f t="shared" si="118"/>
        <v>0.000314982939784429</v>
      </c>
      <c r="AD155" s="13">
        <f t="shared" si="118"/>
        <v>0.000234620946847502</v>
      </c>
      <c r="AE155" s="13">
        <f t="shared" si="118"/>
        <v>0.00161904125513153</v>
      </c>
      <c r="AF155" s="13">
        <f t="shared" si="118"/>
        <v>0.000445412956517426</v>
      </c>
      <c r="AG155" s="13">
        <f t="shared" si="118"/>
        <v>0.000551591780337375</v>
      </c>
      <c r="AH155" s="13">
        <f t="shared" si="118"/>
        <v>0.000846686628932279</v>
      </c>
      <c r="AI155" s="13">
        <f t="shared" si="118"/>
        <v>0.000263073263942889</v>
      </c>
      <c r="AJ155" s="13">
        <f t="shared" si="101"/>
        <v>0.0347096977563567</v>
      </c>
      <c r="AK155" s="13">
        <f t="shared" si="102"/>
        <v>0.0347096977563567</v>
      </c>
      <c r="AL155" s="13">
        <f t="shared" si="102"/>
        <v>0.0347096977563567</v>
      </c>
      <c r="AM155" s="13">
        <f t="shared" si="102"/>
        <v>0.0347096977563567</v>
      </c>
      <c r="AN155" s="13">
        <f t="shared" si="102"/>
        <v>0.0347096977563567</v>
      </c>
      <c r="AO155" s="13">
        <f t="shared" si="102"/>
        <v>0.0347096977563567</v>
      </c>
      <c r="AP155" s="13">
        <f t="shared" si="102"/>
        <v>0.0347096977563567</v>
      </c>
      <c r="AQ155" s="13">
        <f t="shared" si="102"/>
        <v>0.0347096977563567</v>
      </c>
      <c r="AR155" s="13">
        <f t="shared" si="102"/>
        <v>0.0347096977563567</v>
      </c>
      <c r="AS155" s="13">
        <f t="shared" si="102"/>
        <v>0.0347096977563567</v>
      </c>
      <c r="AT155" s="13">
        <f t="shared" si="102"/>
        <v>0.0347096977563567</v>
      </c>
      <c r="AU155" s="13">
        <f t="shared" si="102"/>
        <v>0.0347096977563567</v>
      </c>
      <c r="AV155" s="13">
        <f t="shared" si="102"/>
        <v>0.0347096977563567</v>
      </c>
      <c r="AW155" s="13">
        <f t="shared" si="102"/>
        <v>0.0347096977563567</v>
      </c>
      <c r="AX155" s="13">
        <f t="shared" si="102"/>
        <v>0.0347096977563567</v>
      </c>
      <c r="AY155" s="13">
        <f t="shared" si="102"/>
        <v>0.0347096977563567</v>
      </c>
      <c r="AZ155" s="13">
        <f t="shared" si="102"/>
        <v>0.0347096977563567</v>
      </c>
      <c r="BA155" s="13">
        <f t="shared" si="112"/>
        <v>0.0347096977563567</v>
      </c>
      <c r="BB155" s="13">
        <f t="shared" si="112"/>
        <v>0.0347096977563567</v>
      </c>
      <c r="BC155" s="13">
        <f t="shared" si="112"/>
        <v>0.0347096977563567</v>
      </c>
      <c r="BD155" s="13">
        <f t="shared" si="112"/>
        <v>0.0347096977563567</v>
      </c>
      <c r="BE155" s="13">
        <f t="shared" si="112"/>
        <v>0.0347096977563567</v>
      </c>
      <c r="BF155" s="13">
        <f t="shared" si="112"/>
        <v>0.0347096977563567</v>
      </c>
      <c r="BG155" s="13">
        <f t="shared" si="112"/>
        <v>0.0347096977563567</v>
      </c>
      <c r="BH155" s="13">
        <f t="shared" si="112"/>
        <v>0.0347096977563567</v>
      </c>
      <c r="BI155" s="13">
        <f t="shared" si="112"/>
        <v>0.0347096977563567</v>
      </c>
      <c r="BJ155" s="13">
        <f t="shared" si="112"/>
        <v>0.0347096977563567</v>
      </c>
      <c r="BK155" s="13">
        <f t="shared" si="112"/>
        <v>0.0347096977563567</v>
      </c>
      <c r="BL155" s="13">
        <f t="shared" si="112"/>
        <v>0.0347096977563567</v>
      </c>
      <c r="BM155" s="13">
        <f t="shared" si="112"/>
        <v>0.0347096977563567</v>
      </c>
      <c r="BN155" s="13">
        <f t="shared" si="112"/>
        <v>0.0347096977563567</v>
      </c>
    </row>
    <row r="156" spans="4:66">
      <c r="D156" s="13" t="s">
        <v>16</v>
      </c>
      <c r="E156" s="13">
        <f t="shared" ref="E156:AI156" si="119">E86*E122</f>
        <v>0.00179355913634155</v>
      </c>
      <c r="F156" s="13">
        <f t="shared" si="119"/>
        <v>0.00161682836807638</v>
      </c>
      <c r="G156" s="13">
        <f t="shared" si="119"/>
        <v>0.000770627754505055</v>
      </c>
      <c r="H156" s="13">
        <f t="shared" si="119"/>
        <v>0.000719092681791771</v>
      </c>
      <c r="I156" s="13">
        <f t="shared" si="119"/>
        <v>0.000855675885674051</v>
      </c>
      <c r="J156" s="13">
        <f t="shared" si="119"/>
        <v>0.000609322497635562</v>
      </c>
      <c r="K156" s="13">
        <f t="shared" si="119"/>
        <v>0.000414016346157206</v>
      </c>
      <c r="L156" s="13">
        <f t="shared" si="119"/>
        <v>0.000312223750542474</v>
      </c>
      <c r="M156" s="13">
        <f t="shared" si="119"/>
        <v>0.00283796884098706</v>
      </c>
      <c r="N156" s="13">
        <f t="shared" si="119"/>
        <v>0.00304222488017837</v>
      </c>
      <c r="O156" s="13">
        <f t="shared" si="119"/>
        <v>0.00222085230994838</v>
      </c>
      <c r="P156" s="13">
        <f t="shared" si="119"/>
        <v>0.00182754504265049</v>
      </c>
      <c r="Q156" s="13">
        <f t="shared" si="119"/>
        <v>0.00159105117513398</v>
      </c>
      <c r="R156" s="13">
        <f t="shared" si="119"/>
        <v>0.00223078930388597</v>
      </c>
      <c r="S156" s="13">
        <f t="shared" si="119"/>
        <v>0.00134921360834067</v>
      </c>
      <c r="T156" s="13">
        <f t="shared" si="119"/>
        <v>0.0013360482484881</v>
      </c>
      <c r="U156" s="13">
        <f t="shared" si="119"/>
        <v>0</v>
      </c>
      <c r="V156" s="13">
        <f t="shared" si="119"/>
        <v>0.00221553240401947</v>
      </c>
      <c r="W156" s="13">
        <f t="shared" si="119"/>
        <v>0.00135874576947033</v>
      </c>
      <c r="X156" s="13">
        <f t="shared" si="119"/>
        <v>0.000485878254246388</v>
      </c>
      <c r="Y156" s="13">
        <f t="shared" si="119"/>
        <v>0.000516623650044039</v>
      </c>
      <c r="Z156" s="13">
        <f t="shared" si="119"/>
        <v>0.00104002491663428</v>
      </c>
      <c r="AA156" s="13">
        <f t="shared" si="119"/>
        <v>0.000593841306250562</v>
      </c>
      <c r="AB156" s="13">
        <f t="shared" si="119"/>
        <v>0.000484712113270905</v>
      </c>
      <c r="AC156" s="13">
        <f t="shared" si="119"/>
        <v>0.000357309776012366</v>
      </c>
      <c r="AD156" s="13">
        <f t="shared" si="119"/>
        <v>0.000226863504396269</v>
      </c>
      <c r="AE156" s="13">
        <f t="shared" si="119"/>
        <v>0.00105309441002246</v>
      </c>
      <c r="AF156" s="13">
        <f t="shared" si="119"/>
        <v>0.000342867087974796</v>
      </c>
      <c r="AG156" s="13">
        <f t="shared" si="119"/>
        <v>0.000443321375312799</v>
      </c>
      <c r="AH156" s="13">
        <f t="shared" si="119"/>
        <v>0.000565437535811912</v>
      </c>
      <c r="AI156" s="13">
        <f t="shared" si="119"/>
        <v>0.000229773564449763</v>
      </c>
      <c r="AJ156" s="13">
        <f t="shared" si="101"/>
        <v>0.0334410654982534</v>
      </c>
      <c r="AK156" s="13">
        <f t="shared" si="102"/>
        <v>0.0334410654982534</v>
      </c>
      <c r="AL156" s="13">
        <f t="shared" si="102"/>
        <v>0.0334410654982534</v>
      </c>
      <c r="AM156" s="13">
        <f t="shared" si="102"/>
        <v>0.0334410654982534</v>
      </c>
      <c r="AN156" s="13">
        <f t="shared" si="102"/>
        <v>0.0334410654982534</v>
      </c>
      <c r="AO156" s="13">
        <f t="shared" si="102"/>
        <v>0.0334410654982534</v>
      </c>
      <c r="AP156" s="13">
        <f t="shared" si="102"/>
        <v>0.0334410654982534</v>
      </c>
      <c r="AQ156" s="13">
        <f t="shared" si="102"/>
        <v>0.0334410654982534</v>
      </c>
      <c r="AR156" s="13">
        <f t="shared" si="102"/>
        <v>0.0334410654982534</v>
      </c>
      <c r="AS156" s="13">
        <f t="shared" si="102"/>
        <v>0.0334410654982534</v>
      </c>
      <c r="AT156" s="13">
        <f t="shared" si="102"/>
        <v>0.0334410654982534</v>
      </c>
      <c r="AU156" s="13">
        <f t="shared" si="102"/>
        <v>0.0334410654982534</v>
      </c>
      <c r="AV156" s="13">
        <f t="shared" si="102"/>
        <v>0.0334410654982534</v>
      </c>
      <c r="AW156" s="13">
        <f t="shared" si="102"/>
        <v>0.0334410654982534</v>
      </c>
      <c r="AX156" s="13">
        <f t="shared" si="102"/>
        <v>0.0334410654982534</v>
      </c>
      <c r="AY156" s="13">
        <f t="shared" si="102"/>
        <v>0.0334410654982534</v>
      </c>
      <c r="AZ156" s="13">
        <f t="shared" si="102"/>
        <v>0.0334410654982534</v>
      </c>
      <c r="BA156" s="13">
        <f t="shared" si="112"/>
        <v>0.0334410654982534</v>
      </c>
      <c r="BB156" s="13">
        <f t="shared" si="112"/>
        <v>0.0334410654982534</v>
      </c>
      <c r="BC156" s="13">
        <f t="shared" si="112"/>
        <v>0.0334410654982534</v>
      </c>
      <c r="BD156" s="13">
        <f t="shared" si="112"/>
        <v>0.0334410654982534</v>
      </c>
      <c r="BE156" s="13">
        <f t="shared" si="112"/>
        <v>0.0334410654982534</v>
      </c>
      <c r="BF156" s="13">
        <f t="shared" si="112"/>
        <v>0.0334410654982534</v>
      </c>
      <c r="BG156" s="13">
        <f t="shared" si="112"/>
        <v>0.0334410654982534</v>
      </c>
      <c r="BH156" s="13">
        <f t="shared" si="112"/>
        <v>0.0334410654982534</v>
      </c>
      <c r="BI156" s="13">
        <f t="shared" si="112"/>
        <v>0.0334410654982534</v>
      </c>
      <c r="BJ156" s="13">
        <f t="shared" si="112"/>
        <v>0.0334410654982534</v>
      </c>
      <c r="BK156" s="13">
        <f t="shared" si="112"/>
        <v>0.0334410654982534</v>
      </c>
      <c r="BL156" s="13">
        <f t="shared" si="112"/>
        <v>0.0334410654982534</v>
      </c>
      <c r="BM156" s="13">
        <f t="shared" si="112"/>
        <v>0.0334410654982534</v>
      </c>
      <c r="BN156" s="13">
        <f t="shared" si="112"/>
        <v>0.0334410654982534</v>
      </c>
    </row>
    <row r="157" spans="4:66">
      <c r="D157" s="13" t="s">
        <v>17</v>
      </c>
      <c r="E157" s="13">
        <f t="shared" ref="E157:AI157" si="120">E87*E123</f>
        <v>0.00158015829529652</v>
      </c>
      <c r="F157" s="13">
        <f t="shared" si="120"/>
        <v>0.00140538141897599</v>
      </c>
      <c r="G157" s="13">
        <f t="shared" si="120"/>
        <v>0.000658022660015527</v>
      </c>
      <c r="H157" s="13">
        <f t="shared" si="120"/>
        <v>0.000624540823286422</v>
      </c>
      <c r="I157" s="13">
        <f t="shared" si="120"/>
        <v>0.000797297084606026</v>
      </c>
      <c r="J157" s="13">
        <f t="shared" si="120"/>
        <v>0.000566907957855226</v>
      </c>
      <c r="K157" s="13">
        <f t="shared" si="120"/>
        <v>0.000395499423419578</v>
      </c>
      <c r="L157" s="13">
        <f t="shared" si="120"/>
        <v>0.000303176340652664</v>
      </c>
      <c r="M157" s="13">
        <f t="shared" si="120"/>
        <v>0.00239483338627096</v>
      </c>
      <c r="N157" s="13">
        <f t="shared" si="120"/>
        <v>0.00213324090142331</v>
      </c>
      <c r="O157" s="13">
        <f t="shared" si="120"/>
        <v>0.00184541215194025</v>
      </c>
      <c r="P157" s="13">
        <f t="shared" si="120"/>
        <v>0.0011000680376885</v>
      </c>
      <c r="Q157" s="13">
        <f t="shared" si="120"/>
        <v>0.00175476376066571</v>
      </c>
      <c r="R157" s="13">
        <f t="shared" si="120"/>
        <v>0.00217015369006593</v>
      </c>
      <c r="S157" s="13">
        <f t="shared" si="120"/>
        <v>0.0010747057471059</v>
      </c>
      <c r="T157" s="13">
        <f t="shared" si="120"/>
        <v>0.000970596801250399</v>
      </c>
      <c r="U157" s="13">
        <f t="shared" si="120"/>
        <v>0.00294917306060482</v>
      </c>
      <c r="V157" s="13">
        <f t="shared" si="120"/>
        <v>0</v>
      </c>
      <c r="W157" s="13">
        <f t="shared" si="120"/>
        <v>0.00218909303549368</v>
      </c>
      <c r="X157" s="13">
        <f t="shared" si="120"/>
        <v>0.000746029105311095</v>
      </c>
      <c r="Y157" s="13">
        <f t="shared" si="120"/>
        <v>0.000749844930631894</v>
      </c>
      <c r="Z157" s="13">
        <f t="shared" si="120"/>
        <v>0.00140103901276187</v>
      </c>
      <c r="AA157" s="13">
        <f t="shared" si="120"/>
        <v>0.000740876679514234</v>
      </c>
      <c r="AB157" s="13">
        <f t="shared" si="120"/>
        <v>0.000740103853859525</v>
      </c>
      <c r="AC157" s="13">
        <f t="shared" si="120"/>
        <v>0.000483754119926057</v>
      </c>
      <c r="AD157" s="13">
        <f t="shared" si="120"/>
        <v>0.000267810524998251</v>
      </c>
      <c r="AE157" s="13">
        <f t="shared" si="120"/>
        <v>0.00102497716026543</v>
      </c>
      <c r="AF157" s="13">
        <f t="shared" si="120"/>
        <v>0.0003658313328472</v>
      </c>
      <c r="AG157" s="13">
        <f t="shared" si="120"/>
        <v>0.000481145878070082</v>
      </c>
      <c r="AH157" s="13">
        <f t="shared" si="120"/>
        <v>0.000565458149943153</v>
      </c>
      <c r="AI157" s="13">
        <f t="shared" si="120"/>
        <v>0.000251371852030012</v>
      </c>
      <c r="AJ157" s="13">
        <f t="shared" si="101"/>
        <v>0.0327312671767762</v>
      </c>
      <c r="AK157" s="13">
        <f t="shared" si="102"/>
        <v>0.0327312671767762</v>
      </c>
      <c r="AL157" s="13">
        <f t="shared" si="102"/>
        <v>0.0327312671767762</v>
      </c>
      <c r="AM157" s="13">
        <f t="shared" si="102"/>
        <v>0.0327312671767762</v>
      </c>
      <c r="AN157" s="13">
        <f t="shared" si="102"/>
        <v>0.0327312671767762</v>
      </c>
      <c r="AO157" s="13">
        <f t="shared" si="102"/>
        <v>0.0327312671767762</v>
      </c>
      <c r="AP157" s="13">
        <f t="shared" si="102"/>
        <v>0.0327312671767762</v>
      </c>
      <c r="AQ157" s="13">
        <f t="shared" si="102"/>
        <v>0.0327312671767762</v>
      </c>
      <c r="AR157" s="13">
        <f t="shared" si="102"/>
        <v>0.0327312671767762</v>
      </c>
      <c r="AS157" s="13">
        <f t="shared" si="102"/>
        <v>0.0327312671767762</v>
      </c>
      <c r="AT157" s="13">
        <f t="shared" si="102"/>
        <v>0.0327312671767762</v>
      </c>
      <c r="AU157" s="13">
        <f t="shared" si="102"/>
        <v>0.0327312671767762</v>
      </c>
      <c r="AV157" s="13">
        <f t="shared" si="102"/>
        <v>0.0327312671767762</v>
      </c>
      <c r="AW157" s="13">
        <f t="shared" si="102"/>
        <v>0.0327312671767762</v>
      </c>
      <c r="AX157" s="13">
        <f t="shared" si="102"/>
        <v>0.0327312671767762</v>
      </c>
      <c r="AY157" s="13">
        <f t="shared" si="102"/>
        <v>0.0327312671767762</v>
      </c>
      <c r="AZ157" s="13">
        <f t="shared" si="102"/>
        <v>0.0327312671767762</v>
      </c>
      <c r="BA157" s="13">
        <f t="shared" si="112"/>
        <v>0.0327312671767762</v>
      </c>
      <c r="BB157" s="13">
        <f t="shared" si="112"/>
        <v>0.0327312671767762</v>
      </c>
      <c r="BC157" s="13">
        <f t="shared" si="112"/>
        <v>0.0327312671767762</v>
      </c>
      <c r="BD157" s="13">
        <f t="shared" si="112"/>
        <v>0.0327312671767762</v>
      </c>
      <c r="BE157" s="13">
        <f t="shared" si="112"/>
        <v>0.0327312671767762</v>
      </c>
      <c r="BF157" s="13">
        <f t="shared" si="112"/>
        <v>0.0327312671767762</v>
      </c>
      <c r="BG157" s="13">
        <f t="shared" si="112"/>
        <v>0.0327312671767762</v>
      </c>
      <c r="BH157" s="13">
        <f t="shared" si="112"/>
        <v>0.0327312671767762</v>
      </c>
      <c r="BI157" s="13">
        <f t="shared" si="112"/>
        <v>0.0327312671767762</v>
      </c>
      <c r="BJ157" s="13">
        <f t="shared" si="112"/>
        <v>0.0327312671767762</v>
      </c>
      <c r="BK157" s="13">
        <f t="shared" si="112"/>
        <v>0.0327312671767762</v>
      </c>
      <c r="BL157" s="13">
        <f t="shared" si="112"/>
        <v>0.0327312671767762</v>
      </c>
      <c r="BM157" s="13">
        <f t="shared" si="112"/>
        <v>0.0327312671767762</v>
      </c>
      <c r="BN157" s="13">
        <f t="shared" si="112"/>
        <v>0.0327312671767762</v>
      </c>
    </row>
    <row r="158" spans="4:66">
      <c r="D158" s="13" t="s">
        <v>18</v>
      </c>
      <c r="E158" s="13">
        <f t="shared" ref="E158:AI158" si="121">E88*E124</f>
        <v>0.00153824276216804</v>
      </c>
      <c r="F158" s="13">
        <f t="shared" si="121"/>
        <v>0.00136569528021709</v>
      </c>
      <c r="G158" s="13">
        <f t="shared" si="121"/>
        <v>0.000603709629313543</v>
      </c>
      <c r="H158" s="13">
        <f t="shared" si="121"/>
        <v>0.000558265444519929</v>
      </c>
      <c r="I158" s="13">
        <f t="shared" si="121"/>
        <v>0.000777474588700062</v>
      </c>
      <c r="J158" s="13">
        <f t="shared" si="121"/>
        <v>0.000612895344172352</v>
      </c>
      <c r="K158" s="13">
        <f t="shared" si="121"/>
        <v>0.000440536322746029</v>
      </c>
      <c r="L158" s="13">
        <f t="shared" si="121"/>
        <v>0.00034349339587336</v>
      </c>
      <c r="M158" s="13">
        <f t="shared" si="121"/>
        <v>0.00247060732544812</v>
      </c>
      <c r="N158" s="13">
        <f t="shared" si="121"/>
        <v>0.00185654431848456</v>
      </c>
      <c r="O158" s="13">
        <f t="shared" si="121"/>
        <v>0.00184761057010793</v>
      </c>
      <c r="P158" s="13">
        <f t="shared" si="121"/>
        <v>0.000861800570511119</v>
      </c>
      <c r="Q158" s="13">
        <f t="shared" si="121"/>
        <v>0.00240104998318913</v>
      </c>
      <c r="R158" s="13">
        <f t="shared" si="121"/>
        <v>0.00136021558379298</v>
      </c>
      <c r="S158" s="13">
        <f t="shared" si="121"/>
        <v>0.000975766576562086</v>
      </c>
      <c r="T158" s="13">
        <f t="shared" si="121"/>
        <v>0.000746878114867305</v>
      </c>
      <c r="U158" s="13">
        <f t="shared" si="121"/>
        <v>0.00144907432288671</v>
      </c>
      <c r="V158" s="13">
        <f t="shared" si="121"/>
        <v>0.00175385838547602</v>
      </c>
      <c r="W158" s="13">
        <f t="shared" si="121"/>
        <v>0</v>
      </c>
      <c r="X158" s="13">
        <f t="shared" si="121"/>
        <v>0.00153588586884976</v>
      </c>
      <c r="Y158" s="13">
        <f t="shared" si="121"/>
        <v>0.00210507192009692</v>
      </c>
      <c r="Z158" s="13">
        <f t="shared" si="121"/>
        <v>0.00120330501955762</v>
      </c>
      <c r="AA158" s="13">
        <f t="shared" si="121"/>
        <v>0.000725931871063322</v>
      </c>
      <c r="AB158" s="13">
        <f t="shared" si="121"/>
        <v>0.000846150381949985</v>
      </c>
      <c r="AC158" s="13">
        <f t="shared" si="121"/>
        <v>0.00063897320806284</v>
      </c>
      <c r="AD158" s="13">
        <f t="shared" si="121"/>
        <v>0.000334753682601716</v>
      </c>
      <c r="AE158" s="13">
        <f t="shared" si="121"/>
        <v>0.000830825644460567</v>
      </c>
      <c r="AF158" s="13">
        <f t="shared" si="121"/>
        <v>0.000359614224647447</v>
      </c>
      <c r="AG158" s="13">
        <f t="shared" si="121"/>
        <v>0.000494785382894834</v>
      </c>
      <c r="AH158" s="13">
        <f t="shared" si="121"/>
        <v>0.000546284569671992</v>
      </c>
      <c r="AI158" s="13">
        <f t="shared" si="121"/>
        <v>0.000297986123262383</v>
      </c>
      <c r="AJ158" s="13">
        <f t="shared" si="101"/>
        <v>0.0318832864161558</v>
      </c>
      <c r="AK158" s="13">
        <f t="shared" si="102"/>
        <v>0.0318832864161558</v>
      </c>
      <c r="AL158" s="13">
        <f t="shared" si="102"/>
        <v>0.0318832864161558</v>
      </c>
      <c r="AM158" s="13">
        <f t="shared" si="102"/>
        <v>0.0318832864161558</v>
      </c>
      <c r="AN158" s="13">
        <f t="shared" si="102"/>
        <v>0.0318832864161558</v>
      </c>
      <c r="AO158" s="13">
        <f t="shared" si="102"/>
        <v>0.0318832864161558</v>
      </c>
      <c r="AP158" s="13">
        <f t="shared" si="102"/>
        <v>0.0318832864161558</v>
      </c>
      <c r="AQ158" s="13">
        <f t="shared" si="102"/>
        <v>0.0318832864161558</v>
      </c>
      <c r="AR158" s="13">
        <f t="shared" si="102"/>
        <v>0.0318832864161558</v>
      </c>
      <c r="AS158" s="13">
        <f t="shared" si="102"/>
        <v>0.0318832864161558</v>
      </c>
      <c r="AT158" s="13">
        <f t="shared" si="102"/>
        <v>0.0318832864161558</v>
      </c>
      <c r="AU158" s="13">
        <f t="shared" si="102"/>
        <v>0.0318832864161558</v>
      </c>
      <c r="AV158" s="13">
        <f t="shared" si="102"/>
        <v>0.0318832864161558</v>
      </c>
      <c r="AW158" s="13">
        <f t="shared" si="102"/>
        <v>0.0318832864161558</v>
      </c>
      <c r="AX158" s="13">
        <f t="shared" si="102"/>
        <v>0.0318832864161558</v>
      </c>
      <c r="AY158" s="13">
        <f t="shared" si="102"/>
        <v>0.0318832864161558</v>
      </c>
      <c r="AZ158" s="13">
        <f t="shared" si="102"/>
        <v>0.0318832864161558</v>
      </c>
      <c r="BA158" s="13">
        <f t="shared" si="112"/>
        <v>0.0318832864161558</v>
      </c>
      <c r="BB158" s="13">
        <f t="shared" si="112"/>
        <v>0.0318832864161558</v>
      </c>
      <c r="BC158" s="13">
        <f t="shared" si="112"/>
        <v>0.0318832864161558</v>
      </c>
      <c r="BD158" s="13">
        <f t="shared" si="112"/>
        <v>0.0318832864161558</v>
      </c>
      <c r="BE158" s="13">
        <f t="shared" si="112"/>
        <v>0.0318832864161558</v>
      </c>
      <c r="BF158" s="13">
        <f t="shared" si="112"/>
        <v>0.0318832864161558</v>
      </c>
      <c r="BG158" s="13">
        <f t="shared" si="112"/>
        <v>0.0318832864161558</v>
      </c>
      <c r="BH158" s="13">
        <f t="shared" si="112"/>
        <v>0.0318832864161558</v>
      </c>
      <c r="BI158" s="13">
        <f t="shared" si="112"/>
        <v>0.0318832864161558</v>
      </c>
      <c r="BJ158" s="13">
        <f t="shared" si="112"/>
        <v>0.0318832864161558</v>
      </c>
      <c r="BK158" s="13">
        <f t="shared" si="112"/>
        <v>0.0318832864161558</v>
      </c>
      <c r="BL158" s="13">
        <f t="shared" si="112"/>
        <v>0.0318832864161558</v>
      </c>
      <c r="BM158" s="13">
        <f t="shared" si="112"/>
        <v>0.0318832864161558</v>
      </c>
      <c r="BN158" s="13">
        <f t="shared" si="112"/>
        <v>0.0318832864161558</v>
      </c>
    </row>
    <row r="159" spans="4:66">
      <c r="D159" s="13" t="s">
        <v>19</v>
      </c>
      <c r="E159" s="13">
        <f t="shared" ref="E159:AI159" si="122">E89*E125</f>
        <v>0.00138726741516616</v>
      </c>
      <c r="F159" s="13">
        <f t="shared" si="122"/>
        <v>0.00121536788139203</v>
      </c>
      <c r="G159" s="13">
        <f t="shared" si="122"/>
        <v>0.000548080161766101</v>
      </c>
      <c r="H159" s="13">
        <f t="shared" si="122"/>
        <v>0.000519318546045966</v>
      </c>
      <c r="I159" s="13">
        <f t="shared" si="122"/>
        <v>0.000741574849312202</v>
      </c>
      <c r="J159" s="13">
        <f t="shared" si="122"/>
        <v>0.000540976885764451</v>
      </c>
      <c r="K159" s="13">
        <f t="shared" si="122"/>
        <v>0.000393575674423662</v>
      </c>
      <c r="L159" s="13">
        <f t="shared" si="122"/>
        <v>0.000310187679671864</v>
      </c>
      <c r="M159" s="13">
        <f t="shared" si="122"/>
        <v>0.00183230039206548</v>
      </c>
      <c r="N159" s="13">
        <f t="shared" si="122"/>
        <v>0.00141471339717279</v>
      </c>
      <c r="O159" s="13">
        <f t="shared" si="122"/>
        <v>0.00131761211797731</v>
      </c>
      <c r="P159" s="13">
        <f t="shared" si="122"/>
        <v>0.000651280997172114</v>
      </c>
      <c r="Q159" s="13">
        <f t="shared" si="122"/>
        <v>0.00140226425623489</v>
      </c>
      <c r="R159" s="13">
        <f t="shared" si="122"/>
        <v>0.000873574169348803</v>
      </c>
      <c r="S159" s="13">
        <f t="shared" si="122"/>
        <v>0.000839293706477836</v>
      </c>
      <c r="T159" s="13">
        <f t="shared" si="122"/>
        <v>0.000659441466405858</v>
      </c>
      <c r="U159" s="13">
        <f t="shared" si="122"/>
        <v>0.0011097800597952</v>
      </c>
      <c r="V159" s="13">
        <f t="shared" si="122"/>
        <v>0.00128009757321631</v>
      </c>
      <c r="W159" s="13">
        <f t="shared" si="122"/>
        <v>0.00328939435980157</v>
      </c>
      <c r="X159" s="13">
        <f t="shared" si="122"/>
        <v>0</v>
      </c>
      <c r="Y159" s="13">
        <f t="shared" si="122"/>
        <v>0.00277819713986019</v>
      </c>
      <c r="Z159" s="13">
        <f t="shared" si="122"/>
        <v>0.00144857073005775</v>
      </c>
      <c r="AA159" s="13">
        <f t="shared" si="122"/>
        <v>0.000902064205344023</v>
      </c>
      <c r="AB159" s="13">
        <f t="shared" si="122"/>
        <v>0.00138971050739687</v>
      </c>
      <c r="AC159" s="13">
        <f t="shared" si="122"/>
        <v>0.00108072292310637</v>
      </c>
      <c r="AD159" s="13">
        <f t="shared" si="122"/>
        <v>0.000409702338834383</v>
      </c>
      <c r="AE159" s="13">
        <f t="shared" si="122"/>
        <v>0.000832874672116726</v>
      </c>
      <c r="AF159" s="13">
        <f t="shared" si="122"/>
        <v>0.000389323249305779</v>
      </c>
      <c r="AG159" s="13">
        <f t="shared" si="122"/>
        <v>0.000544881174189325</v>
      </c>
      <c r="AH159" s="13">
        <f t="shared" si="122"/>
        <v>0.000558092114553633</v>
      </c>
      <c r="AI159" s="13">
        <f t="shared" si="122"/>
        <v>0.000321332593366164</v>
      </c>
      <c r="AJ159" s="13">
        <f t="shared" si="101"/>
        <v>0.0309815732373418</v>
      </c>
      <c r="AK159" s="13">
        <f t="shared" si="102"/>
        <v>0.0309815732373418</v>
      </c>
      <c r="AL159" s="13">
        <f t="shared" si="102"/>
        <v>0.0309815732373418</v>
      </c>
      <c r="AM159" s="13">
        <f t="shared" si="102"/>
        <v>0.0309815732373418</v>
      </c>
      <c r="AN159" s="13">
        <f t="shared" si="102"/>
        <v>0.0309815732373418</v>
      </c>
      <c r="AO159" s="13">
        <f t="shared" si="102"/>
        <v>0.0309815732373418</v>
      </c>
      <c r="AP159" s="13">
        <f t="shared" si="102"/>
        <v>0.0309815732373418</v>
      </c>
      <c r="AQ159" s="13">
        <f t="shared" si="102"/>
        <v>0.0309815732373418</v>
      </c>
      <c r="AR159" s="13">
        <f t="shared" si="102"/>
        <v>0.0309815732373418</v>
      </c>
      <c r="AS159" s="13">
        <f t="shared" si="102"/>
        <v>0.0309815732373418</v>
      </c>
      <c r="AT159" s="13">
        <f t="shared" si="102"/>
        <v>0.0309815732373418</v>
      </c>
      <c r="AU159" s="13">
        <f t="shared" si="102"/>
        <v>0.0309815732373418</v>
      </c>
      <c r="AV159" s="13">
        <f t="shared" si="102"/>
        <v>0.0309815732373418</v>
      </c>
      <c r="AW159" s="13">
        <f t="shared" si="102"/>
        <v>0.0309815732373418</v>
      </c>
      <c r="AX159" s="13">
        <f t="shared" si="102"/>
        <v>0.0309815732373418</v>
      </c>
      <c r="AY159" s="13">
        <f t="shared" si="102"/>
        <v>0.0309815732373418</v>
      </c>
      <c r="AZ159" s="13">
        <f t="shared" si="102"/>
        <v>0.0309815732373418</v>
      </c>
      <c r="BA159" s="13">
        <f t="shared" si="112"/>
        <v>0.0309815732373418</v>
      </c>
      <c r="BB159" s="13">
        <f t="shared" si="112"/>
        <v>0.0309815732373418</v>
      </c>
      <c r="BC159" s="13">
        <f t="shared" si="112"/>
        <v>0.0309815732373418</v>
      </c>
      <c r="BD159" s="13">
        <f t="shared" si="112"/>
        <v>0.0309815732373418</v>
      </c>
      <c r="BE159" s="13">
        <f t="shared" si="112"/>
        <v>0.0309815732373418</v>
      </c>
      <c r="BF159" s="13">
        <f t="shared" si="112"/>
        <v>0.0309815732373418</v>
      </c>
      <c r="BG159" s="13">
        <f t="shared" si="112"/>
        <v>0.0309815732373418</v>
      </c>
      <c r="BH159" s="13">
        <f t="shared" si="112"/>
        <v>0.0309815732373418</v>
      </c>
      <c r="BI159" s="13">
        <f t="shared" si="112"/>
        <v>0.0309815732373418</v>
      </c>
      <c r="BJ159" s="13">
        <f t="shared" si="112"/>
        <v>0.0309815732373418</v>
      </c>
      <c r="BK159" s="13">
        <f t="shared" si="112"/>
        <v>0.0309815732373418</v>
      </c>
      <c r="BL159" s="13">
        <f t="shared" si="112"/>
        <v>0.0309815732373418</v>
      </c>
      <c r="BM159" s="13">
        <f t="shared" si="112"/>
        <v>0.0309815732373418</v>
      </c>
      <c r="BN159" s="13">
        <f t="shared" si="112"/>
        <v>0.0309815732373418</v>
      </c>
    </row>
    <row r="160" spans="4:66">
      <c r="D160" s="13" t="s">
        <v>20</v>
      </c>
      <c r="E160" s="13">
        <f t="shared" ref="E160:AI160" si="123">E90*E126</f>
        <v>0.00145422031523846</v>
      </c>
      <c r="F160" s="13">
        <f t="shared" si="123"/>
        <v>0.00128005005939329</v>
      </c>
      <c r="G160" s="13">
        <f t="shared" si="123"/>
        <v>0.000564312735933788</v>
      </c>
      <c r="H160" s="13">
        <f t="shared" si="123"/>
        <v>0.000525452381727326</v>
      </c>
      <c r="I160" s="13">
        <f t="shared" si="123"/>
        <v>0.000759045908895694</v>
      </c>
      <c r="J160" s="13">
        <f t="shared" si="123"/>
        <v>0.000588799246422237</v>
      </c>
      <c r="K160" s="13">
        <f t="shared" si="123"/>
        <v>0.000430662629241927</v>
      </c>
      <c r="L160" s="13">
        <f t="shared" si="123"/>
        <v>0.000340106872028233</v>
      </c>
      <c r="M160" s="13">
        <f t="shared" si="123"/>
        <v>0.00205291506325195</v>
      </c>
      <c r="N160" s="13">
        <f t="shared" si="123"/>
        <v>0.00152455866258301</v>
      </c>
      <c r="O160" s="13">
        <f t="shared" si="123"/>
        <v>0.00147449700606972</v>
      </c>
      <c r="P160" s="13">
        <f t="shared" si="123"/>
        <v>0.000691089959130159</v>
      </c>
      <c r="Q160" s="13">
        <f t="shared" si="123"/>
        <v>0.00167946529123148</v>
      </c>
      <c r="R160" s="13">
        <f t="shared" si="123"/>
        <v>0.000923464239148048</v>
      </c>
      <c r="S160" s="13">
        <f t="shared" si="123"/>
        <v>0.000880605068294998</v>
      </c>
      <c r="T160" s="13">
        <f t="shared" si="123"/>
        <v>0.000661745141383451</v>
      </c>
      <c r="U160" s="13">
        <f t="shared" si="123"/>
        <v>0.00111237835240219</v>
      </c>
      <c r="V160" s="13">
        <f t="shared" si="123"/>
        <v>0.00121290714130196</v>
      </c>
      <c r="W160" s="13">
        <f t="shared" si="123"/>
        <v>0.00425003715952897</v>
      </c>
      <c r="X160" s="13">
        <f t="shared" si="123"/>
        <v>0.00261897799938212</v>
      </c>
      <c r="Y160" s="13">
        <f t="shared" si="123"/>
        <v>0</v>
      </c>
      <c r="Z160" s="13">
        <f t="shared" si="123"/>
        <v>0.00119644024695014</v>
      </c>
      <c r="AA160" s="13">
        <f t="shared" si="123"/>
        <v>0.000771740088850351</v>
      </c>
      <c r="AB160" s="13">
        <f t="shared" si="123"/>
        <v>0.000929443403959475</v>
      </c>
      <c r="AC160" s="13">
        <f t="shared" si="123"/>
        <v>0.000833591979829734</v>
      </c>
      <c r="AD160" s="13">
        <f t="shared" si="123"/>
        <v>0.000403485003081338</v>
      </c>
      <c r="AE160" s="13">
        <f t="shared" si="123"/>
        <v>0.000788776681922307</v>
      </c>
      <c r="AF160" s="13">
        <f t="shared" si="123"/>
        <v>0.000372075889495267</v>
      </c>
      <c r="AG160" s="13">
        <f t="shared" si="123"/>
        <v>0.000523801499125126</v>
      </c>
      <c r="AH160" s="13">
        <f t="shared" si="123"/>
        <v>0.000549537353011472</v>
      </c>
      <c r="AI160" s="13">
        <f t="shared" si="123"/>
        <v>0.000332311779682137</v>
      </c>
      <c r="AJ160" s="13">
        <f t="shared" si="101"/>
        <v>0.0317264951584964</v>
      </c>
      <c r="AK160" s="13">
        <f t="shared" si="102"/>
        <v>0.0317264951584964</v>
      </c>
      <c r="AL160" s="13">
        <f t="shared" si="102"/>
        <v>0.0317264951584964</v>
      </c>
      <c r="AM160" s="13">
        <f t="shared" si="102"/>
        <v>0.0317264951584964</v>
      </c>
      <c r="AN160" s="13">
        <f t="shared" si="102"/>
        <v>0.0317264951584964</v>
      </c>
      <c r="AO160" s="13">
        <f t="shared" si="102"/>
        <v>0.0317264951584964</v>
      </c>
      <c r="AP160" s="13">
        <f t="shared" si="102"/>
        <v>0.0317264951584964</v>
      </c>
      <c r="AQ160" s="13">
        <f t="shared" si="102"/>
        <v>0.0317264951584964</v>
      </c>
      <c r="AR160" s="13">
        <f t="shared" si="102"/>
        <v>0.0317264951584964</v>
      </c>
      <c r="AS160" s="13">
        <f t="shared" si="102"/>
        <v>0.0317264951584964</v>
      </c>
      <c r="AT160" s="13">
        <f t="shared" si="102"/>
        <v>0.0317264951584964</v>
      </c>
      <c r="AU160" s="13">
        <f t="shared" si="102"/>
        <v>0.0317264951584964</v>
      </c>
      <c r="AV160" s="13">
        <f t="shared" si="102"/>
        <v>0.0317264951584964</v>
      </c>
      <c r="AW160" s="13">
        <f t="shared" si="102"/>
        <v>0.0317264951584964</v>
      </c>
      <c r="AX160" s="13">
        <f t="shared" si="102"/>
        <v>0.0317264951584964</v>
      </c>
      <c r="AY160" s="13">
        <f t="shared" si="102"/>
        <v>0.0317264951584964</v>
      </c>
      <c r="AZ160" s="13">
        <f t="shared" si="102"/>
        <v>0.0317264951584964</v>
      </c>
      <c r="BA160" s="13">
        <f t="shared" si="112"/>
        <v>0.0317264951584964</v>
      </c>
      <c r="BB160" s="13">
        <f t="shared" si="112"/>
        <v>0.0317264951584964</v>
      </c>
      <c r="BC160" s="13">
        <f t="shared" si="112"/>
        <v>0.0317264951584964</v>
      </c>
      <c r="BD160" s="13">
        <f t="shared" si="112"/>
        <v>0.0317264951584964</v>
      </c>
      <c r="BE160" s="13">
        <f t="shared" si="112"/>
        <v>0.0317264951584964</v>
      </c>
      <c r="BF160" s="13">
        <f t="shared" si="112"/>
        <v>0.0317264951584964</v>
      </c>
      <c r="BG160" s="13">
        <f t="shared" si="112"/>
        <v>0.0317264951584964</v>
      </c>
      <c r="BH160" s="13">
        <f t="shared" si="112"/>
        <v>0.0317264951584964</v>
      </c>
      <c r="BI160" s="13">
        <f t="shared" si="112"/>
        <v>0.0317264951584964</v>
      </c>
      <c r="BJ160" s="13">
        <f t="shared" si="112"/>
        <v>0.0317264951584964</v>
      </c>
      <c r="BK160" s="13">
        <f t="shared" si="112"/>
        <v>0.0317264951584964</v>
      </c>
      <c r="BL160" s="13">
        <f t="shared" si="112"/>
        <v>0.0317264951584964</v>
      </c>
      <c r="BM160" s="13">
        <f t="shared" si="112"/>
        <v>0.0317264951584964</v>
      </c>
      <c r="BN160" s="13">
        <f t="shared" si="112"/>
        <v>0.0317264951584964</v>
      </c>
    </row>
    <row r="161" spans="4:66">
      <c r="D161" s="13" t="s">
        <v>21</v>
      </c>
      <c r="E161" s="13">
        <f t="shared" ref="E161:AI161" si="124">E91*E127</f>
        <v>0.0015819430517543</v>
      </c>
      <c r="F161" s="13">
        <f t="shared" si="124"/>
        <v>0.00136280901648144</v>
      </c>
      <c r="G161" s="13">
        <f t="shared" si="124"/>
        <v>0.000670159254105098</v>
      </c>
      <c r="H161" s="13">
        <f t="shared" si="124"/>
        <v>0.000683602662774346</v>
      </c>
      <c r="I161" s="13">
        <f t="shared" si="124"/>
        <v>0.000920699459350819</v>
      </c>
      <c r="J161" s="13">
        <f t="shared" si="124"/>
        <v>0.000542021350538835</v>
      </c>
      <c r="K161" s="13">
        <f t="shared" si="124"/>
        <v>0.000386565408189765</v>
      </c>
      <c r="L161" s="13">
        <f t="shared" si="124"/>
        <v>0.000301718870226338</v>
      </c>
      <c r="M161" s="13">
        <f t="shared" si="124"/>
        <v>0.00164288425747189</v>
      </c>
      <c r="N161" s="13">
        <f t="shared" si="124"/>
        <v>0.00140325608538188</v>
      </c>
      <c r="O161" s="13">
        <f t="shared" si="124"/>
        <v>0.00116308316868469</v>
      </c>
      <c r="P161" s="13">
        <f t="shared" si="124"/>
        <v>0.000664114948689822</v>
      </c>
      <c r="Q161" s="13">
        <f t="shared" si="124"/>
        <v>0.00100572960573289</v>
      </c>
      <c r="R161" s="13">
        <f t="shared" si="124"/>
        <v>0.000771075716546588</v>
      </c>
      <c r="S161" s="13">
        <f t="shared" si="124"/>
        <v>0.000949507347638922</v>
      </c>
      <c r="T161" s="13">
        <f t="shared" si="124"/>
        <v>0.000881469597012194</v>
      </c>
      <c r="U161" s="13">
        <f t="shared" si="124"/>
        <v>0.00125495821353905</v>
      </c>
      <c r="V161" s="13">
        <f t="shared" si="124"/>
        <v>0.00127002888359287</v>
      </c>
      <c r="W161" s="13">
        <f t="shared" si="124"/>
        <v>0.00136147224887379</v>
      </c>
      <c r="X161" s="13">
        <f t="shared" si="124"/>
        <v>0.000765271908992568</v>
      </c>
      <c r="Y161" s="13">
        <f t="shared" si="124"/>
        <v>0.000670499239843218</v>
      </c>
      <c r="Z161" s="13">
        <f t="shared" si="124"/>
        <v>0</v>
      </c>
      <c r="AA161" s="13">
        <f t="shared" si="124"/>
        <v>0.00269814581419008</v>
      </c>
      <c r="AB161" s="13">
        <f t="shared" si="124"/>
        <v>0.00142070201366128</v>
      </c>
      <c r="AC161" s="13">
        <f t="shared" si="124"/>
        <v>0.000858651355113912</v>
      </c>
      <c r="AD161" s="13">
        <f t="shared" si="124"/>
        <v>0.000405981847926847</v>
      </c>
      <c r="AE161" s="13">
        <f t="shared" si="124"/>
        <v>0.00157363267010867</v>
      </c>
      <c r="AF161" s="13">
        <f t="shared" si="124"/>
        <v>0.000628404739881833</v>
      </c>
      <c r="AG161" s="13">
        <f t="shared" si="124"/>
        <v>0.000810874652477374</v>
      </c>
      <c r="AH161" s="13">
        <f t="shared" si="124"/>
        <v>0.000806934422215549</v>
      </c>
      <c r="AI161" s="13">
        <f t="shared" si="124"/>
        <v>0.000334061162536923</v>
      </c>
      <c r="AJ161" s="13">
        <f t="shared" si="101"/>
        <v>0.0297902589735338</v>
      </c>
      <c r="AK161" s="13">
        <f t="shared" si="102"/>
        <v>0.0297902589735338</v>
      </c>
      <c r="AL161" s="13">
        <f t="shared" si="102"/>
        <v>0.0297902589735338</v>
      </c>
      <c r="AM161" s="13">
        <f t="shared" si="102"/>
        <v>0.0297902589735338</v>
      </c>
      <c r="AN161" s="13">
        <f t="shared" si="102"/>
        <v>0.0297902589735338</v>
      </c>
      <c r="AO161" s="13">
        <f t="shared" si="102"/>
        <v>0.0297902589735338</v>
      </c>
      <c r="AP161" s="13">
        <f t="shared" si="102"/>
        <v>0.0297902589735338</v>
      </c>
      <c r="AQ161" s="13">
        <f t="shared" si="102"/>
        <v>0.0297902589735338</v>
      </c>
      <c r="AR161" s="13">
        <f t="shared" si="102"/>
        <v>0.0297902589735338</v>
      </c>
      <c r="AS161" s="13">
        <f t="shared" si="102"/>
        <v>0.0297902589735338</v>
      </c>
      <c r="AT161" s="13">
        <f t="shared" si="102"/>
        <v>0.0297902589735338</v>
      </c>
      <c r="AU161" s="13">
        <f t="shared" si="102"/>
        <v>0.0297902589735338</v>
      </c>
      <c r="AV161" s="13">
        <f t="shared" si="102"/>
        <v>0.0297902589735338</v>
      </c>
      <c r="AW161" s="13">
        <f t="shared" si="102"/>
        <v>0.0297902589735338</v>
      </c>
      <c r="AX161" s="13">
        <f t="shared" si="102"/>
        <v>0.0297902589735338</v>
      </c>
      <c r="AY161" s="13">
        <f t="shared" si="102"/>
        <v>0.0297902589735338</v>
      </c>
      <c r="AZ161" s="13">
        <f t="shared" si="102"/>
        <v>0.0297902589735338</v>
      </c>
      <c r="BA161" s="13">
        <f t="shared" si="112"/>
        <v>0.0297902589735338</v>
      </c>
      <c r="BB161" s="13">
        <f t="shared" si="112"/>
        <v>0.0297902589735338</v>
      </c>
      <c r="BC161" s="13">
        <f t="shared" si="112"/>
        <v>0.0297902589735338</v>
      </c>
      <c r="BD161" s="13">
        <f t="shared" si="112"/>
        <v>0.0297902589735338</v>
      </c>
      <c r="BE161" s="13">
        <f t="shared" si="112"/>
        <v>0.0297902589735338</v>
      </c>
      <c r="BF161" s="13">
        <f t="shared" si="112"/>
        <v>0.0297902589735338</v>
      </c>
      <c r="BG161" s="13">
        <f t="shared" si="112"/>
        <v>0.0297902589735338</v>
      </c>
      <c r="BH161" s="13">
        <f t="shared" si="112"/>
        <v>0.0297902589735338</v>
      </c>
      <c r="BI161" s="13">
        <f t="shared" si="112"/>
        <v>0.0297902589735338</v>
      </c>
      <c r="BJ161" s="13">
        <f t="shared" si="112"/>
        <v>0.0297902589735338</v>
      </c>
      <c r="BK161" s="13">
        <f t="shared" si="112"/>
        <v>0.0297902589735338</v>
      </c>
      <c r="BL161" s="13">
        <f t="shared" si="112"/>
        <v>0.0297902589735338</v>
      </c>
      <c r="BM161" s="13">
        <f t="shared" si="112"/>
        <v>0.0297902589735338</v>
      </c>
      <c r="BN161" s="13">
        <f t="shared" si="112"/>
        <v>0.0297902589735338</v>
      </c>
    </row>
    <row r="162" spans="4:66">
      <c r="D162" s="13" t="s">
        <v>22</v>
      </c>
      <c r="E162" s="13">
        <f t="shared" ref="E162:AI162" si="125">E92*E128</f>
        <v>0.00161528816595814</v>
      </c>
      <c r="F162" s="13">
        <f t="shared" si="125"/>
        <v>0.00137798886495524</v>
      </c>
      <c r="G162" s="13">
        <f t="shared" si="125"/>
        <v>0.00067592342366467</v>
      </c>
      <c r="H162" s="13">
        <f t="shared" si="125"/>
        <v>0.000695072077967632</v>
      </c>
      <c r="I162" s="13">
        <f t="shared" si="125"/>
        <v>0.000986393301138065</v>
      </c>
      <c r="J162" s="13">
        <f t="shared" si="125"/>
        <v>0.000555728466199513</v>
      </c>
      <c r="K162" s="13">
        <f t="shared" si="125"/>
        <v>0.000400735288928893</v>
      </c>
      <c r="L162" s="13">
        <f t="shared" si="125"/>
        <v>0.000315379226870991</v>
      </c>
      <c r="M162" s="13">
        <f t="shared" si="125"/>
        <v>0.00153806412285874</v>
      </c>
      <c r="N162" s="13">
        <f t="shared" si="125"/>
        <v>0.00128644729970594</v>
      </c>
      <c r="O162" s="13">
        <f t="shared" si="125"/>
        <v>0.00106965440678563</v>
      </c>
      <c r="P162" s="13">
        <f t="shared" si="125"/>
        <v>0.00059497925382128</v>
      </c>
      <c r="Q162" s="13">
        <f t="shared" si="125"/>
        <v>0.000910906065696011</v>
      </c>
      <c r="R162" s="13">
        <f t="shared" si="125"/>
        <v>0.000651280268770215</v>
      </c>
      <c r="S162" s="13">
        <f t="shared" si="125"/>
        <v>0.000923624066715588</v>
      </c>
      <c r="T162" s="13">
        <f t="shared" si="125"/>
        <v>0.000815674508408536</v>
      </c>
      <c r="U162" s="13">
        <f t="shared" si="125"/>
        <v>0.00103519192447904</v>
      </c>
      <c r="V162" s="13">
        <f t="shared" si="125"/>
        <v>0.000970228986640548</v>
      </c>
      <c r="W162" s="13">
        <f t="shared" si="125"/>
        <v>0.00118657141128497</v>
      </c>
      <c r="X162" s="13">
        <f t="shared" si="125"/>
        <v>0.000688459611897403</v>
      </c>
      <c r="Y162" s="13">
        <f t="shared" si="125"/>
        <v>0.000624803261805485</v>
      </c>
      <c r="Z162" s="13">
        <f t="shared" si="125"/>
        <v>0.00389789707843561</v>
      </c>
      <c r="AA162" s="13">
        <f t="shared" si="125"/>
        <v>0</v>
      </c>
      <c r="AB162" s="13">
        <f t="shared" si="125"/>
        <v>0.00109446719173404</v>
      </c>
      <c r="AC162" s="13">
        <f t="shared" si="125"/>
        <v>0.000978928113731816</v>
      </c>
      <c r="AD162" s="13">
        <f t="shared" si="125"/>
        <v>0.000524844522666751</v>
      </c>
      <c r="AE162" s="13">
        <f t="shared" si="125"/>
        <v>0.00155275458857797</v>
      </c>
      <c r="AF162" s="13">
        <f t="shared" si="125"/>
        <v>0.000834362807006837</v>
      </c>
      <c r="AG162" s="13">
        <f t="shared" si="125"/>
        <v>0.00110739885345433</v>
      </c>
      <c r="AH162" s="13">
        <f t="shared" si="125"/>
        <v>0.000941906216328817</v>
      </c>
      <c r="AI162" s="13">
        <f t="shared" si="125"/>
        <v>0.000401751123514349</v>
      </c>
      <c r="AJ162" s="13">
        <f t="shared" si="101"/>
        <v>0.0302527045000031</v>
      </c>
      <c r="AK162" s="13">
        <f t="shared" si="102"/>
        <v>0.0302527045000031</v>
      </c>
      <c r="AL162" s="13">
        <f t="shared" si="102"/>
        <v>0.0302527045000031</v>
      </c>
      <c r="AM162" s="13">
        <f t="shared" si="102"/>
        <v>0.0302527045000031</v>
      </c>
      <c r="AN162" s="13">
        <f t="shared" si="102"/>
        <v>0.0302527045000031</v>
      </c>
      <c r="AO162" s="13">
        <f t="shared" si="102"/>
        <v>0.0302527045000031</v>
      </c>
      <c r="AP162" s="13">
        <f t="shared" si="102"/>
        <v>0.0302527045000031</v>
      </c>
      <c r="AQ162" s="13">
        <f t="shared" si="102"/>
        <v>0.0302527045000031</v>
      </c>
      <c r="AR162" s="13">
        <f t="shared" si="102"/>
        <v>0.0302527045000031</v>
      </c>
      <c r="AS162" s="13">
        <f t="shared" si="102"/>
        <v>0.0302527045000031</v>
      </c>
      <c r="AT162" s="13">
        <f t="shared" si="102"/>
        <v>0.0302527045000031</v>
      </c>
      <c r="AU162" s="13">
        <f t="shared" si="102"/>
        <v>0.0302527045000031</v>
      </c>
      <c r="AV162" s="13">
        <f t="shared" si="102"/>
        <v>0.0302527045000031</v>
      </c>
      <c r="AW162" s="13">
        <f t="shared" si="102"/>
        <v>0.0302527045000031</v>
      </c>
      <c r="AX162" s="13">
        <f t="shared" si="102"/>
        <v>0.0302527045000031</v>
      </c>
      <c r="AY162" s="13">
        <f t="shared" si="102"/>
        <v>0.0302527045000031</v>
      </c>
      <c r="AZ162" s="13">
        <f t="shared" si="102"/>
        <v>0.0302527045000031</v>
      </c>
      <c r="BA162" s="13">
        <f t="shared" si="112"/>
        <v>0.0302527045000031</v>
      </c>
      <c r="BB162" s="13">
        <f t="shared" si="112"/>
        <v>0.0302527045000031</v>
      </c>
      <c r="BC162" s="13">
        <f t="shared" si="112"/>
        <v>0.0302527045000031</v>
      </c>
      <c r="BD162" s="13">
        <f t="shared" si="112"/>
        <v>0.0302527045000031</v>
      </c>
      <c r="BE162" s="13">
        <f t="shared" si="112"/>
        <v>0.0302527045000031</v>
      </c>
      <c r="BF162" s="13">
        <f t="shared" si="112"/>
        <v>0.0302527045000031</v>
      </c>
      <c r="BG162" s="13">
        <f t="shared" si="112"/>
        <v>0.0302527045000031</v>
      </c>
      <c r="BH162" s="13">
        <f t="shared" si="112"/>
        <v>0.0302527045000031</v>
      </c>
      <c r="BI162" s="13">
        <f t="shared" si="112"/>
        <v>0.0302527045000031</v>
      </c>
      <c r="BJ162" s="13">
        <f t="shared" si="112"/>
        <v>0.0302527045000031</v>
      </c>
      <c r="BK162" s="13">
        <f t="shared" si="112"/>
        <v>0.0302527045000031</v>
      </c>
      <c r="BL162" s="13">
        <f t="shared" si="112"/>
        <v>0.0302527045000031</v>
      </c>
      <c r="BM162" s="13">
        <f t="shared" si="112"/>
        <v>0.0302527045000031</v>
      </c>
      <c r="BN162" s="13">
        <f t="shared" si="112"/>
        <v>0.0302527045000031</v>
      </c>
    </row>
    <row r="163" spans="4:66">
      <c r="D163" s="13" t="s">
        <v>23</v>
      </c>
      <c r="E163" s="13">
        <f t="shared" ref="E163:AI163" si="126">E93*E129</f>
        <v>0.00142669470237275</v>
      </c>
      <c r="F163" s="13">
        <f t="shared" si="126"/>
        <v>0.00123911413723325</v>
      </c>
      <c r="G163" s="13">
        <f t="shared" si="126"/>
        <v>0.000581645748125781</v>
      </c>
      <c r="H163" s="13">
        <f t="shared" si="126"/>
        <v>0.000569805181290798</v>
      </c>
      <c r="I163" s="13">
        <f t="shared" si="126"/>
        <v>0.000796631862667176</v>
      </c>
      <c r="J163" s="13">
        <f t="shared" si="126"/>
        <v>0.000522797206650444</v>
      </c>
      <c r="K163" s="13">
        <f t="shared" si="126"/>
        <v>0.000377120028348883</v>
      </c>
      <c r="L163" s="13">
        <f t="shared" si="126"/>
        <v>0.000296149446835922</v>
      </c>
      <c r="M163" s="13">
        <f t="shared" si="126"/>
        <v>0.00166715145222165</v>
      </c>
      <c r="N163" s="13">
        <f t="shared" si="126"/>
        <v>0.00135903465061209</v>
      </c>
      <c r="O163" s="13">
        <f t="shared" si="126"/>
        <v>0.00119092755847899</v>
      </c>
      <c r="P163" s="13">
        <f t="shared" si="126"/>
        <v>0.000636276137910431</v>
      </c>
      <c r="Q163" s="13">
        <f t="shared" si="126"/>
        <v>0.00113141268990156</v>
      </c>
      <c r="R163" s="13">
        <f t="shared" si="126"/>
        <v>0.000807677109061347</v>
      </c>
      <c r="S163" s="13">
        <f t="shared" si="126"/>
        <v>0.000857927776586387</v>
      </c>
      <c r="T163" s="13">
        <f t="shared" si="126"/>
        <v>0.000727726703264107</v>
      </c>
      <c r="U163" s="13">
        <f t="shared" si="126"/>
        <v>0.00116083427589557</v>
      </c>
      <c r="V163" s="13">
        <f t="shared" si="126"/>
        <v>0.00133154811366223</v>
      </c>
      <c r="W163" s="13">
        <f t="shared" si="126"/>
        <v>0.001900121834911</v>
      </c>
      <c r="X163" s="13">
        <f t="shared" si="126"/>
        <v>0.00145713985223668</v>
      </c>
      <c r="Y163" s="13">
        <f t="shared" si="126"/>
        <v>0.00103378697098469</v>
      </c>
      <c r="Z163" s="13">
        <f t="shared" si="126"/>
        <v>0.00281970597557419</v>
      </c>
      <c r="AA163" s="13">
        <f t="shared" si="126"/>
        <v>0.00150362183856207</v>
      </c>
      <c r="AB163" s="13">
        <f t="shared" si="126"/>
        <v>0</v>
      </c>
      <c r="AC163" s="13">
        <f t="shared" si="126"/>
        <v>0.00143676594434077</v>
      </c>
      <c r="AD163" s="13">
        <f t="shared" si="126"/>
        <v>0.000431972104693347</v>
      </c>
      <c r="AE163" s="13">
        <f t="shared" si="126"/>
        <v>0.0010530216037485</v>
      </c>
      <c r="AF163" s="13">
        <f t="shared" si="126"/>
        <v>0.000478702101995428</v>
      </c>
      <c r="AG163" s="13">
        <f t="shared" si="126"/>
        <v>0.000655854398091848</v>
      </c>
      <c r="AH163" s="13">
        <f t="shared" si="126"/>
        <v>0.000646113998786998</v>
      </c>
      <c r="AI163" s="13">
        <f t="shared" si="126"/>
        <v>0.000328615309379265</v>
      </c>
      <c r="AJ163" s="13">
        <f t="shared" si="101"/>
        <v>0.0304258967144242</v>
      </c>
      <c r="AK163" s="13">
        <f t="shared" si="102"/>
        <v>0.0304258967144242</v>
      </c>
      <c r="AL163" s="13">
        <f t="shared" si="102"/>
        <v>0.0304258967144242</v>
      </c>
      <c r="AM163" s="13">
        <f t="shared" si="102"/>
        <v>0.0304258967144242</v>
      </c>
      <c r="AN163" s="13">
        <f t="shared" si="102"/>
        <v>0.0304258967144242</v>
      </c>
      <c r="AO163" s="13">
        <f t="shared" si="102"/>
        <v>0.0304258967144242</v>
      </c>
      <c r="AP163" s="13">
        <f t="shared" si="102"/>
        <v>0.0304258967144242</v>
      </c>
      <c r="AQ163" s="13">
        <f t="shared" si="102"/>
        <v>0.0304258967144242</v>
      </c>
      <c r="AR163" s="13">
        <f t="shared" si="102"/>
        <v>0.0304258967144242</v>
      </c>
      <c r="AS163" s="13">
        <f t="shared" si="102"/>
        <v>0.0304258967144242</v>
      </c>
      <c r="AT163" s="13">
        <f t="shared" si="102"/>
        <v>0.0304258967144242</v>
      </c>
      <c r="AU163" s="13">
        <f t="shared" si="102"/>
        <v>0.0304258967144242</v>
      </c>
      <c r="AV163" s="13">
        <f t="shared" si="102"/>
        <v>0.0304258967144242</v>
      </c>
      <c r="AW163" s="13">
        <f t="shared" si="102"/>
        <v>0.0304258967144242</v>
      </c>
      <c r="AX163" s="13">
        <f t="shared" si="102"/>
        <v>0.0304258967144242</v>
      </c>
      <c r="AY163" s="13">
        <f t="shared" si="102"/>
        <v>0.0304258967144242</v>
      </c>
      <c r="AZ163" s="13">
        <f t="shared" si="102"/>
        <v>0.0304258967144242</v>
      </c>
      <c r="BA163" s="13">
        <f t="shared" si="112"/>
        <v>0.0304258967144242</v>
      </c>
      <c r="BB163" s="13">
        <f t="shared" si="112"/>
        <v>0.0304258967144242</v>
      </c>
      <c r="BC163" s="13">
        <f t="shared" si="112"/>
        <v>0.0304258967144242</v>
      </c>
      <c r="BD163" s="13">
        <f t="shared" si="112"/>
        <v>0.0304258967144242</v>
      </c>
      <c r="BE163" s="13">
        <f t="shared" si="112"/>
        <v>0.0304258967144242</v>
      </c>
      <c r="BF163" s="13">
        <f t="shared" si="112"/>
        <v>0.0304258967144242</v>
      </c>
      <c r="BG163" s="13">
        <f t="shared" si="112"/>
        <v>0.0304258967144242</v>
      </c>
      <c r="BH163" s="13">
        <f t="shared" si="112"/>
        <v>0.0304258967144242</v>
      </c>
      <c r="BI163" s="13">
        <f t="shared" si="112"/>
        <v>0.0304258967144242</v>
      </c>
      <c r="BJ163" s="13">
        <f t="shared" si="112"/>
        <v>0.0304258967144242</v>
      </c>
      <c r="BK163" s="13">
        <f t="shared" si="112"/>
        <v>0.0304258967144242</v>
      </c>
      <c r="BL163" s="13">
        <f t="shared" si="112"/>
        <v>0.0304258967144242</v>
      </c>
      <c r="BM163" s="13">
        <f t="shared" si="112"/>
        <v>0.0304258967144242</v>
      </c>
      <c r="BN163" s="13">
        <f t="shared" si="112"/>
        <v>0.0304258967144242</v>
      </c>
    </row>
    <row r="164" spans="4:66">
      <c r="D164" s="13" t="s">
        <v>24</v>
      </c>
      <c r="E164" s="13">
        <f t="shared" ref="E164:AI164" si="127">E94*E130</f>
        <v>0.00151948053899366</v>
      </c>
      <c r="F164" s="13">
        <f t="shared" si="127"/>
        <v>0.00131123833322511</v>
      </c>
      <c r="G164" s="13">
        <f t="shared" si="127"/>
        <v>0.000605378138219287</v>
      </c>
      <c r="H164" s="13">
        <f t="shared" si="127"/>
        <v>0.000589863927327888</v>
      </c>
      <c r="I164" s="13">
        <f t="shared" si="127"/>
        <v>0.000870154784672133</v>
      </c>
      <c r="J164" s="13">
        <f t="shared" si="127"/>
        <v>0.000573211004064753</v>
      </c>
      <c r="K164" s="13">
        <f t="shared" si="127"/>
        <v>0.000420632266193049</v>
      </c>
      <c r="L164" s="13">
        <f t="shared" si="127"/>
        <v>0.000334402649520295</v>
      </c>
      <c r="M164" s="13">
        <f t="shared" si="127"/>
        <v>0.00166438084250233</v>
      </c>
      <c r="N164" s="13">
        <f t="shared" si="127"/>
        <v>0.0013154181502147</v>
      </c>
      <c r="O164" s="13">
        <f t="shared" si="127"/>
        <v>0.00116351262218885</v>
      </c>
      <c r="P164" s="13">
        <f t="shared" si="127"/>
        <v>0.000599593935801373</v>
      </c>
      <c r="Q164" s="13">
        <f t="shared" si="127"/>
        <v>0.00108923260007238</v>
      </c>
      <c r="R164" s="13">
        <f t="shared" si="127"/>
        <v>0.000705361631891566</v>
      </c>
      <c r="S164" s="13">
        <f t="shared" si="127"/>
        <v>0.000873574947339177</v>
      </c>
      <c r="T164" s="13">
        <f t="shared" si="127"/>
        <v>0.000698946304380981</v>
      </c>
      <c r="U164" s="13">
        <f t="shared" si="127"/>
        <v>0.00100118917572087</v>
      </c>
      <c r="V164" s="13">
        <f t="shared" si="127"/>
        <v>0.00101829537642207</v>
      </c>
      <c r="W164" s="13">
        <f t="shared" si="127"/>
        <v>0.00167880958297062</v>
      </c>
      <c r="X164" s="13">
        <f t="shared" si="127"/>
        <v>0.0013257943241009</v>
      </c>
      <c r="Y164" s="13">
        <f t="shared" si="127"/>
        <v>0.00108479213878362</v>
      </c>
      <c r="Z164" s="13">
        <f t="shared" si="127"/>
        <v>0.0019938963824178</v>
      </c>
      <c r="AA164" s="13">
        <f t="shared" si="127"/>
        <v>0.00157351749347959</v>
      </c>
      <c r="AB164" s="13">
        <f t="shared" si="127"/>
        <v>0.00168101242099466</v>
      </c>
      <c r="AC164" s="13">
        <f t="shared" si="127"/>
        <v>0</v>
      </c>
      <c r="AD164" s="13">
        <f t="shared" si="127"/>
        <v>0.000695898435391834</v>
      </c>
      <c r="AE164" s="13">
        <f t="shared" si="127"/>
        <v>0.00101925279828506</v>
      </c>
      <c r="AF164" s="13">
        <f t="shared" si="127"/>
        <v>0.00055241522100864</v>
      </c>
      <c r="AG164" s="13">
        <f t="shared" si="127"/>
        <v>0.000799115996233513</v>
      </c>
      <c r="AH164" s="13">
        <f t="shared" si="127"/>
        <v>0.000721135173668395</v>
      </c>
      <c r="AI164" s="13">
        <f t="shared" si="127"/>
        <v>0.000435711627875233</v>
      </c>
      <c r="AJ164" s="13">
        <f t="shared" si="101"/>
        <v>0.0299152188239603</v>
      </c>
      <c r="AK164" s="13">
        <f t="shared" si="102"/>
        <v>0.0299152188239603</v>
      </c>
      <c r="AL164" s="13">
        <f t="shared" si="102"/>
        <v>0.0299152188239603</v>
      </c>
      <c r="AM164" s="13">
        <f t="shared" si="102"/>
        <v>0.0299152188239603</v>
      </c>
      <c r="AN164" s="13">
        <f t="shared" si="102"/>
        <v>0.0299152188239603</v>
      </c>
      <c r="AO164" s="13">
        <f t="shared" si="102"/>
        <v>0.0299152188239603</v>
      </c>
      <c r="AP164" s="13">
        <f t="shared" si="102"/>
        <v>0.0299152188239603</v>
      </c>
      <c r="AQ164" s="13">
        <f t="shared" si="102"/>
        <v>0.0299152188239603</v>
      </c>
      <c r="AR164" s="13">
        <f t="shared" ref="AR164:BG170" si="128">$AJ164</f>
        <v>0.0299152188239603</v>
      </c>
      <c r="AS164" s="13">
        <f t="shared" si="128"/>
        <v>0.0299152188239603</v>
      </c>
      <c r="AT164" s="13">
        <f t="shared" si="128"/>
        <v>0.0299152188239603</v>
      </c>
      <c r="AU164" s="13">
        <f t="shared" si="128"/>
        <v>0.0299152188239603</v>
      </c>
      <c r="AV164" s="13">
        <f t="shared" si="128"/>
        <v>0.0299152188239603</v>
      </c>
      <c r="AW164" s="13">
        <f t="shared" si="128"/>
        <v>0.0299152188239603</v>
      </c>
      <c r="AX164" s="13">
        <f t="shared" si="128"/>
        <v>0.0299152188239603</v>
      </c>
      <c r="AY164" s="13">
        <f t="shared" si="128"/>
        <v>0.0299152188239603</v>
      </c>
      <c r="AZ164" s="13">
        <f t="shared" si="128"/>
        <v>0.0299152188239603</v>
      </c>
      <c r="BA164" s="13">
        <f t="shared" si="128"/>
        <v>0.0299152188239603</v>
      </c>
      <c r="BB164" s="13">
        <f t="shared" si="128"/>
        <v>0.0299152188239603</v>
      </c>
      <c r="BC164" s="13">
        <f t="shared" si="128"/>
        <v>0.0299152188239603</v>
      </c>
      <c r="BD164" s="13">
        <f t="shared" si="128"/>
        <v>0.0299152188239603</v>
      </c>
      <c r="BE164" s="13">
        <f t="shared" si="128"/>
        <v>0.0299152188239603</v>
      </c>
      <c r="BF164" s="13">
        <f t="shared" si="128"/>
        <v>0.0299152188239603</v>
      </c>
      <c r="BG164" s="13">
        <f t="shared" si="128"/>
        <v>0.0299152188239603</v>
      </c>
      <c r="BH164" s="13">
        <f t="shared" si="112"/>
        <v>0.0299152188239603</v>
      </c>
      <c r="BI164" s="13">
        <f t="shared" si="112"/>
        <v>0.0299152188239603</v>
      </c>
      <c r="BJ164" s="13">
        <f t="shared" si="112"/>
        <v>0.0299152188239603</v>
      </c>
      <c r="BK164" s="13">
        <f t="shared" si="112"/>
        <v>0.0299152188239603</v>
      </c>
      <c r="BL164" s="13">
        <f t="shared" si="112"/>
        <v>0.0299152188239603</v>
      </c>
      <c r="BM164" s="13">
        <f t="shared" si="112"/>
        <v>0.0299152188239603</v>
      </c>
      <c r="BN164" s="13">
        <f t="shared" si="112"/>
        <v>0.0299152188239603</v>
      </c>
    </row>
    <row r="165" spans="4:66">
      <c r="D165" s="13" t="s">
        <v>25</v>
      </c>
      <c r="E165" s="13">
        <f t="shared" ref="E165:AI165" si="129">E95*E131</f>
        <v>0.00196082096455405</v>
      </c>
      <c r="F165" s="13">
        <f t="shared" si="129"/>
        <v>0.0016652341350061</v>
      </c>
      <c r="G165" s="13">
        <f t="shared" si="129"/>
        <v>0.000753489234271267</v>
      </c>
      <c r="H165" s="13">
        <f t="shared" si="129"/>
        <v>0.000730175282989231</v>
      </c>
      <c r="I165" s="13">
        <f t="shared" si="129"/>
        <v>0.00119638212720778</v>
      </c>
      <c r="J165" s="13">
        <f t="shared" si="129"/>
        <v>0.000761205076590729</v>
      </c>
      <c r="K165" s="13">
        <f t="shared" si="129"/>
        <v>0.000575786252811827</v>
      </c>
      <c r="L165" s="13">
        <f t="shared" si="129"/>
        <v>0.000468882141613716</v>
      </c>
      <c r="M165" s="13">
        <f t="shared" si="129"/>
        <v>0.00180370915609232</v>
      </c>
      <c r="N165" s="13">
        <f t="shared" si="129"/>
        <v>0.00139602948812993</v>
      </c>
      <c r="O165" s="13">
        <f t="shared" si="129"/>
        <v>0.00121646230997359</v>
      </c>
      <c r="P165" s="13">
        <f t="shared" si="129"/>
        <v>0.000615716136030584</v>
      </c>
      <c r="Q165" s="13">
        <f t="shared" si="129"/>
        <v>0.00105157086935426</v>
      </c>
      <c r="R165" s="13">
        <f t="shared" si="129"/>
        <v>0.000641260525989706</v>
      </c>
      <c r="S165" s="13">
        <f t="shared" si="129"/>
        <v>0.00103326335493587</v>
      </c>
      <c r="T165" s="13">
        <f t="shared" si="129"/>
        <v>0.000763515822111814</v>
      </c>
      <c r="U165" s="13">
        <f t="shared" si="129"/>
        <v>0.000932245639282781</v>
      </c>
      <c r="V165" s="13">
        <f t="shared" si="129"/>
        <v>0.000826744307295966</v>
      </c>
      <c r="W165" s="13">
        <f t="shared" si="129"/>
        <v>0.00128984828758722</v>
      </c>
      <c r="X165" s="13">
        <f t="shared" si="129"/>
        <v>0.000737097116849819</v>
      </c>
      <c r="Y165" s="13">
        <f t="shared" si="129"/>
        <v>0.000770042820886217</v>
      </c>
      <c r="Z165" s="13">
        <f t="shared" si="129"/>
        <v>0.0013825690130862</v>
      </c>
      <c r="AA165" s="13">
        <f t="shared" si="129"/>
        <v>0.00123721711965003</v>
      </c>
      <c r="AB165" s="13">
        <f t="shared" si="129"/>
        <v>0.000741199430129241</v>
      </c>
      <c r="AC165" s="13">
        <f t="shared" si="129"/>
        <v>0.00102056421754052</v>
      </c>
      <c r="AD165" s="13">
        <f t="shared" si="129"/>
        <v>0</v>
      </c>
      <c r="AE165" s="13">
        <f t="shared" si="129"/>
        <v>0.00110411924154412</v>
      </c>
      <c r="AF165" s="13">
        <f t="shared" si="129"/>
        <v>0.000787497202190872</v>
      </c>
      <c r="AG165" s="13">
        <f t="shared" si="129"/>
        <v>0.0012997810164172</v>
      </c>
      <c r="AH165" s="13">
        <f t="shared" si="129"/>
        <v>0.00102296522080487</v>
      </c>
      <c r="AI165" s="13">
        <f t="shared" si="129"/>
        <v>0.00107209173198785</v>
      </c>
      <c r="AJ165" s="13">
        <f t="shared" si="101"/>
        <v>0.0308574852429157</v>
      </c>
      <c r="AK165" s="13">
        <f t="shared" ref="AK165:AZ170" si="130">$AJ165</f>
        <v>0.0308574852429157</v>
      </c>
      <c r="AL165" s="13">
        <f t="shared" si="130"/>
        <v>0.0308574852429157</v>
      </c>
      <c r="AM165" s="13">
        <f t="shared" si="130"/>
        <v>0.0308574852429157</v>
      </c>
      <c r="AN165" s="13">
        <f t="shared" si="130"/>
        <v>0.0308574852429157</v>
      </c>
      <c r="AO165" s="13">
        <f t="shared" si="130"/>
        <v>0.0308574852429157</v>
      </c>
      <c r="AP165" s="13">
        <f t="shared" si="130"/>
        <v>0.0308574852429157</v>
      </c>
      <c r="AQ165" s="13">
        <f t="shared" si="130"/>
        <v>0.0308574852429157</v>
      </c>
      <c r="AR165" s="13">
        <f t="shared" si="130"/>
        <v>0.0308574852429157</v>
      </c>
      <c r="AS165" s="13">
        <f t="shared" si="130"/>
        <v>0.0308574852429157</v>
      </c>
      <c r="AT165" s="13">
        <f t="shared" si="130"/>
        <v>0.0308574852429157</v>
      </c>
      <c r="AU165" s="13">
        <f t="shared" si="130"/>
        <v>0.0308574852429157</v>
      </c>
      <c r="AV165" s="13">
        <f t="shared" si="130"/>
        <v>0.0308574852429157</v>
      </c>
      <c r="AW165" s="13">
        <f t="shared" si="130"/>
        <v>0.0308574852429157</v>
      </c>
      <c r="AX165" s="13">
        <f t="shared" si="130"/>
        <v>0.0308574852429157</v>
      </c>
      <c r="AY165" s="13">
        <f t="shared" si="130"/>
        <v>0.0308574852429157</v>
      </c>
      <c r="AZ165" s="13">
        <f t="shared" si="130"/>
        <v>0.0308574852429157</v>
      </c>
      <c r="BA165" s="13">
        <f t="shared" si="128"/>
        <v>0.0308574852429157</v>
      </c>
      <c r="BB165" s="13">
        <f t="shared" si="128"/>
        <v>0.0308574852429157</v>
      </c>
      <c r="BC165" s="13">
        <f t="shared" si="128"/>
        <v>0.0308574852429157</v>
      </c>
      <c r="BD165" s="13">
        <f t="shared" si="128"/>
        <v>0.0308574852429157</v>
      </c>
      <c r="BE165" s="13">
        <f t="shared" si="128"/>
        <v>0.0308574852429157</v>
      </c>
      <c r="BF165" s="13">
        <f t="shared" si="128"/>
        <v>0.0308574852429157</v>
      </c>
      <c r="BG165" s="13">
        <f t="shared" si="128"/>
        <v>0.0308574852429157</v>
      </c>
      <c r="BH165" s="13">
        <f t="shared" si="112"/>
        <v>0.0308574852429157</v>
      </c>
      <c r="BI165" s="13">
        <f t="shared" si="112"/>
        <v>0.0308574852429157</v>
      </c>
      <c r="BJ165" s="13">
        <f t="shared" si="112"/>
        <v>0.0308574852429157</v>
      </c>
      <c r="BK165" s="13">
        <f t="shared" si="112"/>
        <v>0.0308574852429157</v>
      </c>
      <c r="BL165" s="13">
        <f t="shared" si="112"/>
        <v>0.0308574852429157</v>
      </c>
      <c r="BM165" s="13">
        <f t="shared" si="112"/>
        <v>0.0308574852429157</v>
      </c>
      <c r="BN165" s="13">
        <f t="shared" si="112"/>
        <v>0.0308574852429157</v>
      </c>
    </row>
    <row r="166" spans="4:66">
      <c r="D166" s="13" t="s">
        <v>26</v>
      </c>
      <c r="E166" s="13">
        <f t="shared" ref="E166:AI166" si="131">E96*E132</f>
        <v>0.00235840690152757</v>
      </c>
      <c r="F166" s="13">
        <f t="shared" si="131"/>
        <v>0.00198653253648833</v>
      </c>
      <c r="G166" s="13">
        <f t="shared" si="131"/>
        <v>0.00112580922912186</v>
      </c>
      <c r="H166" s="13">
        <f t="shared" si="131"/>
        <v>0.00133376099970615</v>
      </c>
      <c r="I166" s="13">
        <f t="shared" si="131"/>
        <v>0.00151881100691864</v>
      </c>
      <c r="J166" s="13">
        <f t="shared" si="131"/>
        <v>0.00068031985175676</v>
      </c>
      <c r="K166" s="13">
        <f t="shared" si="131"/>
        <v>0.000471614854381351</v>
      </c>
      <c r="L166" s="13">
        <f t="shared" si="131"/>
        <v>0.000362095233344675</v>
      </c>
      <c r="M166" s="13">
        <f t="shared" si="131"/>
        <v>0.0018047300407931</v>
      </c>
      <c r="N166" s="13">
        <f t="shared" si="131"/>
        <v>0.0016456214458326</v>
      </c>
      <c r="O166" s="13">
        <f t="shared" si="131"/>
        <v>0.0012375880525697</v>
      </c>
      <c r="P166" s="13">
        <f t="shared" si="131"/>
        <v>0.000769825258957933</v>
      </c>
      <c r="Q166" s="13">
        <f t="shared" si="131"/>
        <v>0.000918142428354532</v>
      </c>
      <c r="R166" s="13">
        <f t="shared" si="131"/>
        <v>0.000706337892708546</v>
      </c>
      <c r="S166" s="13">
        <f t="shared" si="131"/>
        <v>0.00138921287608361</v>
      </c>
      <c r="T166" s="13">
        <f t="shared" si="131"/>
        <v>0.00159351136000818</v>
      </c>
      <c r="U166" s="13">
        <f t="shared" si="131"/>
        <v>0.0013088172856499</v>
      </c>
      <c r="V166" s="13">
        <f t="shared" si="131"/>
        <v>0.000956981959711858</v>
      </c>
      <c r="W166" s="13">
        <f t="shared" si="131"/>
        <v>0.000968209081088321</v>
      </c>
      <c r="X166" s="13">
        <f t="shared" si="131"/>
        <v>0.000453191666325403</v>
      </c>
      <c r="Y166" s="13">
        <f t="shared" si="131"/>
        <v>0.000455289393319457</v>
      </c>
      <c r="Z166" s="13">
        <f t="shared" si="131"/>
        <v>0.00162080048077099</v>
      </c>
      <c r="AA166" s="13">
        <f t="shared" si="131"/>
        <v>0.00110704191214437</v>
      </c>
      <c r="AB166" s="13">
        <f t="shared" si="131"/>
        <v>0.000546465370649961</v>
      </c>
      <c r="AC166" s="13">
        <f t="shared" si="131"/>
        <v>0.000452087376117418</v>
      </c>
      <c r="AD166" s="13">
        <f t="shared" si="131"/>
        <v>0.000333935022084023</v>
      </c>
      <c r="AE166" s="13">
        <f t="shared" si="131"/>
        <v>0</v>
      </c>
      <c r="AF166" s="13">
        <f t="shared" si="131"/>
        <v>0.000914838773010358</v>
      </c>
      <c r="AG166" s="13">
        <f t="shared" si="131"/>
        <v>0.000999273345859819</v>
      </c>
      <c r="AH166" s="13">
        <f t="shared" si="131"/>
        <v>0.00147307422030586</v>
      </c>
      <c r="AI166" s="13">
        <f t="shared" si="131"/>
        <v>0.000348264602593303</v>
      </c>
      <c r="AJ166" s="13">
        <f t="shared" si="101"/>
        <v>0.0318405904581846</v>
      </c>
      <c r="AK166" s="13">
        <f t="shared" si="130"/>
        <v>0.0318405904581846</v>
      </c>
      <c r="AL166" s="13">
        <f t="shared" si="130"/>
        <v>0.0318405904581846</v>
      </c>
      <c r="AM166" s="13">
        <f t="shared" si="130"/>
        <v>0.0318405904581846</v>
      </c>
      <c r="AN166" s="13">
        <f t="shared" si="130"/>
        <v>0.0318405904581846</v>
      </c>
      <c r="AO166" s="13">
        <f t="shared" si="130"/>
        <v>0.0318405904581846</v>
      </c>
      <c r="AP166" s="13">
        <f t="shared" si="130"/>
        <v>0.0318405904581846</v>
      </c>
      <c r="AQ166" s="13">
        <f t="shared" si="130"/>
        <v>0.0318405904581846</v>
      </c>
      <c r="AR166" s="13">
        <f t="shared" si="130"/>
        <v>0.0318405904581846</v>
      </c>
      <c r="AS166" s="13">
        <f t="shared" si="130"/>
        <v>0.0318405904581846</v>
      </c>
      <c r="AT166" s="13">
        <f t="shared" si="130"/>
        <v>0.0318405904581846</v>
      </c>
      <c r="AU166" s="13">
        <f t="shared" si="130"/>
        <v>0.0318405904581846</v>
      </c>
      <c r="AV166" s="13">
        <f t="shared" si="130"/>
        <v>0.0318405904581846</v>
      </c>
      <c r="AW166" s="13">
        <f t="shared" si="130"/>
        <v>0.0318405904581846</v>
      </c>
      <c r="AX166" s="13">
        <f t="shared" si="130"/>
        <v>0.0318405904581846</v>
      </c>
      <c r="AY166" s="13">
        <f t="shared" si="130"/>
        <v>0.0318405904581846</v>
      </c>
      <c r="AZ166" s="13">
        <f t="shared" si="130"/>
        <v>0.0318405904581846</v>
      </c>
      <c r="BA166" s="13">
        <f t="shared" si="128"/>
        <v>0.0318405904581846</v>
      </c>
      <c r="BB166" s="13">
        <f t="shared" si="128"/>
        <v>0.0318405904581846</v>
      </c>
      <c r="BC166" s="13">
        <f t="shared" si="128"/>
        <v>0.0318405904581846</v>
      </c>
      <c r="BD166" s="13">
        <f t="shared" si="128"/>
        <v>0.0318405904581846</v>
      </c>
      <c r="BE166" s="13">
        <f t="shared" si="128"/>
        <v>0.0318405904581846</v>
      </c>
      <c r="BF166" s="13">
        <f t="shared" si="128"/>
        <v>0.0318405904581846</v>
      </c>
      <c r="BG166" s="13">
        <f t="shared" si="128"/>
        <v>0.0318405904581846</v>
      </c>
      <c r="BH166" s="13">
        <f t="shared" si="112"/>
        <v>0.0318405904581846</v>
      </c>
      <c r="BI166" s="13">
        <f t="shared" si="112"/>
        <v>0.0318405904581846</v>
      </c>
      <c r="BJ166" s="13">
        <f t="shared" si="112"/>
        <v>0.0318405904581846</v>
      </c>
      <c r="BK166" s="13">
        <f t="shared" si="112"/>
        <v>0.0318405904581846</v>
      </c>
      <c r="BL166" s="13">
        <f t="shared" si="112"/>
        <v>0.0318405904581846</v>
      </c>
      <c r="BM166" s="13">
        <f t="shared" si="112"/>
        <v>0.0318405904581846</v>
      </c>
      <c r="BN166" s="13">
        <f t="shared" si="112"/>
        <v>0.0318405904581846</v>
      </c>
    </row>
    <row r="167" spans="4:66">
      <c r="D167" s="13" t="s">
        <v>27</v>
      </c>
      <c r="E167" s="13">
        <f t="shared" ref="E167:AI167" si="132">E97*E133</f>
        <v>0.00194043898092229</v>
      </c>
      <c r="F167" s="13">
        <f t="shared" si="132"/>
        <v>0.00160166406342978</v>
      </c>
      <c r="G167" s="13">
        <f t="shared" si="132"/>
        <v>0.000823760387613885</v>
      </c>
      <c r="H167" s="13">
        <f t="shared" si="132"/>
        <v>0.000901292827394141</v>
      </c>
      <c r="I167" s="13">
        <f t="shared" si="132"/>
        <v>0.00143344628785507</v>
      </c>
      <c r="J167" s="13">
        <f t="shared" si="132"/>
        <v>0.000613686979418175</v>
      </c>
      <c r="K167" s="13">
        <f t="shared" si="132"/>
        <v>0.000443238941093174</v>
      </c>
      <c r="L167" s="13">
        <f t="shared" si="132"/>
        <v>0.00034995874251391</v>
      </c>
      <c r="M167" s="13">
        <f t="shared" si="132"/>
        <v>0.00138376280111871</v>
      </c>
      <c r="N167" s="13">
        <f t="shared" si="132"/>
        <v>0.00116198482295936</v>
      </c>
      <c r="O167" s="13">
        <f t="shared" si="132"/>
        <v>0.00093004801968807</v>
      </c>
      <c r="P167" s="13">
        <f t="shared" si="132"/>
        <v>0.000520913961463691</v>
      </c>
      <c r="Q167" s="13">
        <f t="shared" si="132"/>
        <v>0.000722705212742327</v>
      </c>
      <c r="R167" s="13">
        <f t="shared" si="132"/>
        <v>0.000494730074464057</v>
      </c>
      <c r="S167" s="13">
        <f t="shared" si="132"/>
        <v>0.000991272035427287</v>
      </c>
      <c r="T167" s="13">
        <f t="shared" si="132"/>
        <v>0.000831895238883079</v>
      </c>
      <c r="U167" s="13">
        <f t="shared" si="132"/>
        <v>0.000808622939890883</v>
      </c>
      <c r="V167" s="13">
        <f t="shared" si="132"/>
        <v>0.000648155195037866</v>
      </c>
      <c r="W167" s="13">
        <f t="shared" si="132"/>
        <v>0.000795251807309848</v>
      </c>
      <c r="X167" s="13">
        <f t="shared" si="132"/>
        <v>0.00040199545531783</v>
      </c>
      <c r="Y167" s="13">
        <f t="shared" si="132"/>
        <v>0.000407543097823446</v>
      </c>
      <c r="Z167" s="13">
        <f t="shared" si="132"/>
        <v>0.00122821441374627</v>
      </c>
      <c r="AA167" s="13">
        <f t="shared" si="132"/>
        <v>0.00112882007085529</v>
      </c>
      <c r="AB167" s="13">
        <f t="shared" si="132"/>
        <v>0.000471410491139174</v>
      </c>
      <c r="AC167" s="13">
        <f t="shared" si="132"/>
        <v>0.000464958988989012</v>
      </c>
      <c r="AD167" s="13">
        <f t="shared" si="132"/>
        <v>0.000451963698766902</v>
      </c>
      <c r="AE167" s="13">
        <f t="shared" si="132"/>
        <v>0.00173601353503945</v>
      </c>
      <c r="AF167" s="13">
        <f t="shared" si="132"/>
        <v>0</v>
      </c>
      <c r="AG167" s="13">
        <f t="shared" si="132"/>
        <v>0.00397265322497244</v>
      </c>
      <c r="AH167" s="13">
        <f t="shared" si="132"/>
        <v>0.00233665918025058</v>
      </c>
      <c r="AI167" s="13">
        <f t="shared" si="132"/>
        <v>0.000489364272545885</v>
      </c>
      <c r="AJ167" s="13">
        <f t="shared" si="101"/>
        <v>0.0304864257486719</v>
      </c>
      <c r="AK167" s="13">
        <f t="shared" si="130"/>
        <v>0.0304864257486719</v>
      </c>
      <c r="AL167" s="13">
        <f t="shared" si="130"/>
        <v>0.0304864257486719</v>
      </c>
      <c r="AM167" s="13">
        <f t="shared" si="130"/>
        <v>0.0304864257486719</v>
      </c>
      <c r="AN167" s="13">
        <f t="shared" si="130"/>
        <v>0.0304864257486719</v>
      </c>
      <c r="AO167" s="13">
        <f t="shared" si="130"/>
        <v>0.0304864257486719</v>
      </c>
      <c r="AP167" s="13">
        <f t="shared" si="130"/>
        <v>0.0304864257486719</v>
      </c>
      <c r="AQ167" s="13">
        <f t="shared" si="130"/>
        <v>0.0304864257486719</v>
      </c>
      <c r="AR167" s="13">
        <f t="shared" si="130"/>
        <v>0.0304864257486719</v>
      </c>
      <c r="AS167" s="13">
        <f t="shared" si="130"/>
        <v>0.0304864257486719</v>
      </c>
      <c r="AT167" s="13">
        <f t="shared" si="130"/>
        <v>0.0304864257486719</v>
      </c>
      <c r="AU167" s="13">
        <f t="shared" si="130"/>
        <v>0.0304864257486719</v>
      </c>
      <c r="AV167" s="13">
        <f t="shared" si="130"/>
        <v>0.0304864257486719</v>
      </c>
      <c r="AW167" s="13">
        <f t="shared" si="130"/>
        <v>0.0304864257486719</v>
      </c>
      <c r="AX167" s="13">
        <f t="shared" si="130"/>
        <v>0.0304864257486719</v>
      </c>
      <c r="AY167" s="13">
        <f t="shared" si="130"/>
        <v>0.0304864257486719</v>
      </c>
      <c r="AZ167" s="13">
        <f t="shared" si="130"/>
        <v>0.0304864257486719</v>
      </c>
      <c r="BA167" s="13">
        <f t="shared" si="128"/>
        <v>0.0304864257486719</v>
      </c>
      <c r="BB167" s="13">
        <f t="shared" si="128"/>
        <v>0.0304864257486719</v>
      </c>
      <c r="BC167" s="13">
        <f t="shared" si="128"/>
        <v>0.0304864257486719</v>
      </c>
      <c r="BD167" s="13">
        <f t="shared" si="128"/>
        <v>0.0304864257486719</v>
      </c>
      <c r="BE167" s="13">
        <f t="shared" si="128"/>
        <v>0.0304864257486719</v>
      </c>
      <c r="BF167" s="13">
        <f t="shared" si="128"/>
        <v>0.0304864257486719</v>
      </c>
      <c r="BG167" s="13">
        <f t="shared" si="128"/>
        <v>0.0304864257486719</v>
      </c>
      <c r="BH167" s="13">
        <f t="shared" si="112"/>
        <v>0.0304864257486719</v>
      </c>
      <c r="BI167" s="13">
        <f t="shared" si="112"/>
        <v>0.0304864257486719</v>
      </c>
      <c r="BJ167" s="13">
        <f t="shared" si="112"/>
        <v>0.0304864257486719</v>
      </c>
      <c r="BK167" s="13">
        <f t="shared" si="112"/>
        <v>0.0304864257486719</v>
      </c>
      <c r="BL167" s="13">
        <f t="shared" si="112"/>
        <v>0.0304864257486719</v>
      </c>
      <c r="BM167" s="13">
        <f t="shared" si="112"/>
        <v>0.0304864257486719</v>
      </c>
      <c r="BN167" s="13">
        <f t="shared" si="112"/>
        <v>0.0304864257486719</v>
      </c>
    </row>
    <row r="168" spans="4:66">
      <c r="D168" s="13" t="s">
        <v>28</v>
      </c>
      <c r="E168" s="13">
        <f t="shared" ref="E168:AI168" si="133">E98*E134</f>
        <v>0.00193471951528288</v>
      </c>
      <c r="F168" s="13">
        <f t="shared" si="133"/>
        <v>0.00159974493991367</v>
      </c>
      <c r="G168" s="13">
        <f t="shared" si="133"/>
        <v>0.000794539018686997</v>
      </c>
      <c r="H168" s="13">
        <f t="shared" si="133"/>
        <v>0.000839725932896986</v>
      </c>
      <c r="I168" s="13">
        <f t="shared" si="133"/>
        <v>0.00140351971598039</v>
      </c>
      <c r="J168" s="13">
        <f t="shared" si="133"/>
        <v>0.000639458953813872</v>
      </c>
      <c r="K168" s="13">
        <f t="shared" si="133"/>
        <v>0.000468004459577715</v>
      </c>
      <c r="L168" s="13">
        <f t="shared" si="133"/>
        <v>0.000372928823005966</v>
      </c>
      <c r="M168" s="13">
        <f t="shared" si="133"/>
        <v>0.00141001849566447</v>
      </c>
      <c r="N168" s="13">
        <f t="shared" si="133"/>
        <v>0.00116180333995027</v>
      </c>
      <c r="O168" s="13">
        <f t="shared" si="133"/>
        <v>0.000945040367732411</v>
      </c>
      <c r="P168" s="13">
        <f t="shared" si="133"/>
        <v>0.000517211693680516</v>
      </c>
      <c r="Q168" s="13">
        <f t="shared" si="133"/>
        <v>0.000745005010357327</v>
      </c>
      <c r="R168" s="13">
        <f t="shared" si="133"/>
        <v>0.000496829668517212</v>
      </c>
      <c r="S168" s="13">
        <f t="shared" si="133"/>
        <v>0.00097517489444704</v>
      </c>
      <c r="T168" s="13">
        <f t="shared" si="133"/>
        <v>0.000780371592931751</v>
      </c>
      <c r="U168" s="13">
        <f t="shared" si="133"/>
        <v>0.000791984722213923</v>
      </c>
      <c r="V168" s="13">
        <f t="shared" si="133"/>
        <v>0.000645732655540674</v>
      </c>
      <c r="W168" s="13">
        <f t="shared" si="133"/>
        <v>0.000828824417443536</v>
      </c>
      <c r="X168" s="13">
        <f t="shared" si="133"/>
        <v>0.00042617746357202</v>
      </c>
      <c r="Y168" s="13">
        <f t="shared" si="133"/>
        <v>0.000434596899769348</v>
      </c>
      <c r="Z168" s="13">
        <f t="shared" si="133"/>
        <v>0.0012005115305068</v>
      </c>
      <c r="AA168" s="13">
        <f t="shared" si="133"/>
        <v>0.00113488466840774</v>
      </c>
      <c r="AB168" s="13">
        <f t="shared" si="133"/>
        <v>0.000489236913251899</v>
      </c>
      <c r="AC168" s="13">
        <f t="shared" si="133"/>
        <v>0.000509491225912724</v>
      </c>
      <c r="AD168" s="13">
        <f t="shared" si="133"/>
        <v>0.000565070451122883</v>
      </c>
      <c r="AE168" s="13">
        <f t="shared" si="133"/>
        <v>0.00143638453563122</v>
      </c>
      <c r="AF168" s="13">
        <f t="shared" si="133"/>
        <v>0.00300925180819749</v>
      </c>
      <c r="AG168" s="13">
        <f t="shared" si="133"/>
        <v>0</v>
      </c>
      <c r="AH168" s="13">
        <f t="shared" si="133"/>
        <v>0.00194039407242777</v>
      </c>
      <c r="AI168" s="13">
        <f t="shared" si="133"/>
        <v>0.000617115812244107</v>
      </c>
      <c r="AJ168" s="13">
        <f t="shared" si="101"/>
        <v>0.0291137535986816</v>
      </c>
      <c r="AK168" s="13">
        <f t="shared" si="130"/>
        <v>0.0291137535986816</v>
      </c>
      <c r="AL168" s="13">
        <f t="shared" si="130"/>
        <v>0.0291137535986816</v>
      </c>
      <c r="AM168" s="13">
        <f t="shared" si="130"/>
        <v>0.0291137535986816</v>
      </c>
      <c r="AN168" s="13">
        <f t="shared" si="130"/>
        <v>0.0291137535986816</v>
      </c>
      <c r="AO168" s="13">
        <f t="shared" si="130"/>
        <v>0.0291137535986816</v>
      </c>
      <c r="AP168" s="13">
        <f t="shared" si="130"/>
        <v>0.0291137535986816</v>
      </c>
      <c r="AQ168" s="13">
        <f t="shared" si="130"/>
        <v>0.0291137535986816</v>
      </c>
      <c r="AR168" s="13">
        <f t="shared" si="130"/>
        <v>0.0291137535986816</v>
      </c>
      <c r="AS168" s="13">
        <f t="shared" si="130"/>
        <v>0.0291137535986816</v>
      </c>
      <c r="AT168" s="13">
        <f t="shared" si="130"/>
        <v>0.0291137535986816</v>
      </c>
      <c r="AU168" s="13">
        <f t="shared" si="130"/>
        <v>0.0291137535986816</v>
      </c>
      <c r="AV168" s="13">
        <f t="shared" si="130"/>
        <v>0.0291137535986816</v>
      </c>
      <c r="AW168" s="13">
        <f t="shared" si="130"/>
        <v>0.0291137535986816</v>
      </c>
      <c r="AX168" s="13">
        <f t="shared" si="130"/>
        <v>0.0291137535986816</v>
      </c>
      <c r="AY168" s="13">
        <f t="shared" si="130"/>
        <v>0.0291137535986816</v>
      </c>
      <c r="AZ168" s="13">
        <f t="shared" si="130"/>
        <v>0.0291137535986816</v>
      </c>
      <c r="BA168" s="13">
        <f t="shared" si="128"/>
        <v>0.0291137535986816</v>
      </c>
      <c r="BB168" s="13">
        <f t="shared" si="128"/>
        <v>0.0291137535986816</v>
      </c>
      <c r="BC168" s="13">
        <f t="shared" si="128"/>
        <v>0.0291137535986816</v>
      </c>
      <c r="BD168" s="13">
        <f t="shared" si="128"/>
        <v>0.0291137535986816</v>
      </c>
      <c r="BE168" s="13">
        <f t="shared" si="128"/>
        <v>0.0291137535986816</v>
      </c>
      <c r="BF168" s="13">
        <f t="shared" si="128"/>
        <v>0.0291137535986816</v>
      </c>
      <c r="BG168" s="13">
        <f t="shared" si="128"/>
        <v>0.0291137535986816</v>
      </c>
      <c r="BH168" s="13">
        <f t="shared" si="112"/>
        <v>0.0291137535986816</v>
      </c>
      <c r="BI168" s="13">
        <f t="shared" si="112"/>
        <v>0.0291137535986816</v>
      </c>
      <c r="BJ168" s="13">
        <f t="shared" si="112"/>
        <v>0.0291137535986816</v>
      </c>
      <c r="BK168" s="13">
        <f t="shared" si="112"/>
        <v>0.0291137535986816</v>
      </c>
      <c r="BL168" s="13">
        <f t="shared" si="112"/>
        <v>0.0291137535986816</v>
      </c>
      <c r="BM168" s="13">
        <f t="shared" si="112"/>
        <v>0.0291137535986816</v>
      </c>
      <c r="BN168" s="13">
        <f t="shared" si="112"/>
        <v>0.0291137535986816</v>
      </c>
    </row>
    <row r="169" spans="4:66">
      <c r="D169" s="13" t="s">
        <v>29</v>
      </c>
      <c r="E169" s="13">
        <f t="shared" ref="E169:AI169" si="134">E99*E135</f>
        <v>0.00274420183624288</v>
      </c>
      <c r="F169" s="13">
        <f t="shared" si="134"/>
        <v>0.00220175842403681</v>
      </c>
      <c r="G169" s="13">
        <f t="shared" si="134"/>
        <v>0.00119912523345951</v>
      </c>
      <c r="H169" s="13">
        <f t="shared" si="134"/>
        <v>0.00139509468695595</v>
      </c>
      <c r="I169" s="13">
        <f t="shared" si="134"/>
        <v>0.00249655449707911</v>
      </c>
      <c r="J169" s="13">
        <f t="shared" si="134"/>
        <v>0.000782454594701807</v>
      </c>
      <c r="K169" s="13">
        <f t="shared" si="134"/>
        <v>0.000557337738467766</v>
      </c>
      <c r="L169" s="13">
        <f t="shared" si="134"/>
        <v>0.00043603198474931</v>
      </c>
      <c r="M169" s="13">
        <f t="shared" si="134"/>
        <v>0.0015894863265211</v>
      </c>
      <c r="N169" s="13">
        <f t="shared" si="134"/>
        <v>0.00134950199593618</v>
      </c>
      <c r="O169" s="13">
        <f t="shared" si="134"/>
        <v>0.00105113958259075</v>
      </c>
      <c r="P169" s="13">
        <f t="shared" si="134"/>
        <v>0.000596000602694603</v>
      </c>
      <c r="Q169" s="13">
        <f t="shared" si="134"/>
        <v>0.000775599007822786</v>
      </c>
      <c r="R169" s="13">
        <f t="shared" si="134"/>
        <v>0.000527265125476239</v>
      </c>
      <c r="S169" s="13">
        <f t="shared" si="134"/>
        <v>0.00129156356010425</v>
      </c>
      <c r="T169" s="13">
        <f t="shared" si="134"/>
        <v>0.0010375659560445</v>
      </c>
      <c r="U169" s="13">
        <f t="shared" si="134"/>
        <v>0.000874967885957583</v>
      </c>
      <c r="V169" s="13">
        <f t="shared" si="134"/>
        <v>0.000657333542828787</v>
      </c>
      <c r="W169" s="13">
        <f t="shared" si="134"/>
        <v>0.000792636296549001</v>
      </c>
      <c r="X169" s="13">
        <f t="shared" si="134"/>
        <v>0.000378097590381769</v>
      </c>
      <c r="Y169" s="13">
        <f t="shared" si="134"/>
        <v>0.000394935752032871</v>
      </c>
      <c r="Z169" s="13">
        <f t="shared" si="134"/>
        <v>0.00103480900423287</v>
      </c>
      <c r="AA169" s="13">
        <f t="shared" si="134"/>
        <v>0.000836112408580057</v>
      </c>
      <c r="AB169" s="13">
        <f t="shared" si="134"/>
        <v>0.000417474813106658</v>
      </c>
      <c r="AC169" s="13">
        <f t="shared" si="134"/>
        <v>0.000398247364309127</v>
      </c>
      <c r="AD169" s="13">
        <f t="shared" si="134"/>
        <v>0.000385214496881148</v>
      </c>
      <c r="AE169" s="13">
        <f t="shared" si="134"/>
        <v>0.00183408894307633</v>
      </c>
      <c r="AF169" s="13">
        <f t="shared" si="134"/>
        <v>0.00153314274145231</v>
      </c>
      <c r="AG169" s="13">
        <f t="shared" si="134"/>
        <v>0.00168073516023439</v>
      </c>
      <c r="AH169" s="13">
        <f t="shared" si="134"/>
        <v>0</v>
      </c>
      <c r="AI169" s="13">
        <f t="shared" si="134"/>
        <v>0.000493613431955071</v>
      </c>
      <c r="AJ169" s="13">
        <f t="shared" si="101"/>
        <v>0.0317420905844615</v>
      </c>
      <c r="AK169" s="13">
        <f t="shared" si="130"/>
        <v>0.0317420905844615</v>
      </c>
      <c r="AL169" s="13">
        <f t="shared" si="130"/>
        <v>0.0317420905844615</v>
      </c>
      <c r="AM169" s="13">
        <f t="shared" si="130"/>
        <v>0.0317420905844615</v>
      </c>
      <c r="AN169" s="13">
        <f t="shared" si="130"/>
        <v>0.0317420905844615</v>
      </c>
      <c r="AO169" s="13">
        <f t="shared" si="130"/>
        <v>0.0317420905844615</v>
      </c>
      <c r="AP169" s="13">
        <f t="shared" si="130"/>
        <v>0.0317420905844615</v>
      </c>
      <c r="AQ169" s="13">
        <f t="shared" si="130"/>
        <v>0.0317420905844615</v>
      </c>
      <c r="AR169" s="13">
        <f t="shared" si="130"/>
        <v>0.0317420905844615</v>
      </c>
      <c r="AS169" s="13">
        <f t="shared" si="130"/>
        <v>0.0317420905844615</v>
      </c>
      <c r="AT169" s="13">
        <f t="shared" si="130"/>
        <v>0.0317420905844615</v>
      </c>
      <c r="AU169" s="13">
        <f t="shared" si="130"/>
        <v>0.0317420905844615</v>
      </c>
      <c r="AV169" s="13">
        <f t="shared" si="130"/>
        <v>0.0317420905844615</v>
      </c>
      <c r="AW169" s="13">
        <f t="shared" si="130"/>
        <v>0.0317420905844615</v>
      </c>
      <c r="AX169" s="13">
        <f t="shared" si="130"/>
        <v>0.0317420905844615</v>
      </c>
      <c r="AY169" s="13">
        <f t="shared" si="130"/>
        <v>0.0317420905844615</v>
      </c>
      <c r="AZ169" s="13">
        <f t="shared" si="130"/>
        <v>0.0317420905844615</v>
      </c>
      <c r="BA169" s="13">
        <f t="shared" si="128"/>
        <v>0.0317420905844615</v>
      </c>
      <c r="BB169" s="13">
        <f t="shared" si="128"/>
        <v>0.0317420905844615</v>
      </c>
      <c r="BC169" s="13">
        <f t="shared" si="128"/>
        <v>0.0317420905844615</v>
      </c>
      <c r="BD169" s="13">
        <f t="shared" si="128"/>
        <v>0.0317420905844615</v>
      </c>
      <c r="BE169" s="13">
        <f t="shared" si="128"/>
        <v>0.0317420905844615</v>
      </c>
      <c r="BF169" s="13">
        <f t="shared" si="128"/>
        <v>0.0317420905844615</v>
      </c>
      <c r="BG169" s="13">
        <f t="shared" si="128"/>
        <v>0.0317420905844615</v>
      </c>
      <c r="BH169" s="13">
        <f t="shared" si="112"/>
        <v>0.0317420905844615</v>
      </c>
      <c r="BI169" s="13">
        <f t="shared" si="112"/>
        <v>0.0317420905844615</v>
      </c>
      <c r="BJ169" s="13">
        <f t="shared" si="112"/>
        <v>0.0317420905844615</v>
      </c>
      <c r="BK169" s="13">
        <f t="shared" si="112"/>
        <v>0.0317420905844615</v>
      </c>
      <c r="BL169" s="13">
        <f t="shared" si="112"/>
        <v>0.0317420905844615</v>
      </c>
      <c r="BM169" s="13">
        <f t="shared" si="112"/>
        <v>0.0317420905844615</v>
      </c>
      <c r="BN169" s="13">
        <f t="shared" si="112"/>
        <v>0.0317420905844615</v>
      </c>
    </row>
    <row r="170" spans="4:66">
      <c r="D170" s="13" t="s">
        <v>30</v>
      </c>
      <c r="E170" s="13">
        <f t="shared" ref="E170:AI170" si="135">E100*E136</f>
        <v>0.00248774062682884</v>
      </c>
      <c r="F170" s="13">
        <f t="shared" si="135"/>
        <v>0.00207974915829868</v>
      </c>
      <c r="G170" s="13">
        <f t="shared" si="135"/>
        <v>0.000911688035289836</v>
      </c>
      <c r="H170" s="13">
        <f t="shared" si="135"/>
        <v>0.000865371164321144</v>
      </c>
      <c r="I170" s="13">
        <f t="shared" si="135"/>
        <v>0.00159348936977459</v>
      </c>
      <c r="J170" s="13">
        <f t="shared" si="135"/>
        <v>0.000998986716428235</v>
      </c>
      <c r="K170" s="13">
        <f t="shared" si="135"/>
        <v>0.000781018458604503</v>
      </c>
      <c r="L170" s="13">
        <f t="shared" si="135"/>
        <v>0.000653680742898797</v>
      </c>
      <c r="M170" s="13">
        <f t="shared" si="135"/>
        <v>0.0019305015387122</v>
      </c>
      <c r="N170" s="13">
        <f t="shared" si="135"/>
        <v>0.00147930905823157</v>
      </c>
      <c r="O170" s="13">
        <f t="shared" si="135"/>
        <v>0.00126671167605465</v>
      </c>
      <c r="P170" s="13">
        <f t="shared" si="135"/>
        <v>0.000636868225340133</v>
      </c>
      <c r="Q170" s="13">
        <f t="shared" si="135"/>
        <v>0.00102178062319965</v>
      </c>
      <c r="R170" s="13">
        <f t="shared" si="135"/>
        <v>0.000610655241685028</v>
      </c>
      <c r="S170" s="13">
        <f t="shared" si="135"/>
        <v>0.00120090699634968</v>
      </c>
      <c r="T170" s="13">
        <f t="shared" si="135"/>
        <v>0.000817941829040697</v>
      </c>
      <c r="U170" s="13">
        <f t="shared" si="135"/>
        <v>0.000902111528028292</v>
      </c>
      <c r="V170" s="13">
        <f t="shared" si="135"/>
        <v>0.000741403555299193</v>
      </c>
      <c r="W170" s="13">
        <f t="shared" si="135"/>
        <v>0.00109699274484798</v>
      </c>
      <c r="X170" s="13">
        <f t="shared" si="135"/>
        <v>0.000552338727988582</v>
      </c>
      <c r="Y170" s="13">
        <f t="shared" si="135"/>
        <v>0.000605937265029672</v>
      </c>
      <c r="Z170" s="13">
        <f t="shared" si="135"/>
        <v>0.00108692765350949</v>
      </c>
      <c r="AA170" s="13">
        <f t="shared" si="135"/>
        <v>0.000904829598430653</v>
      </c>
      <c r="AB170" s="13">
        <f t="shared" si="135"/>
        <v>0.000538718157455842</v>
      </c>
      <c r="AC170" s="13">
        <f t="shared" si="135"/>
        <v>0.000610503382404595</v>
      </c>
      <c r="AD170" s="13">
        <f t="shared" si="135"/>
        <v>0.00102429816291019</v>
      </c>
      <c r="AE170" s="13">
        <f t="shared" si="135"/>
        <v>0.00110016491741307</v>
      </c>
      <c r="AF170" s="13">
        <f t="shared" si="135"/>
        <v>0.000814652081830269</v>
      </c>
      <c r="AG170" s="13">
        <f t="shared" si="135"/>
        <v>0.00135621553132438</v>
      </c>
      <c r="AH170" s="13">
        <f t="shared" si="135"/>
        <v>0.00125239020412634</v>
      </c>
      <c r="AI170" s="13">
        <f t="shared" si="135"/>
        <v>0</v>
      </c>
      <c r="AJ170" s="13">
        <f t="shared" si="101"/>
        <v>0.0319238829716568</v>
      </c>
      <c r="AK170" s="13">
        <f t="shared" si="130"/>
        <v>0.0319238829716568</v>
      </c>
      <c r="AL170" s="13">
        <f t="shared" si="130"/>
        <v>0.0319238829716568</v>
      </c>
      <c r="AM170" s="13">
        <f t="shared" si="130"/>
        <v>0.0319238829716568</v>
      </c>
      <c r="AN170" s="13">
        <f t="shared" si="130"/>
        <v>0.0319238829716568</v>
      </c>
      <c r="AO170" s="13">
        <f t="shared" si="130"/>
        <v>0.0319238829716568</v>
      </c>
      <c r="AP170" s="13">
        <f t="shared" si="130"/>
        <v>0.0319238829716568</v>
      </c>
      <c r="AQ170" s="13">
        <f t="shared" si="130"/>
        <v>0.0319238829716568</v>
      </c>
      <c r="AR170" s="13">
        <f t="shared" si="130"/>
        <v>0.0319238829716568</v>
      </c>
      <c r="AS170" s="13">
        <f t="shared" si="130"/>
        <v>0.0319238829716568</v>
      </c>
      <c r="AT170" s="13">
        <f t="shared" si="130"/>
        <v>0.0319238829716568</v>
      </c>
      <c r="AU170" s="13">
        <f t="shared" si="130"/>
        <v>0.0319238829716568</v>
      </c>
      <c r="AV170" s="13">
        <f t="shared" si="130"/>
        <v>0.0319238829716568</v>
      </c>
      <c r="AW170" s="13">
        <f t="shared" si="130"/>
        <v>0.0319238829716568</v>
      </c>
      <c r="AX170" s="13">
        <f t="shared" si="130"/>
        <v>0.0319238829716568</v>
      </c>
      <c r="AY170" s="13">
        <f t="shared" si="130"/>
        <v>0.0319238829716568</v>
      </c>
      <c r="AZ170" s="13">
        <f t="shared" si="130"/>
        <v>0.0319238829716568</v>
      </c>
      <c r="BA170" s="13">
        <f t="shared" si="128"/>
        <v>0.0319238829716568</v>
      </c>
      <c r="BB170" s="13">
        <f t="shared" si="128"/>
        <v>0.0319238829716568</v>
      </c>
      <c r="BC170" s="13">
        <f t="shared" si="128"/>
        <v>0.0319238829716568</v>
      </c>
      <c r="BD170" s="13">
        <f t="shared" si="128"/>
        <v>0.0319238829716568</v>
      </c>
      <c r="BE170" s="13">
        <f t="shared" si="128"/>
        <v>0.0319238829716568</v>
      </c>
      <c r="BF170" s="13">
        <f t="shared" si="128"/>
        <v>0.0319238829716568</v>
      </c>
      <c r="BG170" s="13">
        <f t="shared" si="128"/>
        <v>0.0319238829716568</v>
      </c>
      <c r="BH170" s="13">
        <f t="shared" si="112"/>
        <v>0.0319238829716568</v>
      </c>
      <c r="BI170" s="13">
        <f t="shared" si="112"/>
        <v>0.0319238829716568</v>
      </c>
      <c r="BJ170" s="13">
        <f t="shared" si="112"/>
        <v>0.0319238829716568</v>
      </c>
      <c r="BK170" s="13">
        <f t="shared" ref="BK170:BN170" si="136">$AJ170</f>
        <v>0.0319238829716568</v>
      </c>
      <c r="BL170" s="13">
        <f t="shared" si="136"/>
        <v>0.0319238829716568</v>
      </c>
      <c r="BM170" s="13">
        <f t="shared" si="136"/>
        <v>0.0319238829716568</v>
      </c>
      <c r="BN170" s="13">
        <f t="shared" si="136"/>
        <v>0.0319238829716568</v>
      </c>
    </row>
    <row r="175" ht="26" spans="3:35">
      <c r="C175" s="22" t="s">
        <v>46</v>
      </c>
      <c r="E175" s="13" t="s">
        <v>0</v>
      </c>
      <c r="F175" s="13" t="s">
        <v>1</v>
      </c>
      <c r="G175" s="13" t="s">
        <v>2</v>
      </c>
      <c r="H175" s="13" t="s">
        <v>3</v>
      </c>
      <c r="I175" s="13" t="s">
        <v>4</v>
      </c>
      <c r="J175" s="13" t="s">
        <v>5</v>
      </c>
      <c r="K175" s="13" t="s">
        <v>6</v>
      </c>
      <c r="L175" s="13" t="s">
        <v>7</v>
      </c>
      <c r="M175" s="13" t="s">
        <v>8</v>
      </c>
      <c r="N175" s="13" t="s">
        <v>9</v>
      </c>
      <c r="O175" s="13" t="s">
        <v>10</v>
      </c>
      <c r="P175" s="13" t="s">
        <v>11</v>
      </c>
      <c r="Q175" s="13" t="s">
        <v>12</v>
      </c>
      <c r="R175" s="13" t="s">
        <v>13</v>
      </c>
      <c r="S175" s="13" t="s">
        <v>14</v>
      </c>
      <c r="T175" s="13" t="s">
        <v>15</v>
      </c>
      <c r="U175" s="13" t="s">
        <v>16</v>
      </c>
      <c r="V175" s="13" t="s">
        <v>17</v>
      </c>
      <c r="W175" s="13" t="s">
        <v>18</v>
      </c>
      <c r="X175" s="13" t="s">
        <v>19</v>
      </c>
      <c r="Y175" s="13" t="s">
        <v>20</v>
      </c>
      <c r="Z175" s="13" t="s">
        <v>21</v>
      </c>
      <c r="AA175" s="13" t="s">
        <v>22</v>
      </c>
      <c r="AB175" s="13" t="s">
        <v>23</v>
      </c>
      <c r="AC175" s="13" t="s">
        <v>24</v>
      </c>
      <c r="AD175" s="13" t="s">
        <v>25</v>
      </c>
      <c r="AE175" s="13" t="s">
        <v>26</v>
      </c>
      <c r="AF175" s="13" t="s">
        <v>27</v>
      </c>
      <c r="AG175" s="13" t="s">
        <v>28</v>
      </c>
      <c r="AH175" s="13" t="s">
        <v>29</v>
      </c>
      <c r="AI175" s="13" t="s">
        <v>30</v>
      </c>
    </row>
    <row r="176" spans="4:35">
      <c r="D176" s="13" t="s">
        <v>0</v>
      </c>
      <c r="E176" s="13">
        <f>E140/AJ140</f>
        <v>0</v>
      </c>
      <c r="F176" s="13">
        <f t="shared" ref="F176:AI176" si="137">F140/AK140</f>
        <v>0.392891008246327</v>
      </c>
      <c r="G176" s="13">
        <f t="shared" si="137"/>
        <v>0.064024017631925</v>
      </c>
      <c r="H176" s="13">
        <f t="shared" si="137"/>
        <v>0.0336531228114467</v>
      </c>
      <c r="I176" s="13">
        <f t="shared" si="137"/>
        <v>0.0542343246267743</v>
      </c>
      <c r="J176" s="13">
        <f t="shared" si="137"/>
        <v>0.0333789830830791</v>
      </c>
      <c r="K176" s="13">
        <f t="shared" si="137"/>
        <v>0.0195982270375295</v>
      </c>
      <c r="L176" s="13">
        <f t="shared" si="137"/>
        <v>0.0136763471543283</v>
      </c>
      <c r="M176" s="13">
        <f t="shared" si="137"/>
        <v>0.0435763457985629</v>
      </c>
      <c r="N176" s="13">
        <f t="shared" si="137"/>
        <v>0.036995622910013</v>
      </c>
      <c r="O176" s="13">
        <f t="shared" si="137"/>
        <v>0.0267677815268918</v>
      </c>
      <c r="P176" s="13">
        <f t="shared" si="137"/>
        <v>0.014921992935942</v>
      </c>
      <c r="Q176" s="13">
        <f t="shared" si="137"/>
        <v>0.0166449722534426</v>
      </c>
      <c r="R176" s="13">
        <f t="shared" si="137"/>
        <v>0.0106647913764152</v>
      </c>
      <c r="S176" s="13">
        <f t="shared" si="137"/>
        <v>0.0636666417095367</v>
      </c>
      <c r="T176" s="13">
        <f t="shared" si="137"/>
        <v>0.0232472039795389</v>
      </c>
      <c r="U176" s="13">
        <f t="shared" si="137"/>
        <v>0.0172951334227193</v>
      </c>
      <c r="V176" s="13">
        <f t="shared" si="137"/>
        <v>0.0114468676026474</v>
      </c>
      <c r="W176" s="13">
        <f t="shared" si="137"/>
        <v>0.013908511064888</v>
      </c>
      <c r="X176" s="13">
        <f t="shared" si="137"/>
        <v>0.00585678048449345</v>
      </c>
      <c r="Y176" s="13">
        <f t="shared" si="137"/>
        <v>0.00651268657825645</v>
      </c>
      <c r="Z176" s="13">
        <f t="shared" si="137"/>
        <v>0.0126419346282855</v>
      </c>
      <c r="AA176" s="13">
        <f t="shared" si="137"/>
        <v>0.00893527153532842</v>
      </c>
      <c r="AB176" s="13">
        <f t="shared" si="137"/>
        <v>0.00574450900923642</v>
      </c>
      <c r="AC176" s="13">
        <f t="shared" si="137"/>
        <v>0.0052291621783024</v>
      </c>
      <c r="AD176" s="13">
        <f t="shared" si="137"/>
        <v>0.00460129876952441</v>
      </c>
      <c r="AE176" s="13">
        <f t="shared" si="137"/>
        <v>0.0182984893902625</v>
      </c>
      <c r="AF176" s="13">
        <f t="shared" si="137"/>
        <v>0.00793392238857136</v>
      </c>
      <c r="AG176" s="13">
        <f t="shared" si="137"/>
        <v>0.0104430677720919</v>
      </c>
      <c r="AH176" s="13">
        <f t="shared" si="137"/>
        <v>0.0171008142047456</v>
      </c>
      <c r="AI176" s="13">
        <f t="shared" si="137"/>
        <v>0.00611016788889329</v>
      </c>
    </row>
    <row r="177" spans="4:35">
      <c r="D177" s="13" t="s">
        <v>1</v>
      </c>
      <c r="E177" s="13">
        <f t="shared" ref="E177:E206" si="138">E141/AJ141</f>
        <v>0.424027937726887</v>
      </c>
      <c r="F177" s="13">
        <f t="shared" ref="F177:F206" si="139">F141/AK141</f>
        <v>0</v>
      </c>
      <c r="G177" s="13">
        <f t="shared" ref="G177:G206" si="140">G141/AL141</f>
        <v>0.053230238207709</v>
      </c>
      <c r="H177" s="13">
        <f t="shared" ref="H177:H206" si="141">H141/AM141</f>
        <v>0.0285326938222987</v>
      </c>
      <c r="I177" s="13">
        <f t="shared" ref="I177:I206" si="142">I141/AN141</f>
        <v>0.0418639298401707</v>
      </c>
      <c r="J177" s="13">
        <f t="shared" ref="J177:J206" si="143">J141/AO141</f>
        <v>0.0335072711282613</v>
      </c>
      <c r="K177" s="13">
        <f t="shared" ref="K177:K206" si="144">K141/AP141</f>
        <v>0.0189124440847639</v>
      </c>
      <c r="L177" s="13">
        <f t="shared" ref="L177:L206" si="145">L141/AQ141</f>
        <v>0.0129719935331498</v>
      </c>
      <c r="M177" s="13">
        <f t="shared" ref="M177:M206" si="146">M141/AR141</f>
        <v>0.0444835303894613</v>
      </c>
      <c r="N177" s="13">
        <f t="shared" ref="N177:N206" si="147">N141/AS141</f>
        <v>0.037854548298023</v>
      </c>
      <c r="O177" s="13">
        <f t="shared" ref="O177:O206" si="148">O141/AT141</f>
        <v>0.0270100408706069</v>
      </c>
      <c r="P177" s="13">
        <f t="shared" ref="P177:P206" si="149">P141/AU141</f>
        <v>0.0150229741957647</v>
      </c>
      <c r="Q177" s="13">
        <f t="shared" ref="Q177:Q206" si="150">Q141/AV141</f>
        <v>0.0163420600332731</v>
      </c>
      <c r="R177" s="13">
        <f t="shared" ref="R177:R206" si="151">R141/AW141</f>
        <v>0.0104183946801014</v>
      </c>
      <c r="S177" s="13">
        <f t="shared" ref="S177:S206" si="152">S141/AX141</f>
        <v>0.0728980152845744</v>
      </c>
      <c r="T177" s="13">
        <f t="shared" ref="T177:T206" si="153">T141/AY141</f>
        <v>0.0222629336471964</v>
      </c>
      <c r="U177" s="13">
        <f t="shared" ref="U177:U206" si="154">U141/AZ141</f>
        <v>0.0168265282389669</v>
      </c>
      <c r="V177" s="13">
        <f t="shared" ref="V177:V206" si="155">V141/BA141</f>
        <v>0.0109875952683587</v>
      </c>
      <c r="W177" s="13">
        <f t="shared" ref="W177:W206" si="156">W141/BB141</f>
        <v>0.0133269862808246</v>
      </c>
      <c r="X177" s="13">
        <f t="shared" ref="X177:X206" si="157">X141/BC141</f>
        <v>0.00553769329099545</v>
      </c>
      <c r="Y177" s="13">
        <f t="shared" ref="Y177:Y206" si="158">Y141/BD141</f>
        <v>0.00618698847664641</v>
      </c>
      <c r="Z177" s="13">
        <f t="shared" ref="Z177:Z206" si="159">Z141/BE141</f>
        <v>0.0117538481385452</v>
      </c>
      <c r="AA177" s="13">
        <f t="shared" ref="AA177:AA206" si="160">AA141/BF141</f>
        <v>0.00822670328666393</v>
      </c>
      <c r="AB177" s="13">
        <f t="shared" ref="AB177:AB206" si="161">AB141/BG141</f>
        <v>0.00538462620337444</v>
      </c>
      <c r="AC177" s="13">
        <f t="shared" ref="AC177:AC206" si="162">AC141/BH141</f>
        <v>0.00487013486912343</v>
      </c>
      <c r="AD177" s="13">
        <f t="shared" ref="AD177:AD206" si="163">AD141/BI141</f>
        <v>0.00421735518532276</v>
      </c>
      <c r="AE177" s="13">
        <f t="shared" ref="AE177:AE206" si="164">AE141/BJ141</f>
        <v>0.016634684416882</v>
      </c>
      <c r="AF177" s="13">
        <f t="shared" ref="AF177:AF206" si="165">AF141/BK141</f>
        <v>0.00706775962707746</v>
      </c>
      <c r="AG177" s="13">
        <f t="shared" ref="AG177:AG206" si="166">AG141/BL141</f>
        <v>0.00931929825905803</v>
      </c>
      <c r="AH177" s="13">
        <f t="shared" ref="AH177:AH206" si="167">AH141/BM141</f>
        <v>0.0148078766019524</v>
      </c>
      <c r="AI177" s="13">
        <f t="shared" ref="AI177:AI206" si="168">AI141/BN141</f>
        <v>0.0055129161139669</v>
      </c>
    </row>
    <row r="178" spans="4:35">
      <c r="D178" s="13" t="s">
        <v>2</v>
      </c>
      <c r="E178" s="13">
        <f t="shared" si="138"/>
        <v>0.187914043527344</v>
      </c>
      <c r="F178" s="13">
        <f t="shared" si="139"/>
        <v>0.144761255776915</v>
      </c>
      <c r="G178" s="13">
        <f t="shared" si="140"/>
        <v>0</v>
      </c>
      <c r="H178" s="13">
        <f t="shared" si="141"/>
        <v>0.0781539352615494</v>
      </c>
      <c r="I178" s="13">
        <f t="shared" si="142"/>
        <v>0.0643231267663582</v>
      </c>
      <c r="J178" s="13">
        <f t="shared" si="143"/>
        <v>0.0254104366165894</v>
      </c>
      <c r="K178" s="13">
        <f t="shared" si="144"/>
        <v>0.015931619713058</v>
      </c>
      <c r="L178" s="13">
        <f t="shared" si="145"/>
        <v>0.0115329564849597</v>
      </c>
      <c r="M178" s="13">
        <f t="shared" si="146"/>
        <v>0.0470577350514298</v>
      </c>
      <c r="N178" s="13">
        <f t="shared" si="147"/>
        <v>0.0429389525784698</v>
      </c>
      <c r="O178" s="13">
        <f t="shared" si="148"/>
        <v>0.029787370036167</v>
      </c>
      <c r="P178" s="13">
        <f t="shared" si="149"/>
        <v>0.0180029186044013</v>
      </c>
      <c r="Q178" s="13">
        <f t="shared" si="150"/>
        <v>0.0186579399727854</v>
      </c>
      <c r="R178" s="13">
        <f t="shared" si="151"/>
        <v>0.01272483385554</v>
      </c>
      <c r="S178" s="13">
        <f t="shared" si="152"/>
        <v>0.0784183258298182</v>
      </c>
      <c r="T178" s="13">
        <f t="shared" si="153"/>
        <v>0.0368663518970972</v>
      </c>
      <c r="U178" s="13">
        <f t="shared" si="154"/>
        <v>0.0218106785300561</v>
      </c>
      <c r="V178" s="13">
        <f t="shared" si="155"/>
        <v>0.0139908218968494</v>
      </c>
      <c r="W178" s="13">
        <f t="shared" si="156"/>
        <v>0.0160213894471736</v>
      </c>
      <c r="X178" s="13">
        <f t="shared" si="157"/>
        <v>0.00679139762212312</v>
      </c>
      <c r="Y178" s="13">
        <f t="shared" si="158"/>
        <v>0.0074176465806618</v>
      </c>
      <c r="Z178" s="13">
        <f t="shared" si="159"/>
        <v>0.0157187145866212</v>
      </c>
      <c r="AA178" s="13">
        <f t="shared" si="160"/>
        <v>0.0109741667454223</v>
      </c>
      <c r="AB178" s="13">
        <f t="shared" si="161"/>
        <v>0.00687379757086252</v>
      </c>
      <c r="AC178" s="13">
        <f t="shared" si="162"/>
        <v>0.00611476846085349</v>
      </c>
      <c r="AD178" s="13">
        <f t="shared" si="163"/>
        <v>0.00518962357539269</v>
      </c>
      <c r="AE178" s="13">
        <f t="shared" si="164"/>
        <v>0.0256376149351223</v>
      </c>
      <c r="AF178" s="13">
        <f t="shared" si="165"/>
        <v>0.00988564875831797</v>
      </c>
      <c r="AG178" s="13">
        <f t="shared" si="166"/>
        <v>0.01258756215514</v>
      </c>
      <c r="AH178" s="13">
        <f t="shared" si="167"/>
        <v>0.0219321695325494</v>
      </c>
      <c r="AI178" s="13">
        <f t="shared" si="168"/>
        <v>0.0065721976303719</v>
      </c>
    </row>
    <row r="179" spans="4:35">
      <c r="D179" s="13" t="s">
        <v>3</v>
      </c>
      <c r="E179" s="13">
        <f t="shared" si="138"/>
        <v>0.126735226366803</v>
      </c>
      <c r="F179" s="13">
        <f t="shared" si="139"/>
        <v>0.0995617149002394</v>
      </c>
      <c r="G179" s="13">
        <f t="shared" si="140"/>
        <v>0.100278195670233</v>
      </c>
      <c r="H179" s="13">
        <f t="shared" si="141"/>
        <v>0</v>
      </c>
      <c r="I179" s="13">
        <f t="shared" si="142"/>
        <v>0.0810985160064217</v>
      </c>
      <c r="J179" s="13">
        <f t="shared" si="143"/>
        <v>0.0241467913189429</v>
      </c>
      <c r="K179" s="13">
        <f t="shared" si="144"/>
        <v>0.0158209765227486</v>
      </c>
      <c r="L179" s="13">
        <f t="shared" si="145"/>
        <v>0.0117438330356122</v>
      </c>
      <c r="M179" s="13">
        <f t="shared" si="146"/>
        <v>0.0495096056411899</v>
      </c>
      <c r="N179" s="13">
        <f t="shared" si="147"/>
        <v>0.0454879630600121</v>
      </c>
      <c r="O179" s="13">
        <f t="shared" si="148"/>
        <v>0.0321168885218707</v>
      </c>
      <c r="P179" s="13">
        <f t="shared" si="149"/>
        <v>0.0197803387494865</v>
      </c>
      <c r="Q179" s="13">
        <f t="shared" si="150"/>
        <v>0.0210519390046888</v>
      </c>
      <c r="R179" s="13">
        <f t="shared" si="151"/>
        <v>0.0148234111523629</v>
      </c>
      <c r="S179" s="13">
        <f t="shared" si="152"/>
        <v>0.0620832120180764</v>
      </c>
      <c r="T179" s="13">
        <f t="shared" si="153"/>
        <v>0.0480284909900585</v>
      </c>
      <c r="U179" s="13">
        <f t="shared" si="154"/>
        <v>0.0261134985102189</v>
      </c>
      <c r="V179" s="13">
        <f t="shared" si="155"/>
        <v>0.017038010054576</v>
      </c>
      <c r="W179" s="13">
        <f t="shared" si="156"/>
        <v>0.0190094031507437</v>
      </c>
      <c r="X179" s="13">
        <f t="shared" si="157"/>
        <v>0.0082566631758619</v>
      </c>
      <c r="Y179" s="13">
        <f t="shared" si="158"/>
        <v>0.00886207273899911</v>
      </c>
      <c r="Z179" s="13">
        <f t="shared" si="159"/>
        <v>0.0205730373784092</v>
      </c>
      <c r="AA179" s="13">
        <f t="shared" si="160"/>
        <v>0.0144796998906193</v>
      </c>
      <c r="AB179" s="13">
        <f t="shared" si="161"/>
        <v>0.00864012916046389</v>
      </c>
      <c r="AC179" s="13">
        <f t="shared" si="162"/>
        <v>0.0076447058895563</v>
      </c>
      <c r="AD179" s="13">
        <f t="shared" si="163"/>
        <v>0.00645270178028987</v>
      </c>
      <c r="AE179" s="13">
        <f t="shared" si="164"/>
        <v>0.0389714432983909</v>
      </c>
      <c r="AF179" s="13">
        <f t="shared" si="165"/>
        <v>0.0138779668805389</v>
      </c>
      <c r="AG179" s="13">
        <f t="shared" si="166"/>
        <v>0.017069453784451</v>
      </c>
      <c r="AH179" s="13">
        <f t="shared" si="167"/>
        <v>0.0327398282771751</v>
      </c>
      <c r="AI179" s="13">
        <f t="shared" si="168"/>
        <v>0.00800428307095897</v>
      </c>
    </row>
    <row r="180" spans="4:35">
      <c r="D180" s="13" t="s">
        <v>4</v>
      </c>
      <c r="E180" s="13">
        <f t="shared" si="138"/>
        <v>0.156422787537336</v>
      </c>
      <c r="F180" s="13">
        <f t="shared" si="139"/>
        <v>0.11187766573512</v>
      </c>
      <c r="G180" s="13">
        <f t="shared" si="140"/>
        <v>0.0632086649873095</v>
      </c>
      <c r="H180" s="13">
        <f t="shared" si="141"/>
        <v>0.0621107419905105</v>
      </c>
      <c r="I180" s="13">
        <f t="shared" si="142"/>
        <v>0</v>
      </c>
      <c r="J180" s="13">
        <f t="shared" si="143"/>
        <v>0.0321161491061163</v>
      </c>
      <c r="K180" s="13">
        <f t="shared" si="144"/>
        <v>0.0218340525860398</v>
      </c>
      <c r="L180" s="13">
        <f t="shared" si="145"/>
        <v>0.0165292909601326</v>
      </c>
      <c r="M180" s="13">
        <f t="shared" si="146"/>
        <v>0.0506563564813307</v>
      </c>
      <c r="N180" s="13">
        <f t="shared" si="147"/>
        <v>0.0428989604003861</v>
      </c>
      <c r="O180" s="13">
        <f t="shared" si="148"/>
        <v>0.0323616743432859</v>
      </c>
      <c r="P180" s="13">
        <f t="shared" si="149"/>
        <v>0.0181977969689642</v>
      </c>
      <c r="Q180" s="13">
        <f t="shared" si="150"/>
        <v>0.022050364536154</v>
      </c>
      <c r="R180" s="13">
        <f t="shared" si="151"/>
        <v>0.0144805026462865</v>
      </c>
      <c r="S180" s="13">
        <f t="shared" si="152"/>
        <v>0.0520793747673769</v>
      </c>
      <c r="T180" s="13">
        <f t="shared" si="153"/>
        <v>0.0317637572464735</v>
      </c>
      <c r="U180" s="13">
        <f t="shared" si="154"/>
        <v>0.0237981552755664</v>
      </c>
      <c r="V180" s="13">
        <f t="shared" si="155"/>
        <v>0.016658351627881</v>
      </c>
      <c r="W180" s="13">
        <f t="shared" si="156"/>
        <v>0.0202753214332929</v>
      </c>
      <c r="X180" s="13">
        <f t="shared" si="157"/>
        <v>0.00902982925065578</v>
      </c>
      <c r="Y180" s="13">
        <f t="shared" si="158"/>
        <v>0.00980446271910188</v>
      </c>
      <c r="Z180" s="13">
        <f t="shared" si="159"/>
        <v>0.0212210255247983</v>
      </c>
      <c r="AA180" s="13">
        <f t="shared" si="160"/>
        <v>0.0157374238771884</v>
      </c>
      <c r="AB180" s="13">
        <f t="shared" si="161"/>
        <v>0.00925135451785897</v>
      </c>
      <c r="AC180" s="13">
        <f t="shared" si="162"/>
        <v>0.00863692734788122</v>
      </c>
      <c r="AD180" s="13">
        <f t="shared" si="163"/>
        <v>0.00809726202438084</v>
      </c>
      <c r="AE180" s="13">
        <f t="shared" si="164"/>
        <v>0.0339880322744638</v>
      </c>
      <c r="AF180" s="13">
        <f t="shared" si="165"/>
        <v>0.0169042211712058</v>
      </c>
      <c r="AG180" s="13">
        <f t="shared" si="166"/>
        <v>0.021850148179136</v>
      </c>
      <c r="AH180" s="13">
        <f t="shared" si="167"/>
        <v>0.0448711885476154</v>
      </c>
      <c r="AI180" s="13">
        <f t="shared" si="168"/>
        <v>0.011288155936151</v>
      </c>
    </row>
    <row r="181" spans="4:35">
      <c r="D181" s="13" t="s">
        <v>5</v>
      </c>
      <c r="E181" s="13">
        <f t="shared" si="138"/>
        <v>0.125518567274968</v>
      </c>
      <c r="F181" s="13">
        <f t="shared" si="139"/>
        <v>0.116748564595322</v>
      </c>
      <c r="G181" s="13">
        <f t="shared" si="140"/>
        <v>0.0325559734076047</v>
      </c>
      <c r="H181" s="13">
        <f t="shared" si="141"/>
        <v>0.0241113943615601</v>
      </c>
      <c r="I181" s="13">
        <f t="shared" si="142"/>
        <v>0.0418728530343322</v>
      </c>
      <c r="J181" s="13">
        <f t="shared" si="143"/>
        <v>0</v>
      </c>
      <c r="K181" s="13">
        <f t="shared" si="144"/>
        <v>0.110775662687183</v>
      </c>
      <c r="L181" s="13">
        <f t="shared" si="145"/>
        <v>0.05183512969101</v>
      </c>
      <c r="M181" s="13">
        <f t="shared" si="146"/>
        <v>0.0709535130021271</v>
      </c>
      <c r="N181" s="13">
        <f t="shared" si="147"/>
        <v>0.0510469800278981</v>
      </c>
      <c r="O181" s="13">
        <f t="shared" si="148"/>
        <v>0.0415852809221802</v>
      </c>
      <c r="P181" s="13">
        <f t="shared" si="149"/>
        <v>0.0197499554657175</v>
      </c>
      <c r="Q181" s="13">
        <f t="shared" si="150"/>
        <v>0.0263150816366174</v>
      </c>
      <c r="R181" s="13">
        <f t="shared" si="151"/>
        <v>0.0149318165487865</v>
      </c>
      <c r="S181" s="13">
        <f t="shared" si="152"/>
        <v>0.052852816472517</v>
      </c>
      <c r="T181" s="13">
        <f t="shared" si="153"/>
        <v>0.0225397371583331</v>
      </c>
      <c r="U181" s="13">
        <f t="shared" si="154"/>
        <v>0.0220948115465144</v>
      </c>
      <c r="V181" s="13">
        <f t="shared" si="155"/>
        <v>0.0154430646517466</v>
      </c>
      <c r="W181" s="13">
        <f t="shared" si="156"/>
        <v>0.0208390038202406</v>
      </c>
      <c r="X181" s="13">
        <f t="shared" si="157"/>
        <v>0.00858840157054072</v>
      </c>
      <c r="Y181" s="13">
        <f t="shared" si="158"/>
        <v>0.00991589886005598</v>
      </c>
      <c r="Z181" s="13">
        <f t="shared" si="159"/>
        <v>0.016288232538158</v>
      </c>
      <c r="AA181" s="13">
        <f t="shared" si="160"/>
        <v>0.011559931452317</v>
      </c>
      <c r="AB181" s="13">
        <f t="shared" si="161"/>
        <v>0.00791571221741464</v>
      </c>
      <c r="AC181" s="13">
        <f t="shared" si="162"/>
        <v>0.00741799199268848</v>
      </c>
      <c r="AD181" s="13">
        <f t="shared" si="163"/>
        <v>0.00671705709669702</v>
      </c>
      <c r="AE181" s="13">
        <f t="shared" si="164"/>
        <v>0.0198492689958713</v>
      </c>
      <c r="AF181" s="13">
        <f t="shared" si="165"/>
        <v>0.00943560470457346</v>
      </c>
      <c r="AG181" s="13">
        <f t="shared" si="166"/>
        <v>0.0129794900203565</v>
      </c>
      <c r="AH181" s="13">
        <f t="shared" si="167"/>
        <v>0.0183355843359024</v>
      </c>
      <c r="AI181" s="13">
        <f t="shared" si="168"/>
        <v>0.0092266199107663</v>
      </c>
    </row>
    <row r="182" spans="4:35">
      <c r="D182" s="13" t="s">
        <v>6</v>
      </c>
      <c r="E182" s="13">
        <f t="shared" si="138"/>
        <v>0.099084731773169</v>
      </c>
      <c r="F182" s="13">
        <f t="shared" si="139"/>
        <v>0.088596227266435</v>
      </c>
      <c r="G182" s="13">
        <f t="shared" si="140"/>
        <v>0.0274431254283806</v>
      </c>
      <c r="H182" s="13">
        <f t="shared" si="141"/>
        <v>0.0212398411881045</v>
      </c>
      <c r="I182" s="13">
        <f t="shared" si="142"/>
        <v>0.0382735301262794</v>
      </c>
      <c r="J182" s="13">
        <f t="shared" si="143"/>
        <v>0.148935915173631</v>
      </c>
      <c r="K182" s="13">
        <f t="shared" si="144"/>
        <v>0</v>
      </c>
      <c r="L182" s="13">
        <f t="shared" si="145"/>
        <v>0.123556478574177</v>
      </c>
      <c r="M182" s="13">
        <f t="shared" si="146"/>
        <v>0.0630376140517459</v>
      </c>
      <c r="N182" s="13">
        <f t="shared" si="147"/>
        <v>0.0445880682706635</v>
      </c>
      <c r="O182" s="13">
        <f t="shared" si="148"/>
        <v>0.0374623733474803</v>
      </c>
      <c r="P182" s="13">
        <f t="shared" si="149"/>
        <v>0.0174973763292658</v>
      </c>
      <c r="Q182" s="13">
        <f t="shared" si="150"/>
        <v>0.0248367755685388</v>
      </c>
      <c r="R182" s="13">
        <f t="shared" si="151"/>
        <v>0.0138281593322017</v>
      </c>
      <c r="S182" s="13">
        <f t="shared" si="152"/>
        <v>0.0424487527053486</v>
      </c>
      <c r="T182" s="13">
        <f t="shared" si="153"/>
        <v>0.0198664229941243</v>
      </c>
      <c r="U182" s="13">
        <f t="shared" si="154"/>
        <v>0.0201843913462384</v>
      </c>
      <c r="V182" s="13">
        <f t="shared" si="155"/>
        <v>0.014485112500905</v>
      </c>
      <c r="W182" s="13">
        <f t="shared" si="156"/>
        <v>0.020138514681223</v>
      </c>
      <c r="X182" s="13">
        <f t="shared" si="157"/>
        <v>0.00840072877116717</v>
      </c>
      <c r="Y182" s="13">
        <f t="shared" si="158"/>
        <v>0.00975117862447969</v>
      </c>
      <c r="Z182" s="13">
        <f t="shared" si="159"/>
        <v>0.0156183674836218</v>
      </c>
      <c r="AA182" s="13">
        <f t="shared" si="160"/>
        <v>0.011207410656109</v>
      </c>
      <c r="AB182" s="13">
        <f t="shared" si="161"/>
        <v>0.00767699782694302</v>
      </c>
      <c r="AC182" s="13">
        <f t="shared" si="162"/>
        <v>0.00731862519781279</v>
      </c>
      <c r="AD182" s="13">
        <f t="shared" si="163"/>
        <v>0.00683114866986586</v>
      </c>
      <c r="AE182" s="13">
        <f t="shared" si="164"/>
        <v>0.018500093808814</v>
      </c>
      <c r="AF182" s="13">
        <f t="shared" si="165"/>
        <v>0.00916253864903379</v>
      </c>
      <c r="AG182" s="13">
        <f t="shared" si="166"/>
        <v>0.0127717388320002</v>
      </c>
      <c r="AH182" s="13">
        <f t="shared" si="167"/>
        <v>0.0175593785881333</v>
      </c>
      <c r="AI182" s="13">
        <f t="shared" si="168"/>
        <v>0.00969838223410735</v>
      </c>
    </row>
    <row r="183" spans="4:35">
      <c r="D183" s="13" t="s">
        <v>7</v>
      </c>
      <c r="E183" s="13">
        <f t="shared" si="138"/>
        <v>0.0947792956263721</v>
      </c>
      <c r="F183" s="13">
        <f t="shared" si="139"/>
        <v>0.0832966819528269</v>
      </c>
      <c r="G183" s="13">
        <f t="shared" si="140"/>
        <v>0.0272312576769174</v>
      </c>
      <c r="H183" s="13">
        <f t="shared" si="141"/>
        <v>0.0216113180239921</v>
      </c>
      <c r="I183" s="13">
        <f t="shared" si="142"/>
        <v>0.0397165759908482</v>
      </c>
      <c r="J183" s="13">
        <f t="shared" si="143"/>
        <v>0.0955284383402601</v>
      </c>
      <c r="K183" s="13">
        <f t="shared" si="144"/>
        <v>0.169363152594502</v>
      </c>
      <c r="L183" s="13">
        <f t="shared" si="145"/>
        <v>0</v>
      </c>
      <c r="M183" s="13">
        <f t="shared" si="146"/>
        <v>0.0632922331269307</v>
      </c>
      <c r="N183" s="13">
        <f t="shared" si="147"/>
        <v>0.0446720976628667</v>
      </c>
      <c r="O183" s="13">
        <f t="shared" si="148"/>
        <v>0.0380405423037177</v>
      </c>
      <c r="P183" s="13">
        <f t="shared" si="149"/>
        <v>0.0177094883914798</v>
      </c>
      <c r="Q183" s="13">
        <f t="shared" si="150"/>
        <v>0.0259954936425693</v>
      </c>
      <c r="R183" s="13">
        <f t="shared" si="151"/>
        <v>0.0143766303482929</v>
      </c>
      <c r="S183" s="13">
        <f t="shared" si="152"/>
        <v>0.0410022891041259</v>
      </c>
      <c r="T183" s="13">
        <f t="shared" si="153"/>
        <v>0.0201868609114654</v>
      </c>
      <c r="U183" s="13">
        <f t="shared" si="154"/>
        <v>0.020864957914591</v>
      </c>
      <c r="V183" s="13">
        <f t="shared" si="155"/>
        <v>0.0152203532326131</v>
      </c>
      <c r="W183" s="13">
        <f t="shared" si="156"/>
        <v>0.0215237288479082</v>
      </c>
      <c r="X183" s="13">
        <f t="shared" si="157"/>
        <v>0.00907541860304461</v>
      </c>
      <c r="Y183" s="13">
        <f t="shared" si="158"/>
        <v>0.0105557413180284</v>
      </c>
      <c r="Z183" s="13">
        <f t="shared" si="159"/>
        <v>0.016709695214104</v>
      </c>
      <c r="AA183" s="13">
        <f t="shared" si="160"/>
        <v>0.0120902195765349</v>
      </c>
      <c r="AB183" s="13">
        <f t="shared" si="161"/>
        <v>0.00826373063900547</v>
      </c>
      <c r="AC183" s="13">
        <f t="shared" si="162"/>
        <v>0.00797535529435919</v>
      </c>
      <c r="AD183" s="13">
        <f t="shared" si="163"/>
        <v>0.0076251702468904</v>
      </c>
      <c r="AE183" s="13">
        <f t="shared" si="164"/>
        <v>0.0194698528789506</v>
      </c>
      <c r="AF183" s="13">
        <f t="shared" si="165"/>
        <v>0.00991626593724481</v>
      </c>
      <c r="AG183" s="13">
        <f t="shared" si="166"/>
        <v>0.0139501666322134</v>
      </c>
      <c r="AH183" s="13">
        <f t="shared" si="167"/>
        <v>0.0188305257740398</v>
      </c>
      <c r="AI183" s="13">
        <f t="shared" si="168"/>
        <v>0.0111264621933044</v>
      </c>
    </row>
    <row r="184" spans="4:35">
      <c r="D184" s="13" t="s">
        <v>8</v>
      </c>
      <c r="E184" s="13">
        <f t="shared" si="138"/>
        <v>0.054420154854834</v>
      </c>
      <c r="F184" s="13">
        <f t="shared" si="139"/>
        <v>0.0514737524794315</v>
      </c>
      <c r="G184" s="13">
        <f t="shared" si="140"/>
        <v>0.0200227474948448</v>
      </c>
      <c r="H184" s="13">
        <f t="shared" si="141"/>
        <v>0.0164182346081927</v>
      </c>
      <c r="I184" s="13">
        <f t="shared" si="142"/>
        <v>0.0219339641552088</v>
      </c>
      <c r="J184" s="13">
        <f t="shared" si="143"/>
        <v>0.023563944735088</v>
      </c>
      <c r="K184" s="13">
        <f t="shared" si="144"/>
        <v>0.01557108150555</v>
      </c>
      <c r="L184" s="13">
        <f t="shared" si="145"/>
        <v>0.0114055444946028</v>
      </c>
      <c r="M184" s="13">
        <f t="shared" si="146"/>
        <v>0</v>
      </c>
      <c r="N184" s="13">
        <f t="shared" si="147"/>
        <v>0.145060788666138</v>
      </c>
      <c r="O184" s="13">
        <f t="shared" si="148"/>
        <v>0.243853413284531</v>
      </c>
      <c r="P184" s="13">
        <f t="shared" si="149"/>
        <v>0.0443112852139008</v>
      </c>
      <c r="Q184" s="13">
        <f t="shared" si="150"/>
        <v>0.0549540930460469</v>
      </c>
      <c r="R184" s="13">
        <f t="shared" si="151"/>
        <v>0.0272942686109091</v>
      </c>
      <c r="S184" s="13">
        <f t="shared" si="152"/>
        <v>0.0418739899671019</v>
      </c>
      <c r="T184" s="13">
        <f t="shared" si="153"/>
        <v>0.0227682399313041</v>
      </c>
      <c r="U184" s="13">
        <f t="shared" si="154"/>
        <v>0.0341762811430299</v>
      </c>
      <c r="V184" s="13">
        <f t="shared" si="155"/>
        <v>0.0216655806533926</v>
      </c>
      <c r="W184" s="13">
        <f t="shared" si="156"/>
        <v>0.0278977031949754</v>
      </c>
      <c r="X184" s="13">
        <f t="shared" si="157"/>
        <v>0.00966060667413244</v>
      </c>
      <c r="Y184" s="13">
        <f t="shared" si="158"/>
        <v>0.0114817983948916</v>
      </c>
      <c r="Z184" s="13">
        <f t="shared" si="159"/>
        <v>0.0163960271088158</v>
      </c>
      <c r="AA184" s="13">
        <f t="shared" si="160"/>
        <v>0.0106252987539881</v>
      </c>
      <c r="AB184" s="13">
        <f t="shared" si="161"/>
        <v>0.00838312391990815</v>
      </c>
      <c r="AC184" s="13">
        <f t="shared" si="162"/>
        <v>0.00715317157541756</v>
      </c>
      <c r="AD184" s="13">
        <f t="shared" si="163"/>
        <v>0.00528588811738741</v>
      </c>
      <c r="AE184" s="13">
        <f t="shared" si="164"/>
        <v>0.0174870967802337</v>
      </c>
      <c r="AF184" s="13">
        <f t="shared" si="165"/>
        <v>0.00706575498382835</v>
      </c>
      <c r="AG184" s="13">
        <f t="shared" si="166"/>
        <v>0.00950481915709905</v>
      </c>
      <c r="AH184" s="13">
        <f t="shared" si="167"/>
        <v>0.0123699088324499</v>
      </c>
      <c r="AI184" s="13">
        <f t="shared" si="168"/>
        <v>0.00592143766276565</v>
      </c>
    </row>
    <row r="185" spans="4:35">
      <c r="D185" s="13" t="s">
        <v>9</v>
      </c>
      <c r="E185" s="13">
        <f t="shared" si="138"/>
        <v>0.0563805546905883</v>
      </c>
      <c r="F185" s="13">
        <f t="shared" si="139"/>
        <v>0.053453320230505</v>
      </c>
      <c r="G185" s="13">
        <f t="shared" si="140"/>
        <v>0.0222953416737458</v>
      </c>
      <c r="H185" s="13">
        <f t="shared" si="141"/>
        <v>0.0184078690152225</v>
      </c>
      <c r="I185" s="13">
        <f t="shared" si="142"/>
        <v>0.0226673099562713</v>
      </c>
      <c r="J185" s="13">
        <f t="shared" si="143"/>
        <v>0.0206877939631958</v>
      </c>
      <c r="K185" s="13">
        <f t="shared" si="144"/>
        <v>0.0134402610479615</v>
      </c>
      <c r="L185" s="13">
        <f t="shared" si="145"/>
        <v>0.00982362974941533</v>
      </c>
      <c r="M185" s="13">
        <f t="shared" si="146"/>
        <v>0.177019076140785</v>
      </c>
      <c r="N185" s="13">
        <f t="shared" si="147"/>
        <v>0</v>
      </c>
      <c r="O185" s="13">
        <f t="shared" si="148"/>
        <v>0.126465969921285</v>
      </c>
      <c r="P185" s="13">
        <f t="shared" si="149"/>
        <v>0.11097721922264</v>
      </c>
      <c r="Q185" s="13">
        <f t="shared" si="150"/>
        <v>0.042361494428834</v>
      </c>
      <c r="R185" s="13">
        <f t="shared" si="151"/>
        <v>0.0300735460395104</v>
      </c>
      <c r="S185" s="13">
        <f t="shared" si="152"/>
        <v>0.0502178481348179</v>
      </c>
      <c r="T185" s="13">
        <f t="shared" si="153"/>
        <v>0.0296063724064002</v>
      </c>
      <c r="U185" s="13">
        <f t="shared" si="154"/>
        <v>0.0447073090291567</v>
      </c>
      <c r="V185" s="13">
        <f t="shared" si="155"/>
        <v>0.0235507621567918</v>
      </c>
      <c r="W185" s="13">
        <f t="shared" si="156"/>
        <v>0.0255823290780869</v>
      </c>
      <c r="X185" s="13">
        <f t="shared" si="157"/>
        <v>0.00910219693593966</v>
      </c>
      <c r="Y185" s="13">
        <f t="shared" si="158"/>
        <v>0.0104052641824967</v>
      </c>
      <c r="Z185" s="13">
        <f t="shared" si="159"/>
        <v>0.0170898648948185</v>
      </c>
      <c r="AA185" s="13">
        <f t="shared" si="160"/>
        <v>0.0108449797005733</v>
      </c>
      <c r="AB185" s="13">
        <f t="shared" si="161"/>
        <v>0.00833933454014522</v>
      </c>
      <c r="AC185" s="13">
        <f t="shared" si="162"/>
        <v>0.00689889919756582</v>
      </c>
      <c r="AD185" s="13">
        <f t="shared" si="163"/>
        <v>0.00499247712987964</v>
      </c>
      <c r="AE185" s="13">
        <f t="shared" si="164"/>
        <v>0.0194583244295519</v>
      </c>
      <c r="AF185" s="13">
        <f t="shared" si="165"/>
        <v>0.00724048091536719</v>
      </c>
      <c r="AG185" s="13">
        <f t="shared" si="166"/>
        <v>0.00955700261672664</v>
      </c>
      <c r="AH185" s="13">
        <f t="shared" si="167"/>
        <v>0.0128160227402679</v>
      </c>
      <c r="AI185" s="13">
        <f t="shared" si="168"/>
        <v>0.00553714583145431</v>
      </c>
    </row>
    <row r="186" spans="4:35">
      <c r="D186" s="13" t="s">
        <v>10</v>
      </c>
      <c r="E186" s="13">
        <f t="shared" si="138"/>
        <v>0.043201703671893</v>
      </c>
      <c r="F186" s="13">
        <f t="shared" si="139"/>
        <v>0.0403916276287782</v>
      </c>
      <c r="G186" s="13">
        <f t="shared" si="140"/>
        <v>0.0163796395663356</v>
      </c>
      <c r="H186" s="13">
        <f t="shared" si="141"/>
        <v>0.0137641686231038</v>
      </c>
      <c r="I186" s="13">
        <f t="shared" si="142"/>
        <v>0.0181089676646164</v>
      </c>
      <c r="J186" s="13">
        <f t="shared" si="143"/>
        <v>0.0178481522663636</v>
      </c>
      <c r="K186" s="13">
        <f t="shared" si="144"/>
        <v>0.011958971442002</v>
      </c>
      <c r="L186" s="13">
        <f t="shared" si="145"/>
        <v>0.00885914548316533</v>
      </c>
      <c r="M186" s="13">
        <f t="shared" si="146"/>
        <v>0.315143510841316</v>
      </c>
      <c r="N186" s="13">
        <f t="shared" si="147"/>
        <v>0.133931635936401</v>
      </c>
      <c r="O186" s="13">
        <f t="shared" si="148"/>
        <v>0</v>
      </c>
      <c r="P186" s="13">
        <f t="shared" si="149"/>
        <v>0.0460829266566038</v>
      </c>
      <c r="Q186" s="13">
        <f t="shared" si="150"/>
        <v>0.0596970410994022</v>
      </c>
      <c r="R186" s="13">
        <f t="shared" si="151"/>
        <v>0.0300333248881256</v>
      </c>
      <c r="S186" s="13">
        <f t="shared" si="152"/>
        <v>0.0330872846683167</v>
      </c>
      <c r="T186" s="13">
        <f t="shared" si="153"/>
        <v>0.01995463869511</v>
      </c>
      <c r="U186" s="13">
        <f t="shared" si="154"/>
        <v>0.0345633945584529</v>
      </c>
      <c r="V186" s="13">
        <f t="shared" si="155"/>
        <v>0.0215758510390582</v>
      </c>
      <c r="W186" s="13">
        <f t="shared" si="156"/>
        <v>0.0269621607023724</v>
      </c>
      <c r="X186" s="13">
        <f t="shared" si="157"/>
        <v>0.00897790150003318</v>
      </c>
      <c r="Y186" s="13">
        <f t="shared" si="158"/>
        <v>0.0106576722555911</v>
      </c>
      <c r="Z186" s="13">
        <f t="shared" si="159"/>
        <v>0.0150010604307294</v>
      </c>
      <c r="AA186" s="13">
        <f t="shared" si="160"/>
        <v>0.00954969987562142</v>
      </c>
      <c r="AB186" s="13">
        <f t="shared" si="161"/>
        <v>0.00773919351350752</v>
      </c>
      <c r="AC186" s="13">
        <f t="shared" si="162"/>
        <v>0.00646244057935767</v>
      </c>
      <c r="AD186" s="13">
        <f t="shared" si="163"/>
        <v>0.00460712127226018</v>
      </c>
      <c r="AE186" s="13">
        <f t="shared" si="164"/>
        <v>0.0154974807033952</v>
      </c>
      <c r="AF186" s="13">
        <f t="shared" si="165"/>
        <v>0.00613736319193348</v>
      </c>
      <c r="AG186" s="13">
        <f t="shared" si="166"/>
        <v>0.00823282603736367</v>
      </c>
      <c r="AH186" s="13">
        <f t="shared" si="167"/>
        <v>0.0105718166676189</v>
      </c>
      <c r="AI186" s="13">
        <f t="shared" si="168"/>
        <v>0.00502127854117163</v>
      </c>
    </row>
    <row r="187" spans="4:35">
      <c r="D187" s="13" t="s">
        <v>11</v>
      </c>
      <c r="E187" s="13">
        <f t="shared" si="138"/>
        <v>0.0481667680657727</v>
      </c>
      <c r="F187" s="13">
        <f t="shared" si="139"/>
        <v>0.0449318412477413</v>
      </c>
      <c r="G187" s="13">
        <f t="shared" si="140"/>
        <v>0.0197991834769019</v>
      </c>
      <c r="H187" s="13">
        <f t="shared" si="141"/>
        <v>0.0169544000718591</v>
      </c>
      <c r="I187" s="13">
        <f t="shared" si="142"/>
        <v>0.0203663736498725</v>
      </c>
      <c r="J187" s="13">
        <f t="shared" si="143"/>
        <v>0.016953209360702</v>
      </c>
      <c r="K187" s="13">
        <f t="shared" si="144"/>
        <v>0.0111712984792655</v>
      </c>
      <c r="L187" s="13">
        <f t="shared" si="145"/>
        <v>0.00824865863540015</v>
      </c>
      <c r="M187" s="13">
        <f t="shared" si="146"/>
        <v>0.114531792696507</v>
      </c>
      <c r="N187" s="13">
        <f t="shared" si="147"/>
        <v>0.235058258816121</v>
      </c>
      <c r="O187" s="13">
        <f t="shared" si="148"/>
        <v>0.0921663172778306</v>
      </c>
      <c r="P187" s="13">
        <f t="shared" si="149"/>
        <v>0</v>
      </c>
      <c r="Q187" s="13">
        <f t="shared" si="150"/>
        <v>0.0395037766582925</v>
      </c>
      <c r="R187" s="13">
        <f t="shared" si="151"/>
        <v>0.0345911486482983</v>
      </c>
      <c r="S187" s="13">
        <f t="shared" si="152"/>
        <v>0.0415582068857028</v>
      </c>
      <c r="T187" s="13">
        <f t="shared" si="153"/>
        <v>0.0298186081074157</v>
      </c>
      <c r="U187" s="13">
        <f t="shared" si="154"/>
        <v>0.0568848978197656</v>
      </c>
      <c r="V187" s="13">
        <f t="shared" si="155"/>
        <v>0.0257232765818638</v>
      </c>
      <c r="W187" s="13">
        <f t="shared" si="156"/>
        <v>0.0251526190875215</v>
      </c>
      <c r="X187" s="13">
        <f t="shared" si="157"/>
        <v>0.00887539814831934</v>
      </c>
      <c r="Y187" s="13">
        <f t="shared" si="158"/>
        <v>0.00999045414243921</v>
      </c>
      <c r="Z187" s="13">
        <f t="shared" si="159"/>
        <v>0.0171311543276202</v>
      </c>
      <c r="AA187" s="13">
        <f t="shared" si="160"/>
        <v>0.0106238087233146</v>
      </c>
      <c r="AB187" s="13">
        <f t="shared" si="161"/>
        <v>0.00826966999477736</v>
      </c>
      <c r="AC187" s="13">
        <f t="shared" si="162"/>
        <v>0.00666062338127061</v>
      </c>
      <c r="AD187" s="13">
        <f t="shared" si="163"/>
        <v>0.00466384065435851</v>
      </c>
      <c r="AE187" s="13">
        <f t="shared" si="164"/>
        <v>0.0192801023386248</v>
      </c>
      <c r="AF187" s="13">
        <f t="shared" si="165"/>
        <v>0.00687503053503305</v>
      </c>
      <c r="AG187" s="13">
        <f t="shared" si="166"/>
        <v>0.00901154168515328</v>
      </c>
      <c r="AH187" s="13">
        <f t="shared" si="167"/>
        <v>0.0119885901515353</v>
      </c>
      <c r="AI187" s="13">
        <f t="shared" si="168"/>
        <v>0.00504915035071993</v>
      </c>
    </row>
    <row r="188" spans="4:35">
      <c r="D188" s="13" t="s">
        <v>12</v>
      </c>
      <c r="E188" s="13">
        <f t="shared" si="138"/>
        <v>0.0499734035132199</v>
      </c>
      <c r="F188" s="13">
        <f t="shared" si="139"/>
        <v>0.0454611348304905</v>
      </c>
      <c r="G188" s="13">
        <f t="shared" si="140"/>
        <v>0.0190854863047225</v>
      </c>
      <c r="H188" s="13">
        <f t="shared" si="141"/>
        <v>0.0167832468291954</v>
      </c>
      <c r="I188" s="13">
        <f t="shared" si="142"/>
        <v>0.022953337480986</v>
      </c>
      <c r="J188" s="13">
        <f t="shared" si="143"/>
        <v>0.0210099830911805</v>
      </c>
      <c r="K188" s="13">
        <f t="shared" si="144"/>
        <v>0.0147489503126667</v>
      </c>
      <c r="L188" s="13">
        <f t="shared" si="145"/>
        <v>0.0112618713396296</v>
      </c>
      <c r="M188" s="13">
        <f t="shared" si="146"/>
        <v>0.132113419407603</v>
      </c>
      <c r="N188" s="13">
        <f t="shared" si="147"/>
        <v>0.0834541860572994</v>
      </c>
      <c r="O188" s="13">
        <f t="shared" si="148"/>
        <v>0.111050409472168</v>
      </c>
      <c r="P188" s="13">
        <f t="shared" si="149"/>
        <v>0.0367429307142493</v>
      </c>
      <c r="Q188" s="13">
        <f t="shared" si="150"/>
        <v>0</v>
      </c>
      <c r="R188" s="13">
        <f t="shared" si="151"/>
        <v>0.0523214517868568</v>
      </c>
      <c r="S188" s="13">
        <f t="shared" si="152"/>
        <v>0.0340568527781091</v>
      </c>
      <c r="T188" s="13">
        <f t="shared" si="153"/>
        <v>0.0232442928057291</v>
      </c>
      <c r="U188" s="13">
        <f t="shared" si="154"/>
        <v>0.0460625755991273</v>
      </c>
      <c r="V188" s="13">
        <f t="shared" si="155"/>
        <v>0.0381645876384296</v>
      </c>
      <c r="W188" s="13">
        <f t="shared" si="156"/>
        <v>0.065179768582768</v>
      </c>
      <c r="X188" s="13">
        <f t="shared" si="157"/>
        <v>0.0177739714582209</v>
      </c>
      <c r="Y188" s="13">
        <f t="shared" si="158"/>
        <v>0.0225817116254115</v>
      </c>
      <c r="Z188" s="13">
        <f t="shared" si="159"/>
        <v>0.0241301367308309</v>
      </c>
      <c r="AA188" s="13">
        <f t="shared" si="160"/>
        <v>0.0151281976794893</v>
      </c>
      <c r="AB188" s="13">
        <f t="shared" si="161"/>
        <v>0.0136772493596699</v>
      </c>
      <c r="AC188" s="13">
        <f t="shared" si="162"/>
        <v>0.0112541695411714</v>
      </c>
      <c r="AD188" s="13">
        <f t="shared" si="163"/>
        <v>0.00740861270265447</v>
      </c>
      <c r="AE188" s="13">
        <f t="shared" si="164"/>
        <v>0.0213876176592143</v>
      </c>
      <c r="AF188" s="13">
        <f t="shared" si="165"/>
        <v>0.00887166221227139</v>
      </c>
      <c r="AG188" s="13">
        <f t="shared" si="166"/>
        <v>0.0120732760522695</v>
      </c>
      <c r="AH188" s="13">
        <f t="shared" si="167"/>
        <v>0.0145108828500929</v>
      </c>
      <c r="AI188" s="13">
        <f t="shared" si="168"/>
        <v>0.00753462358427316</v>
      </c>
    </row>
    <row r="189" spans="4:35">
      <c r="D189" s="13" t="s">
        <v>13</v>
      </c>
      <c r="E189" s="13">
        <f t="shared" si="138"/>
        <v>0.045591264082608</v>
      </c>
      <c r="F189" s="13">
        <f t="shared" si="139"/>
        <v>0.0412674556537862</v>
      </c>
      <c r="G189" s="13">
        <f t="shared" si="140"/>
        <v>0.018533825761384</v>
      </c>
      <c r="H189" s="13">
        <f t="shared" si="141"/>
        <v>0.0168269517624027</v>
      </c>
      <c r="I189" s="13">
        <f t="shared" si="142"/>
        <v>0.0214628367475628</v>
      </c>
      <c r="J189" s="13">
        <f t="shared" si="143"/>
        <v>0.016974892912573</v>
      </c>
      <c r="K189" s="13">
        <f t="shared" si="144"/>
        <v>0.0116924007185048</v>
      </c>
      <c r="L189" s="13">
        <f t="shared" si="145"/>
        <v>0.00886835389046933</v>
      </c>
      <c r="M189" s="13">
        <f t="shared" si="146"/>
        <v>0.0934311654387523</v>
      </c>
      <c r="N189" s="13">
        <f t="shared" si="147"/>
        <v>0.0843596771769143</v>
      </c>
      <c r="O189" s="13">
        <f t="shared" si="148"/>
        <v>0.0795507336092722</v>
      </c>
      <c r="P189" s="13">
        <f t="shared" si="149"/>
        <v>0.0458114013235702</v>
      </c>
      <c r="Q189" s="13">
        <f t="shared" si="150"/>
        <v>0.074499473310139</v>
      </c>
      <c r="R189" s="13">
        <f t="shared" si="151"/>
        <v>0</v>
      </c>
      <c r="S189" s="13">
        <f t="shared" si="152"/>
        <v>0.0328478277404798</v>
      </c>
      <c r="T189" s="13">
        <f t="shared" si="153"/>
        <v>0.0266405613199488</v>
      </c>
      <c r="U189" s="13">
        <f t="shared" si="154"/>
        <v>0.0919593809777212</v>
      </c>
      <c r="V189" s="13">
        <f t="shared" si="155"/>
        <v>0.0672056561315171</v>
      </c>
      <c r="W189" s="13">
        <f t="shared" si="156"/>
        <v>0.0525766336409578</v>
      </c>
      <c r="X189" s="13">
        <f t="shared" si="157"/>
        <v>0.0157662284360683</v>
      </c>
      <c r="Y189" s="13">
        <f t="shared" si="158"/>
        <v>0.0176798803966353</v>
      </c>
      <c r="Z189" s="13">
        <f t="shared" si="159"/>
        <v>0.0263420148729179</v>
      </c>
      <c r="AA189" s="13">
        <f t="shared" si="160"/>
        <v>0.0154012132427679</v>
      </c>
      <c r="AB189" s="13">
        <f t="shared" si="161"/>
        <v>0.0139023721617495</v>
      </c>
      <c r="AC189" s="13">
        <f t="shared" si="162"/>
        <v>0.0103771494470084</v>
      </c>
      <c r="AD189" s="13">
        <f t="shared" si="163"/>
        <v>0.00643289212199368</v>
      </c>
      <c r="AE189" s="13">
        <f t="shared" si="164"/>
        <v>0.0234281651274225</v>
      </c>
      <c r="AF189" s="13">
        <f t="shared" si="165"/>
        <v>0.00864739980492113</v>
      </c>
      <c r="AG189" s="13">
        <f t="shared" si="166"/>
        <v>0.0114642824069772</v>
      </c>
      <c r="AH189" s="13">
        <f t="shared" si="167"/>
        <v>0.014046206682468</v>
      </c>
      <c r="AI189" s="13">
        <f t="shared" si="168"/>
        <v>0.00641170310050647</v>
      </c>
    </row>
    <row r="190" spans="4:35">
      <c r="D190" s="13" t="s">
        <v>14</v>
      </c>
      <c r="E190" s="13">
        <f t="shared" si="138"/>
        <v>0.141877943565343</v>
      </c>
      <c r="F190" s="13">
        <f t="shared" si="139"/>
        <v>0.150520712375175</v>
      </c>
      <c r="G190" s="13">
        <f t="shared" si="140"/>
        <v>0.059539364472502</v>
      </c>
      <c r="H190" s="13">
        <f t="shared" si="141"/>
        <v>0.0367371233359296</v>
      </c>
      <c r="I190" s="13">
        <f t="shared" si="142"/>
        <v>0.0402386053407334</v>
      </c>
      <c r="J190" s="13">
        <f t="shared" si="143"/>
        <v>0.0313210423061102</v>
      </c>
      <c r="K190" s="13">
        <f t="shared" si="144"/>
        <v>0.0187101781555328</v>
      </c>
      <c r="L190" s="13">
        <f t="shared" si="145"/>
        <v>0.0131846220731811</v>
      </c>
      <c r="M190" s="13">
        <f t="shared" si="146"/>
        <v>0.074720251108767</v>
      </c>
      <c r="N190" s="13">
        <f t="shared" si="147"/>
        <v>0.0734314394378548</v>
      </c>
      <c r="O190" s="13">
        <f t="shared" si="148"/>
        <v>0.0456852047849845</v>
      </c>
      <c r="P190" s="13">
        <f t="shared" si="149"/>
        <v>0.0286905627582767</v>
      </c>
      <c r="Q190" s="13">
        <f t="shared" si="150"/>
        <v>0.0252785175619005</v>
      </c>
      <c r="R190" s="13">
        <f t="shared" si="151"/>
        <v>0.0171230185704986</v>
      </c>
      <c r="S190" s="13">
        <f t="shared" si="152"/>
        <v>0</v>
      </c>
      <c r="T190" s="13">
        <f t="shared" si="153"/>
        <v>0.0428678477936066</v>
      </c>
      <c r="U190" s="13">
        <f t="shared" si="154"/>
        <v>0.0289929142947276</v>
      </c>
      <c r="V190" s="13">
        <f t="shared" si="155"/>
        <v>0.0173491650368641</v>
      </c>
      <c r="W190" s="13">
        <f t="shared" si="156"/>
        <v>0.0196609564267313</v>
      </c>
      <c r="X190" s="13">
        <f t="shared" si="157"/>
        <v>0.00789615510266745</v>
      </c>
      <c r="Y190" s="13">
        <f t="shared" si="158"/>
        <v>0.00878848658991024</v>
      </c>
      <c r="Z190" s="13">
        <f t="shared" si="159"/>
        <v>0.0169092352957986</v>
      </c>
      <c r="AA190" s="13">
        <f t="shared" si="160"/>
        <v>0.0113856001296663</v>
      </c>
      <c r="AB190" s="13">
        <f t="shared" si="161"/>
        <v>0.00769795801191213</v>
      </c>
      <c r="AC190" s="13">
        <f t="shared" si="162"/>
        <v>0.0066994643835107</v>
      </c>
      <c r="AD190" s="13">
        <f t="shared" si="163"/>
        <v>0.00540326741571673</v>
      </c>
      <c r="AE190" s="13">
        <f t="shared" si="164"/>
        <v>0.024019736795669</v>
      </c>
      <c r="AF190" s="13">
        <f t="shared" si="165"/>
        <v>0.00903199637506921</v>
      </c>
      <c r="AG190" s="13">
        <f t="shared" si="166"/>
        <v>0.0117299331975843</v>
      </c>
      <c r="AH190" s="13">
        <f t="shared" si="167"/>
        <v>0.0179357467897478</v>
      </c>
      <c r="AI190" s="13">
        <f t="shared" si="168"/>
        <v>0.00657295051402957</v>
      </c>
    </row>
    <row r="191" spans="4:35">
      <c r="D191" s="13" t="s">
        <v>15</v>
      </c>
      <c r="E191" s="13">
        <f t="shared" si="138"/>
        <v>0.0877053617587001</v>
      </c>
      <c r="F191" s="13">
        <f t="shared" si="139"/>
        <v>0.0778243366879657</v>
      </c>
      <c r="G191" s="13">
        <f t="shared" si="140"/>
        <v>0.0473880969016663</v>
      </c>
      <c r="H191" s="13">
        <f t="shared" si="141"/>
        <v>0.048115209952375</v>
      </c>
      <c r="I191" s="13">
        <f t="shared" si="142"/>
        <v>0.0415490885805959</v>
      </c>
      <c r="J191" s="13">
        <f t="shared" si="143"/>
        <v>0.0226135837237614</v>
      </c>
      <c r="K191" s="13">
        <f t="shared" si="144"/>
        <v>0.0148246736830689</v>
      </c>
      <c r="L191" s="13">
        <f t="shared" si="145"/>
        <v>0.0109895737544629</v>
      </c>
      <c r="M191" s="13">
        <f t="shared" si="146"/>
        <v>0.0687821762480211</v>
      </c>
      <c r="N191" s="13">
        <f t="shared" si="147"/>
        <v>0.0732928509796222</v>
      </c>
      <c r="O191" s="13">
        <f t="shared" si="148"/>
        <v>0.0466456116251378</v>
      </c>
      <c r="P191" s="13">
        <f t="shared" si="149"/>
        <v>0.0348515508703238</v>
      </c>
      <c r="Q191" s="13">
        <f t="shared" si="150"/>
        <v>0.0292089471103075</v>
      </c>
      <c r="R191" s="13">
        <f t="shared" si="151"/>
        <v>0.0235109143640367</v>
      </c>
      <c r="S191" s="13">
        <f t="shared" si="152"/>
        <v>0.072574517179467</v>
      </c>
      <c r="T191" s="13">
        <f t="shared" si="153"/>
        <v>0</v>
      </c>
      <c r="U191" s="13">
        <f t="shared" si="154"/>
        <v>0.0486055404092534</v>
      </c>
      <c r="V191" s="13">
        <f t="shared" si="155"/>
        <v>0.0265265236086722</v>
      </c>
      <c r="W191" s="13">
        <f t="shared" si="156"/>
        <v>0.0254777406178749</v>
      </c>
      <c r="X191" s="13">
        <f t="shared" si="157"/>
        <v>0.0105034127403102</v>
      </c>
      <c r="Y191" s="13">
        <f t="shared" si="158"/>
        <v>0.0111808842185814</v>
      </c>
      <c r="Z191" s="13">
        <f t="shared" si="159"/>
        <v>0.0265757451494261</v>
      </c>
      <c r="AA191" s="13">
        <f t="shared" si="160"/>
        <v>0.0170227629479396</v>
      </c>
      <c r="AB191" s="13">
        <f t="shared" si="161"/>
        <v>0.0110546652339659</v>
      </c>
      <c r="AC191" s="13">
        <f t="shared" si="162"/>
        <v>0.00907478198154991</v>
      </c>
      <c r="AD191" s="13">
        <f t="shared" si="163"/>
        <v>0.00675952145980682</v>
      </c>
      <c r="AE191" s="13">
        <f t="shared" si="164"/>
        <v>0.0466452132915798</v>
      </c>
      <c r="AF191" s="13">
        <f t="shared" si="165"/>
        <v>0.0128325218975971</v>
      </c>
      <c r="AG191" s="13">
        <f t="shared" si="166"/>
        <v>0.0158915754383473</v>
      </c>
      <c r="AH191" s="13">
        <f t="shared" si="167"/>
        <v>0.0243933737157713</v>
      </c>
      <c r="AI191" s="13">
        <f t="shared" si="168"/>
        <v>0.00757924386981186</v>
      </c>
    </row>
    <row r="192" spans="4:35">
      <c r="D192" s="13" t="s">
        <v>16</v>
      </c>
      <c r="E192" s="13">
        <f t="shared" si="138"/>
        <v>0.0536334327156897</v>
      </c>
      <c r="F192" s="13">
        <f t="shared" si="139"/>
        <v>0.0483485900938422</v>
      </c>
      <c r="G192" s="13">
        <f t="shared" si="140"/>
        <v>0.023044354090491</v>
      </c>
      <c r="H192" s="13">
        <f t="shared" si="141"/>
        <v>0.0215032825981375</v>
      </c>
      <c r="I192" s="13">
        <f t="shared" si="142"/>
        <v>0.0255875784136944</v>
      </c>
      <c r="J192" s="13">
        <f t="shared" si="143"/>
        <v>0.0182207859874377</v>
      </c>
      <c r="K192" s="13">
        <f t="shared" si="144"/>
        <v>0.0123804771166406</v>
      </c>
      <c r="L192" s="13">
        <f t="shared" si="145"/>
        <v>0.0093365371554558</v>
      </c>
      <c r="M192" s="13">
        <f t="shared" si="146"/>
        <v>0.0848647852184999</v>
      </c>
      <c r="N192" s="13">
        <f t="shared" si="147"/>
        <v>0.0909727257445569</v>
      </c>
      <c r="O192" s="13">
        <f t="shared" si="148"/>
        <v>0.0664109314957197</v>
      </c>
      <c r="P192" s="13">
        <f t="shared" si="149"/>
        <v>0.0546497252830039</v>
      </c>
      <c r="Q192" s="13">
        <f t="shared" si="150"/>
        <v>0.0475777655833685</v>
      </c>
      <c r="R192" s="13">
        <f t="shared" si="151"/>
        <v>0.066708080937268</v>
      </c>
      <c r="S192" s="13">
        <f t="shared" si="152"/>
        <v>0.0403460113557427</v>
      </c>
      <c r="T192" s="13">
        <f t="shared" si="153"/>
        <v>0.0399523229473021</v>
      </c>
      <c r="U192" s="13">
        <f t="shared" si="154"/>
        <v>0</v>
      </c>
      <c r="V192" s="13">
        <f t="shared" si="155"/>
        <v>0.0662518484686197</v>
      </c>
      <c r="W192" s="13">
        <f t="shared" si="156"/>
        <v>0.0406310549387636</v>
      </c>
      <c r="X192" s="13">
        <f t="shared" si="157"/>
        <v>0.0145293891509457</v>
      </c>
      <c r="Y192" s="13">
        <f t="shared" si="158"/>
        <v>0.0154487795872121</v>
      </c>
      <c r="Z192" s="13">
        <f t="shared" si="159"/>
        <v>0.0311002326372825</v>
      </c>
      <c r="AA192" s="13">
        <f t="shared" si="160"/>
        <v>0.0177578464502448</v>
      </c>
      <c r="AB192" s="13">
        <f t="shared" si="161"/>
        <v>0.01449451762523</v>
      </c>
      <c r="AC192" s="13">
        <f t="shared" si="162"/>
        <v>0.0106847605089326</v>
      </c>
      <c r="AD192" s="13">
        <f t="shared" si="163"/>
        <v>0.00678397954778437</v>
      </c>
      <c r="AE192" s="13">
        <f t="shared" si="164"/>
        <v>0.0314910543169584</v>
      </c>
      <c r="AF192" s="13">
        <f t="shared" si="165"/>
        <v>0.0102528757043553</v>
      </c>
      <c r="AG192" s="13">
        <f t="shared" si="166"/>
        <v>0.0132567957601696</v>
      </c>
      <c r="AH192" s="13">
        <f t="shared" si="167"/>
        <v>0.0169084784646423</v>
      </c>
      <c r="AI192" s="13">
        <f t="shared" si="168"/>
        <v>0.00687100010200822</v>
      </c>
    </row>
    <row r="193" spans="4:35">
      <c r="D193" s="13" t="s">
        <v>17</v>
      </c>
      <c r="E193" s="13">
        <f t="shared" si="138"/>
        <v>0.0482767222778864</v>
      </c>
      <c r="F193" s="13">
        <f t="shared" si="139"/>
        <v>0.0429369694544899</v>
      </c>
      <c r="G193" s="13">
        <f t="shared" si="140"/>
        <v>0.0201037942240871</v>
      </c>
      <c r="H193" s="13">
        <f t="shared" si="141"/>
        <v>0.0190808629532544</v>
      </c>
      <c r="I193" s="13">
        <f t="shared" si="142"/>
        <v>0.0243588822974667</v>
      </c>
      <c r="J193" s="13">
        <f t="shared" si="143"/>
        <v>0.0173200736407011</v>
      </c>
      <c r="K193" s="13">
        <f t="shared" si="144"/>
        <v>0.0120832298145852</v>
      </c>
      <c r="L193" s="13">
        <f t="shared" si="145"/>
        <v>0.00926259099640898</v>
      </c>
      <c r="M193" s="13">
        <f t="shared" si="146"/>
        <v>0.0731665344130081</v>
      </c>
      <c r="N193" s="13">
        <f t="shared" si="147"/>
        <v>0.0651744061695512</v>
      </c>
      <c r="O193" s="13">
        <f t="shared" si="148"/>
        <v>0.0563807121176665</v>
      </c>
      <c r="P193" s="13">
        <f t="shared" si="149"/>
        <v>0.0336090879631154</v>
      </c>
      <c r="Q193" s="13">
        <f t="shared" si="150"/>
        <v>0.0536112381836157</v>
      </c>
      <c r="R193" s="13">
        <f t="shared" si="151"/>
        <v>0.0663021592884041</v>
      </c>
      <c r="S193" s="13">
        <f t="shared" si="152"/>
        <v>0.0328342236584239</v>
      </c>
      <c r="T193" s="13">
        <f t="shared" si="153"/>
        <v>0.0296535051945396</v>
      </c>
      <c r="U193" s="13">
        <f t="shared" si="154"/>
        <v>0.0901026240345912</v>
      </c>
      <c r="V193" s="13">
        <f t="shared" si="155"/>
        <v>0</v>
      </c>
      <c r="W193" s="13">
        <f t="shared" si="156"/>
        <v>0.0668807908863028</v>
      </c>
      <c r="X193" s="13">
        <f t="shared" si="157"/>
        <v>0.0227925518826361</v>
      </c>
      <c r="Y193" s="13">
        <f t="shared" si="158"/>
        <v>0.0229091323162682</v>
      </c>
      <c r="Z193" s="13">
        <f t="shared" si="159"/>
        <v>0.0428043010127009</v>
      </c>
      <c r="AA193" s="13">
        <f t="shared" si="160"/>
        <v>0.0226351358629924</v>
      </c>
      <c r="AB193" s="13">
        <f t="shared" si="161"/>
        <v>0.0226115246275784</v>
      </c>
      <c r="AC193" s="13">
        <f t="shared" si="162"/>
        <v>0.0147795720010894</v>
      </c>
      <c r="AD193" s="13">
        <f t="shared" si="163"/>
        <v>0.00818210072808518</v>
      </c>
      <c r="AE193" s="13">
        <f t="shared" si="164"/>
        <v>0.0313149244949697</v>
      </c>
      <c r="AF193" s="13">
        <f t="shared" si="165"/>
        <v>0.0111768154551244</v>
      </c>
      <c r="AG193" s="13">
        <f t="shared" si="166"/>
        <v>0.0146998854481097</v>
      </c>
      <c r="AH193" s="13">
        <f t="shared" si="167"/>
        <v>0.0172757793607319</v>
      </c>
      <c r="AI193" s="13">
        <f t="shared" si="168"/>
        <v>0.00767986924161517</v>
      </c>
    </row>
    <row r="194" spans="4:35">
      <c r="D194" s="13" t="s">
        <v>18</v>
      </c>
      <c r="E194" s="13">
        <f t="shared" si="138"/>
        <v>0.0482460541266093</v>
      </c>
      <c r="F194" s="13">
        <f t="shared" si="139"/>
        <v>0.0428342066872088</v>
      </c>
      <c r="G194" s="13">
        <f t="shared" si="140"/>
        <v>0.0189349874863475</v>
      </c>
      <c r="H194" s="13">
        <f t="shared" si="141"/>
        <v>0.0175096581084266</v>
      </c>
      <c r="I194" s="13">
        <f t="shared" si="142"/>
        <v>0.0243850203693589</v>
      </c>
      <c r="J194" s="13">
        <f t="shared" si="143"/>
        <v>0.01922309187869</v>
      </c>
      <c r="K194" s="13">
        <f t="shared" si="144"/>
        <v>0.0138171553896904</v>
      </c>
      <c r="L194" s="13">
        <f t="shared" si="145"/>
        <v>0.010773462665985</v>
      </c>
      <c r="M194" s="13">
        <f t="shared" si="146"/>
        <v>0.0774891048934096</v>
      </c>
      <c r="N194" s="13">
        <f t="shared" si="147"/>
        <v>0.0582293899773087</v>
      </c>
      <c r="O194" s="13">
        <f t="shared" si="148"/>
        <v>0.0579491883613265</v>
      </c>
      <c r="P194" s="13">
        <f t="shared" si="149"/>
        <v>0.0270298538005929</v>
      </c>
      <c r="Q194" s="13">
        <f t="shared" si="150"/>
        <v>0.0753074809117696</v>
      </c>
      <c r="R194" s="13">
        <f t="shared" si="151"/>
        <v>0.0426623393222016</v>
      </c>
      <c r="S194" s="13">
        <f t="shared" si="152"/>
        <v>0.0306043286700724</v>
      </c>
      <c r="T194" s="13">
        <f t="shared" si="153"/>
        <v>0.0234253804679573</v>
      </c>
      <c r="U194" s="13">
        <f t="shared" si="154"/>
        <v>0.0454493399448447</v>
      </c>
      <c r="V194" s="13">
        <f t="shared" si="155"/>
        <v>0.055008707778233</v>
      </c>
      <c r="W194" s="13">
        <f t="shared" si="156"/>
        <v>0</v>
      </c>
      <c r="X194" s="13">
        <f t="shared" si="157"/>
        <v>0.0481721315927929</v>
      </c>
      <c r="Y194" s="13">
        <f t="shared" si="158"/>
        <v>0.0660243079280011</v>
      </c>
      <c r="Z194" s="13">
        <f t="shared" si="159"/>
        <v>0.0377409343519833</v>
      </c>
      <c r="AA194" s="13">
        <f t="shared" si="160"/>
        <v>0.0227684141963321</v>
      </c>
      <c r="AB194" s="13">
        <f t="shared" si="161"/>
        <v>0.0265389950993643</v>
      </c>
      <c r="AC194" s="13">
        <f t="shared" si="162"/>
        <v>0.0200410083114601</v>
      </c>
      <c r="AD194" s="13">
        <f t="shared" si="163"/>
        <v>0.010499346843746</v>
      </c>
      <c r="AE194" s="13">
        <f t="shared" si="164"/>
        <v>0.0260583439742139</v>
      </c>
      <c r="AF194" s="13">
        <f t="shared" si="165"/>
        <v>0.0112790827129171</v>
      </c>
      <c r="AG194" s="13">
        <f t="shared" si="166"/>
        <v>0.0155186443592</v>
      </c>
      <c r="AH194" s="13">
        <f t="shared" si="167"/>
        <v>0.0171338852131373</v>
      </c>
      <c r="AI194" s="13">
        <f t="shared" si="168"/>
        <v>0.00934615457681895</v>
      </c>
    </row>
    <row r="195" spans="4:35">
      <c r="D195" s="13" t="s">
        <v>19</v>
      </c>
      <c r="E195" s="13">
        <f t="shared" si="138"/>
        <v>0.0447771778579048</v>
      </c>
      <c r="F195" s="13">
        <f t="shared" si="139"/>
        <v>0.0392287335469187</v>
      </c>
      <c r="G195" s="13">
        <f t="shared" si="140"/>
        <v>0.0176905206707032</v>
      </c>
      <c r="H195" s="13">
        <f t="shared" si="141"/>
        <v>0.0167621747955664</v>
      </c>
      <c r="I195" s="13">
        <f t="shared" si="142"/>
        <v>0.0239359971693881</v>
      </c>
      <c r="J195" s="13">
        <f t="shared" si="143"/>
        <v>0.0174612464518883</v>
      </c>
      <c r="K195" s="13">
        <f t="shared" si="144"/>
        <v>0.0127035406307027</v>
      </c>
      <c r="L195" s="13">
        <f t="shared" si="145"/>
        <v>0.0100120054361215</v>
      </c>
      <c r="M195" s="13">
        <f t="shared" si="146"/>
        <v>0.0591416187302273</v>
      </c>
      <c r="N195" s="13">
        <f t="shared" si="147"/>
        <v>0.045663058694116</v>
      </c>
      <c r="O195" s="13">
        <f t="shared" si="148"/>
        <v>0.0425288963824858</v>
      </c>
      <c r="P195" s="13">
        <f t="shared" si="149"/>
        <v>0.0210215598860271</v>
      </c>
      <c r="Q195" s="13">
        <f t="shared" si="150"/>
        <v>0.0452612346536603</v>
      </c>
      <c r="R195" s="13">
        <f t="shared" si="151"/>
        <v>0.0281965722869067</v>
      </c>
      <c r="S195" s="13">
        <f t="shared" si="152"/>
        <v>0.0270900931998586</v>
      </c>
      <c r="T195" s="13">
        <f t="shared" si="153"/>
        <v>0.0212849573956121</v>
      </c>
      <c r="U195" s="13">
        <f t="shared" si="154"/>
        <v>0.0358206489803943</v>
      </c>
      <c r="V195" s="13">
        <f t="shared" si="155"/>
        <v>0.0413180300241636</v>
      </c>
      <c r="W195" s="13">
        <f t="shared" si="156"/>
        <v>0.106172605716384</v>
      </c>
      <c r="X195" s="13">
        <f t="shared" si="157"/>
        <v>0</v>
      </c>
      <c r="Y195" s="13">
        <f t="shared" si="158"/>
        <v>0.0896725649978181</v>
      </c>
      <c r="Z195" s="13">
        <f t="shared" si="159"/>
        <v>0.0467558803086153</v>
      </c>
      <c r="AA195" s="13">
        <f t="shared" si="160"/>
        <v>0.0291161523152341</v>
      </c>
      <c r="AB195" s="13">
        <f t="shared" si="161"/>
        <v>0.0448560341578093</v>
      </c>
      <c r="AC195" s="13">
        <f t="shared" si="162"/>
        <v>0.0348827645009254</v>
      </c>
      <c r="AD195" s="13">
        <f t="shared" si="163"/>
        <v>0.0132240650174786</v>
      </c>
      <c r="AE195" s="13">
        <f t="shared" si="164"/>
        <v>0.0268829044198721</v>
      </c>
      <c r="AF195" s="13">
        <f t="shared" si="165"/>
        <v>0.0125662840399768</v>
      </c>
      <c r="AG195" s="13">
        <f t="shared" si="166"/>
        <v>0.0175872661473687</v>
      </c>
      <c r="AH195" s="13">
        <f t="shared" si="167"/>
        <v>0.0180136789787347</v>
      </c>
      <c r="AI195" s="13">
        <f t="shared" si="168"/>
        <v>0.0103717326071377</v>
      </c>
    </row>
    <row r="196" spans="4:35">
      <c r="D196" s="13" t="s">
        <v>20</v>
      </c>
      <c r="E196" s="13">
        <f t="shared" si="138"/>
        <v>0.0458361476101787</v>
      </c>
      <c r="F196" s="13">
        <f t="shared" si="139"/>
        <v>0.0403464061503968</v>
      </c>
      <c r="G196" s="13">
        <f t="shared" si="140"/>
        <v>0.0177867972215224</v>
      </c>
      <c r="H196" s="13">
        <f t="shared" si="141"/>
        <v>0.0165619422852199</v>
      </c>
      <c r="I196" s="13">
        <f t="shared" si="142"/>
        <v>0.0239246694317705</v>
      </c>
      <c r="J196" s="13">
        <f t="shared" si="143"/>
        <v>0.0185585972695933</v>
      </c>
      <c r="K196" s="13">
        <f t="shared" si="144"/>
        <v>0.0135742264341038</v>
      </c>
      <c r="L196" s="13">
        <f t="shared" si="145"/>
        <v>0.0107199635613439</v>
      </c>
      <c r="M196" s="13">
        <f t="shared" si="146"/>
        <v>0.064706645124089</v>
      </c>
      <c r="N196" s="13">
        <f t="shared" si="147"/>
        <v>0.0480531699126157</v>
      </c>
      <c r="O196" s="13">
        <f t="shared" si="148"/>
        <v>0.0464752566806878</v>
      </c>
      <c r="P196" s="13">
        <f t="shared" si="149"/>
        <v>0.0217827388647146</v>
      </c>
      <c r="Q196" s="13">
        <f t="shared" si="150"/>
        <v>0.0529357334568901</v>
      </c>
      <c r="R196" s="13">
        <f t="shared" si="151"/>
        <v>0.0291070360761467</v>
      </c>
      <c r="S196" s="13">
        <f t="shared" si="152"/>
        <v>0.0277561408499663</v>
      </c>
      <c r="T196" s="13">
        <f t="shared" si="153"/>
        <v>0.020857807900859</v>
      </c>
      <c r="U196" s="13">
        <f t="shared" si="154"/>
        <v>0.0350614950326239</v>
      </c>
      <c r="V196" s="13">
        <f t="shared" si="155"/>
        <v>0.0382301018515481</v>
      </c>
      <c r="W196" s="13">
        <f t="shared" si="156"/>
        <v>0.133958608989018</v>
      </c>
      <c r="X196" s="13">
        <f t="shared" si="157"/>
        <v>0.0825486076006338</v>
      </c>
      <c r="Y196" s="13">
        <f t="shared" si="158"/>
        <v>0</v>
      </c>
      <c r="Z196" s="13">
        <f t="shared" si="159"/>
        <v>0.0377110752692055</v>
      </c>
      <c r="AA196" s="13">
        <f t="shared" si="160"/>
        <v>0.0243247823308235</v>
      </c>
      <c r="AB196" s="13">
        <f t="shared" si="161"/>
        <v>0.0292954957462602</v>
      </c>
      <c r="AC196" s="13">
        <f t="shared" si="162"/>
        <v>0.0262743166449792</v>
      </c>
      <c r="AD196" s="13">
        <f t="shared" si="163"/>
        <v>0.0127176040424775</v>
      </c>
      <c r="AE196" s="13">
        <f t="shared" si="164"/>
        <v>0.0248617654733625</v>
      </c>
      <c r="AF196" s="13">
        <f t="shared" si="165"/>
        <v>0.0117276077182961</v>
      </c>
      <c r="AG196" s="13">
        <f t="shared" si="166"/>
        <v>0.0165099074608893</v>
      </c>
      <c r="AH196" s="13">
        <f t="shared" si="167"/>
        <v>0.0173210860596528</v>
      </c>
      <c r="AI196" s="13">
        <f t="shared" si="168"/>
        <v>0.0104742669501312</v>
      </c>
    </row>
    <row r="197" spans="4:35">
      <c r="D197" s="13" t="s">
        <v>21</v>
      </c>
      <c r="E197" s="13">
        <f t="shared" si="138"/>
        <v>0.0531026955206977</v>
      </c>
      <c r="F197" s="13">
        <f t="shared" si="139"/>
        <v>0.0457467999083922</v>
      </c>
      <c r="G197" s="13">
        <f t="shared" si="140"/>
        <v>0.0224959190418747</v>
      </c>
      <c r="H197" s="13">
        <f t="shared" si="141"/>
        <v>0.0229471876488778</v>
      </c>
      <c r="I197" s="13">
        <f t="shared" si="142"/>
        <v>0.0309060575864341</v>
      </c>
      <c r="J197" s="13">
        <f t="shared" si="143"/>
        <v>0.0181945833710401</v>
      </c>
      <c r="K197" s="13">
        <f t="shared" si="144"/>
        <v>0.0129762352362629</v>
      </c>
      <c r="L197" s="13">
        <f t="shared" si="145"/>
        <v>0.0101281049786909</v>
      </c>
      <c r="M197" s="13">
        <f t="shared" si="146"/>
        <v>0.0551483711145802</v>
      </c>
      <c r="N197" s="13">
        <f t="shared" si="147"/>
        <v>0.047104527913925</v>
      </c>
      <c r="O197" s="13">
        <f t="shared" si="148"/>
        <v>0.0390423987155665</v>
      </c>
      <c r="P197" s="13">
        <f t="shared" si="149"/>
        <v>0.0222930236786405</v>
      </c>
      <c r="Q197" s="13">
        <f t="shared" si="150"/>
        <v>0.0337603512150197</v>
      </c>
      <c r="R197" s="13">
        <f t="shared" si="151"/>
        <v>0.0258834848408544</v>
      </c>
      <c r="S197" s="13">
        <f t="shared" si="152"/>
        <v>0.0318730813479158</v>
      </c>
      <c r="T197" s="13">
        <f t="shared" si="153"/>
        <v>0.0295891887947435</v>
      </c>
      <c r="U197" s="13">
        <f t="shared" si="154"/>
        <v>0.0421264620308934</v>
      </c>
      <c r="V197" s="13">
        <f t="shared" si="155"/>
        <v>0.0426323545801059</v>
      </c>
      <c r="W197" s="13">
        <f t="shared" si="156"/>
        <v>0.0457019272670087</v>
      </c>
      <c r="X197" s="13">
        <f t="shared" si="157"/>
        <v>0.0256886625145639</v>
      </c>
      <c r="Y197" s="13">
        <f t="shared" si="158"/>
        <v>0.0225073316898286</v>
      </c>
      <c r="Z197" s="13">
        <f t="shared" si="159"/>
        <v>0</v>
      </c>
      <c r="AA197" s="13">
        <f t="shared" si="160"/>
        <v>0.0905714118359013</v>
      </c>
      <c r="AB197" s="13">
        <f t="shared" si="161"/>
        <v>0.0476901531780391</v>
      </c>
      <c r="AC197" s="13">
        <f t="shared" si="162"/>
        <v>0.0288232256012529</v>
      </c>
      <c r="AD197" s="13">
        <f t="shared" si="163"/>
        <v>0.0136280066678013</v>
      </c>
      <c r="AE197" s="13">
        <f t="shared" si="164"/>
        <v>0.0528237324659283</v>
      </c>
      <c r="AF197" s="13">
        <f t="shared" si="165"/>
        <v>0.0210943026859928</v>
      </c>
      <c r="AG197" s="13">
        <f t="shared" si="166"/>
        <v>0.0272194563060955</v>
      </c>
      <c r="AH197" s="13">
        <f t="shared" si="167"/>
        <v>0.0270871905790562</v>
      </c>
      <c r="AI197" s="13">
        <f t="shared" si="168"/>
        <v>0.0112137716840162</v>
      </c>
    </row>
    <row r="198" spans="4:35">
      <c r="D198" s="13" t="s">
        <v>22</v>
      </c>
      <c r="E198" s="13">
        <f t="shared" si="138"/>
        <v>0.0533931822841816</v>
      </c>
      <c r="F198" s="13">
        <f t="shared" si="139"/>
        <v>0.0455492785762377</v>
      </c>
      <c r="G198" s="13">
        <f t="shared" si="140"/>
        <v>0.0223425784516092</v>
      </c>
      <c r="H198" s="13">
        <f t="shared" si="141"/>
        <v>0.022975535227522</v>
      </c>
      <c r="I198" s="13">
        <f t="shared" si="142"/>
        <v>0.032605127952708</v>
      </c>
      <c r="J198" s="13">
        <f t="shared" si="143"/>
        <v>0.0183695466367133</v>
      </c>
      <c r="K198" s="13">
        <f t="shared" si="144"/>
        <v>0.0132462632862742</v>
      </c>
      <c r="L198" s="13">
        <f t="shared" si="145"/>
        <v>0.0104248275347072</v>
      </c>
      <c r="M198" s="13">
        <f t="shared" si="146"/>
        <v>0.0508405495732979</v>
      </c>
      <c r="N198" s="13">
        <f t="shared" si="147"/>
        <v>0.0425233816601688</v>
      </c>
      <c r="O198" s="13">
        <f t="shared" si="148"/>
        <v>0.0353573151380736</v>
      </c>
      <c r="P198" s="13">
        <f t="shared" si="149"/>
        <v>0.0196669773382152</v>
      </c>
      <c r="Q198" s="13">
        <f t="shared" si="150"/>
        <v>0.0301099052382546</v>
      </c>
      <c r="R198" s="13">
        <f t="shared" si="151"/>
        <v>0.0215280015302483</v>
      </c>
      <c r="S198" s="13">
        <f t="shared" si="152"/>
        <v>0.0305302974388784</v>
      </c>
      <c r="T198" s="13">
        <f t="shared" si="153"/>
        <v>0.026962036019241</v>
      </c>
      <c r="U198" s="13">
        <f t="shared" si="154"/>
        <v>0.0342181613706286</v>
      </c>
      <c r="V198" s="13">
        <f t="shared" si="155"/>
        <v>0.0320708182185976</v>
      </c>
      <c r="W198" s="13">
        <f t="shared" si="156"/>
        <v>0.0392219945586963</v>
      </c>
      <c r="X198" s="13">
        <f t="shared" si="157"/>
        <v>0.0227569608494782</v>
      </c>
      <c r="Y198" s="13">
        <f t="shared" si="158"/>
        <v>0.0206528068194836</v>
      </c>
      <c r="Z198" s="13">
        <f t="shared" si="159"/>
        <v>0.128844582421886</v>
      </c>
      <c r="AA198" s="13">
        <f t="shared" si="160"/>
        <v>0</v>
      </c>
      <c r="AB198" s="13">
        <f t="shared" si="161"/>
        <v>0.0361774991632213</v>
      </c>
      <c r="AC198" s="13">
        <f t="shared" si="162"/>
        <v>0.0323583669596124</v>
      </c>
      <c r="AD198" s="13">
        <f t="shared" si="163"/>
        <v>0.0173486810961545</v>
      </c>
      <c r="AE198" s="13">
        <f t="shared" si="164"/>
        <v>0.0513261413893695</v>
      </c>
      <c r="AF198" s="13">
        <f t="shared" si="165"/>
        <v>0.0275797757852278</v>
      </c>
      <c r="AG198" s="13">
        <f t="shared" si="166"/>
        <v>0.0366049538960796</v>
      </c>
      <c r="AH198" s="13">
        <f t="shared" si="167"/>
        <v>0.0311346119924162</v>
      </c>
      <c r="AI198" s="13">
        <f t="shared" si="168"/>
        <v>0.0132798415928172</v>
      </c>
    </row>
    <row r="199" spans="4:35">
      <c r="D199" s="13" t="s">
        <v>23</v>
      </c>
      <c r="E199" s="13">
        <f t="shared" si="138"/>
        <v>0.0468908021270048</v>
      </c>
      <c r="F199" s="13">
        <f t="shared" si="139"/>
        <v>0.0407256406890325</v>
      </c>
      <c r="G199" s="13">
        <f t="shared" si="140"/>
        <v>0.0191167988764662</v>
      </c>
      <c r="H199" s="13">
        <f t="shared" si="141"/>
        <v>0.0187276380590836</v>
      </c>
      <c r="I199" s="13">
        <f t="shared" si="142"/>
        <v>0.0261826913482393</v>
      </c>
      <c r="J199" s="13">
        <f t="shared" si="143"/>
        <v>0.0171826392351683</v>
      </c>
      <c r="K199" s="13">
        <f t="shared" si="144"/>
        <v>0.0123947054671391</v>
      </c>
      <c r="L199" s="13">
        <f t="shared" si="145"/>
        <v>0.0097334665142515</v>
      </c>
      <c r="M199" s="13">
        <f t="shared" si="146"/>
        <v>0.0547938313164423</v>
      </c>
      <c r="N199" s="13">
        <f t="shared" si="147"/>
        <v>0.0446670368787458</v>
      </c>
      <c r="O199" s="13">
        <f t="shared" si="148"/>
        <v>0.0391419049915593</v>
      </c>
      <c r="P199" s="13">
        <f t="shared" si="149"/>
        <v>0.0209123216279371</v>
      </c>
      <c r="Q199" s="13">
        <f t="shared" si="150"/>
        <v>0.0371858453514431</v>
      </c>
      <c r="R199" s="13">
        <f t="shared" si="151"/>
        <v>0.0265457125764332</v>
      </c>
      <c r="S199" s="13">
        <f t="shared" si="152"/>
        <v>0.0281972881403908</v>
      </c>
      <c r="T199" s="13">
        <f t="shared" si="153"/>
        <v>0.023918003472322</v>
      </c>
      <c r="U199" s="13">
        <f t="shared" si="154"/>
        <v>0.0381528369333234</v>
      </c>
      <c r="V199" s="13">
        <f t="shared" si="155"/>
        <v>0.0437636440483603</v>
      </c>
      <c r="W199" s="13">
        <f t="shared" si="156"/>
        <v>0.0624508080319027</v>
      </c>
      <c r="X199" s="13">
        <f t="shared" si="157"/>
        <v>0.0478914349152407</v>
      </c>
      <c r="Y199" s="13">
        <f t="shared" si="158"/>
        <v>0.0339772063478609</v>
      </c>
      <c r="Z199" s="13">
        <f t="shared" si="159"/>
        <v>0.0926745397856242</v>
      </c>
      <c r="AA199" s="13">
        <f t="shared" si="160"/>
        <v>0.0494191462185974</v>
      </c>
      <c r="AB199" s="13">
        <f t="shared" si="161"/>
        <v>0</v>
      </c>
      <c r="AC199" s="13">
        <f t="shared" si="162"/>
        <v>0.0472218110061365</v>
      </c>
      <c r="AD199" s="13">
        <f t="shared" si="163"/>
        <v>0.0141975143328663</v>
      </c>
      <c r="AE199" s="13">
        <f t="shared" si="164"/>
        <v>0.0346093859987793</v>
      </c>
      <c r="AF199" s="13">
        <f t="shared" si="165"/>
        <v>0.0157333769482129</v>
      </c>
      <c r="AG199" s="13">
        <f t="shared" si="166"/>
        <v>0.0215557951914339</v>
      </c>
      <c r="AH199" s="13">
        <f t="shared" si="167"/>
        <v>0.0212356600316957</v>
      </c>
      <c r="AI199" s="13">
        <f t="shared" si="168"/>
        <v>0.0108005135383069</v>
      </c>
    </row>
    <row r="200" spans="4:35">
      <c r="D200" s="13" t="s">
        <v>24</v>
      </c>
      <c r="E200" s="13">
        <f t="shared" si="138"/>
        <v>0.0507928940094079</v>
      </c>
      <c r="F200" s="13">
        <f t="shared" si="139"/>
        <v>0.0438318148679188</v>
      </c>
      <c r="G200" s="13">
        <f t="shared" si="140"/>
        <v>0.0202364603040916</v>
      </c>
      <c r="H200" s="13">
        <f t="shared" si="141"/>
        <v>0.0197178543402611</v>
      </c>
      <c r="I200" s="13">
        <f t="shared" si="142"/>
        <v>0.0290873615129698</v>
      </c>
      <c r="J200" s="13">
        <f t="shared" si="143"/>
        <v>0.0191611837251762</v>
      </c>
      <c r="K200" s="13">
        <f t="shared" si="144"/>
        <v>0.0140608119455288</v>
      </c>
      <c r="L200" s="13">
        <f t="shared" si="145"/>
        <v>0.0111783454263907</v>
      </c>
      <c r="M200" s="13">
        <f t="shared" si="146"/>
        <v>0.0556365926084837</v>
      </c>
      <c r="N200" s="13">
        <f t="shared" si="147"/>
        <v>0.0439715369610174</v>
      </c>
      <c r="O200" s="13">
        <f t="shared" si="148"/>
        <v>0.0388936691065401</v>
      </c>
      <c r="P200" s="13">
        <f t="shared" si="149"/>
        <v>0.0200431071331871</v>
      </c>
      <c r="Q200" s="13">
        <f t="shared" si="150"/>
        <v>0.0364106512635625</v>
      </c>
      <c r="R200" s="13">
        <f t="shared" si="151"/>
        <v>0.0235786886949532</v>
      </c>
      <c r="S200" s="13">
        <f t="shared" si="152"/>
        <v>0.0292016900320814</v>
      </c>
      <c r="T200" s="13">
        <f t="shared" si="153"/>
        <v>0.0233642383996592</v>
      </c>
      <c r="U200" s="13">
        <f t="shared" si="154"/>
        <v>0.0334675531411782</v>
      </c>
      <c r="V200" s="13">
        <f t="shared" si="155"/>
        <v>0.0340393758245378</v>
      </c>
      <c r="W200" s="13">
        <f t="shared" si="156"/>
        <v>0.0561189136823559</v>
      </c>
      <c r="X200" s="13">
        <f t="shared" si="157"/>
        <v>0.0443183896431676</v>
      </c>
      <c r="Y200" s="13">
        <f t="shared" si="158"/>
        <v>0.0362622164045402</v>
      </c>
      <c r="Z200" s="13">
        <f t="shared" si="159"/>
        <v>0.0666515727045529</v>
      </c>
      <c r="AA200" s="13">
        <f t="shared" si="160"/>
        <v>0.0525992306036316</v>
      </c>
      <c r="AB200" s="13">
        <f t="shared" si="161"/>
        <v>0.056192549714805</v>
      </c>
      <c r="AC200" s="13">
        <f t="shared" si="162"/>
        <v>0</v>
      </c>
      <c r="AD200" s="13">
        <f t="shared" si="163"/>
        <v>0.0232623548397534</v>
      </c>
      <c r="AE200" s="13">
        <f t="shared" si="164"/>
        <v>0.0340713803326317</v>
      </c>
      <c r="AF200" s="13">
        <f t="shared" si="165"/>
        <v>0.0184660264148289</v>
      </c>
      <c r="AG200" s="13">
        <f t="shared" si="166"/>
        <v>0.0267126909863507</v>
      </c>
      <c r="AH200" s="13">
        <f t="shared" si="167"/>
        <v>0.0241059635201735</v>
      </c>
      <c r="AI200" s="13">
        <f t="shared" si="168"/>
        <v>0.0145648818562629</v>
      </c>
    </row>
    <row r="201" spans="4:35">
      <c r="D201" s="13" t="s">
        <v>25</v>
      </c>
      <c r="E201" s="13">
        <f t="shared" si="138"/>
        <v>0.0635444187728882</v>
      </c>
      <c r="F201" s="13">
        <f t="shared" si="139"/>
        <v>0.0539653222515404</v>
      </c>
      <c r="G201" s="13">
        <f t="shared" si="140"/>
        <v>0.0244183616500069</v>
      </c>
      <c r="H201" s="13">
        <f t="shared" si="141"/>
        <v>0.0236628253158402</v>
      </c>
      <c r="I201" s="13">
        <f t="shared" si="142"/>
        <v>0.0387712128123743</v>
      </c>
      <c r="J201" s="13">
        <f t="shared" si="143"/>
        <v>0.0246684093210573</v>
      </c>
      <c r="K201" s="13">
        <f t="shared" si="144"/>
        <v>0.0186595326313578</v>
      </c>
      <c r="L201" s="13">
        <f t="shared" si="145"/>
        <v>0.015195085987163</v>
      </c>
      <c r="M201" s="13">
        <f t="shared" si="146"/>
        <v>0.058452888882331</v>
      </c>
      <c r="N201" s="13">
        <f t="shared" si="147"/>
        <v>0.0452411943857425</v>
      </c>
      <c r="O201" s="13">
        <f t="shared" si="148"/>
        <v>0.0394219522555833</v>
      </c>
      <c r="P201" s="13">
        <f t="shared" si="149"/>
        <v>0.0199535422664406</v>
      </c>
      <c r="Q201" s="13">
        <f t="shared" si="150"/>
        <v>0.0340783074536408</v>
      </c>
      <c r="R201" s="13">
        <f t="shared" si="151"/>
        <v>0.0207813605334844</v>
      </c>
      <c r="S201" s="13">
        <f t="shared" si="152"/>
        <v>0.0334850149583427</v>
      </c>
      <c r="T201" s="13">
        <f t="shared" si="153"/>
        <v>0.0247432937616685</v>
      </c>
      <c r="U201" s="13">
        <f t="shared" si="154"/>
        <v>0.0302113290160872</v>
      </c>
      <c r="V201" s="13">
        <f t="shared" si="155"/>
        <v>0.0267923423048795</v>
      </c>
      <c r="W201" s="13">
        <f t="shared" si="156"/>
        <v>0.04180017514173</v>
      </c>
      <c r="X201" s="13">
        <f t="shared" si="157"/>
        <v>0.0238871415167911</v>
      </c>
      <c r="Y201" s="13">
        <f t="shared" si="158"/>
        <v>0.0249548145230987</v>
      </c>
      <c r="Z201" s="13">
        <f t="shared" si="159"/>
        <v>0.0448049801272647</v>
      </c>
      <c r="AA201" s="13">
        <f t="shared" si="160"/>
        <v>0.0400945543653486</v>
      </c>
      <c r="AB201" s="13">
        <f t="shared" si="161"/>
        <v>0.0240200853794269</v>
      </c>
      <c r="AC201" s="13">
        <f t="shared" si="162"/>
        <v>0.0330734734054461</v>
      </c>
      <c r="AD201" s="13">
        <f t="shared" si="163"/>
        <v>0</v>
      </c>
      <c r="AE201" s="13">
        <f t="shared" si="164"/>
        <v>0.0357812450642784</v>
      </c>
      <c r="AF201" s="13">
        <f t="shared" si="165"/>
        <v>0.0255204594927796</v>
      </c>
      <c r="AG201" s="13">
        <f t="shared" si="166"/>
        <v>0.0421220655599474</v>
      </c>
      <c r="AH201" s="13">
        <f t="shared" si="167"/>
        <v>0.0331512828330598</v>
      </c>
      <c r="AI201" s="13">
        <f t="shared" si="168"/>
        <v>0.0347433280304002</v>
      </c>
    </row>
    <row r="202" spans="4:35">
      <c r="D202" s="13" t="s">
        <v>26</v>
      </c>
      <c r="E202" s="13">
        <f t="shared" si="138"/>
        <v>0.0740691949360928</v>
      </c>
      <c r="F202" s="13">
        <f t="shared" si="139"/>
        <v>0.0623899402587144</v>
      </c>
      <c r="G202" s="13">
        <f t="shared" si="140"/>
        <v>0.0353576743685188</v>
      </c>
      <c r="H202" s="13">
        <f t="shared" si="141"/>
        <v>0.0418887018272398</v>
      </c>
      <c r="I202" s="13">
        <f t="shared" si="142"/>
        <v>0.0477004661365578</v>
      </c>
      <c r="J202" s="13">
        <f t="shared" si="143"/>
        <v>0.0213664332842761</v>
      </c>
      <c r="K202" s="13">
        <f t="shared" si="144"/>
        <v>0.0148117496439242</v>
      </c>
      <c r="L202" s="13">
        <f t="shared" si="145"/>
        <v>0.0113721268398023</v>
      </c>
      <c r="M202" s="13">
        <f t="shared" si="146"/>
        <v>0.0566801687664432</v>
      </c>
      <c r="N202" s="13">
        <f t="shared" si="147"/>
        <v>0.0516831321954832</v>
      </c>
      <c r="O202" s="13">
        <f t="shared" si="148"/>
        <v>0.0388682507064368</v>
      </c>
      <c r="P202" s="13">
        <f t="shared" si="149"/>
        <v>0.0241774806270921</v>
      </c>
      <c r="Q202" s="13">
        <f t="shared" si="150"/>
        <v>0.0288355968008918</v>
      </c>
      <c r="R202" s="13">
        <f t="shared" si="151"/>
        <v>0.0221835676582745</v>
      </c>
      <c r="S202" s="13">
        <f t="shared" si="152"/>
        <v>0.0436302485630105</v>
      </c>
      <c r="T202" s="13">
        <f t="shared" si="153"/>
        <v>0.0500465392468425</v>
      </c>
      <c r="U202" s="13">
        <f t="shared" si="154"/>
        <v>0.0411053082501325</v>
      </c>
      <c r="V202" s="13">
        <f t="shared" si="155"/>
        <v>0.0300554087075941</v>
      </c>
      <c r="W202" s="13">
        <f t="shared" si="156"/>
        <v>0.0304080127647081</v>
      </c>
      <c r="X202" s="13">
        <f t="shared" si="157"/>
        <v>0.0142331426586001</v>
      </c>
      <c r="Y202" s="13">
        <f t="shared" si="158"/>
        <v>0.0142990248223373</v>
      </c>
      <c r="Z202" s="13">
        <f t="shared" si="159"/>
        <v>0.0509035937288772</v>
      </c>
      <c r="AA202" s="13">
        <f t="shared" si="160"/>
        <v>0.034768259514478</v>
      </c>
      <c r="AB202" s="13">
        <f t="shared" si="161"/>
        <v>0.0171625388469984</v>
      </c>
      <c r="AC202" s="13">
        <f t="shared" si="162"/>
        <v>0.0141984608203523</v>
      </c>
      <c r="AD202" s="13">
        <f t="shared" si="163"/>
        <v>0.0104877144951998</v>
      </c>
      <c r="AE202" s="13">
        <f t="shared" si="164"/>
        <v>0</v>
      </c>
      <c r="AF202" s="13">
        <f t="shared" si="165"/>
        <v>0.0287318407053975</v>
      </c>
      <c r="AG202" s="13">
        <f t="shared" si="166"/>
        <v>0.0313836311287047</v>
      </c>
      <c r="AH202" s="13">
        <f t="shared" si="167"/>
        <v>0.0462640359085179</v>
      </c>
      <c r="AI202" s="13">
        <f t="shared" si="168"/>
        <v>0.0109377557885012</v>
      </c>
    </row>
    <row r="203" spans="4:35">
      <c r="D203" s="13" t="s">
        <v>27</v>
      </c>
      <c r="E203" s="13">
        <f t="shared" si="138"/>
        <v>0.0636492777775637</v>
      </c>
      <c r="F203" s="13">
        <f t="shared" si="139"/>
        <v>0.0525369578130869</v>
      </c>
      <c r="G203" s="13">
        <f t="shared" si="140"/>
        <v>0.0270205630008881</v>
      </c>
      <c r="H203" s="13">
        <f t="shared" si="141"/>
        <v>0.0295637420675136</v>
      </c>
      <c r="I203" s="13">
        <f t="shared" si="142"/>
        <v>0.0470191651744388</v>
      </c>
      <c r="J203" s="13">
        <f t="shared" si="143"/>
        <v>0.020129843507316</v>
      </c>
      <c r="K203" s="13">
        <f t="shared" si="144"/>
        <v>0.0145388949412177</v>
      </c>
      <c r="L203" s="13">
        <f t="shared" si="145"/>
        <v>0.0114791660196229</v>
      </c>
      <c r="M203" s="13">
        <f t="shared" si="146"/>
        <v>0.0453894730896421</v>
      </c>
      <c r="N203" s="13">
        <f t="shared" si="147"/>
        <v>0.0381148263341426</v>
      </c>
      <c r="O203" s="13">
        <f t="shared" si="148"/>
        <v>0.0305069550414117</v>
      </c>
      <c r="P203" s="13">
        <f t="shared" si="149"/>
        <v>0.0170867508627634</v>
      </c>
      <c r="Q203" s="13">
        <f t="shared" si="150"/>
        <v>0.0237058033204765</v>
      </c>
      <c r="R203" s="13">
        <f t="shared" si="151"/>
        <v>0.0162278805177944</v>
      </c>
      <c r="S203" s="13">
        <f t="shared" si="152"/>
        <v>0.0325151936012201</v>
      </c>
      <c r="T203" s="13">
        <f t="shared" si="153"/>
        <v>0.0272873981929259</v>
      </c>
      <c r="U203" s="13">
        <f t="shared" si="154"/>
        <v>0.0265240322547851</v>
      </c>
      <c r="V203" s="13">
        <f t="shared" si="155"/>
        <v>0.0212604521232241</v>
      </c>
      <c r="W203" s="13">
        <f t="shared" si="156"/>
        <v>0.0260854392661788</v>
      </c>
      <c r="X203" s="13">
        <f t="shared" si="157"/>
        <v>0.0131860474111283</v>
      </c>
      <c r="Y203" s="13">
        <f t="shared" si="158"/>
        <v>0.0133680183168472</v>
      </c>
      <c r="Z203" s="13">
        <f t="shared" si="159"/>
        <v>0.0402872551827359</v>
      </c>
      <c r="AA203" s="13">
        <f t="shared" si="160"/>
        <v>0.0370269732556125</v>
      </c>
      <c r="AB203" s="13">
        <f t="shared" si="161"/>
        <v>0.0154629635833814</v>
      </c>
      <c r="AC203" s="13">
        <f t="shared" si="162"/>
        <v>0.0152513447401839</v>
      </c>
      <c r="AD203" s="13">
        <f t="shared" si="163"/>
        <v>0.0148250799386213</v>
      </c>
      <c r="AE203" s="13">
        <f t="shared" si="164"/>
        <v>0.056943819828242</v>
      </c>
      <c r="AF203" s="13">
        <f t="shared" si="165"/>
        <v>0</v>
      </c>
      <c r="AG203" s="13">
        <f t="shared" si="166"/>
        <v>0.130308920360909</v>
      </c>
      <c r="AH203" s="13">
        <f t="shared" si="167"/>
        <v>0.0766458882229699</v>
      </c>
      <c r="AI203" s="13">
        <f t="shared" si="168"/>
        <v>0.0160518742531569</v>
      </c>
    </row>
    <row r="204" spans="4:35">
      <c r="D204" s="13" t="s">
        <v>28</v>
      </c>
      <c r="E204" s="13">
        <f t="shared" si="138"/>
        <v>0.0664537985019731</v>
      </c>
      <c r="F204" s="13">
        <f t="shared" si="139"/>
        <v>0.0549480826816542</v>
      </c>
      <c r="G204" s="13">
        <f t="shared" si="140"/>
        <v>0.0272908478116328</v>
      </c>
      <c r="H204" s="13">
        <f t="shared" si="141"/>
        <v>0.0288429291692231</v>
      </c>
      <c r="I204" s="13">
        <f t="shared" si="142"/>
        <v>0.048208133356049</v>
      </c>
      <c r="J204" s="13">
        <f t="shared" si="143"/>
        <v>0.0219641535278649</v>
      </c>
      <c r="K204" s="13">
        <f t="shared" si="144"/>
        <v>0.0160750298992332</v>
      </c>
      <c r="L204" s="13">
        <f t="shared" si="145"/>
        <v>0.0128093693498475</v>
      </c>
      <c r="M204" s="13">
        <f t="shared" si="146"/>
        <v>0.0484313536172925</v>
      </c>
      <c r="N204" s="13">
        <f t="shared" si="147"/>
        <v>0.0399056527016456</v>
      </c>
      <c r="O204" s="13">
        <f t="shared" si="148"/>
        <v>0.0324602722396884</v>
      </c>
      <c r="P204" s="13">
        <f t="shared" si="149"/>
        <v>0.0177652013137852</v>
      </c>
      <c r="Q204" s="13">
        <f t="shared" si="150"/>
        <v>0.0255894523470537</v>
      </c>
      <c r="R204" s="13">
        <f t="shared" si="151"/>
        <v>0.0170651189594361</v>
      </c>
      <c r="S204" s="13">
        <f t="shared" si="152"/>
        <v>0.0334953337824223</v>
      </c>
      <c r="T204" s="13">
        <f t="shared" si="153"/>
        <v>0.0268042246866817</v>
      </c>
      <c r="U204" s="13">
        <f t="shared" si="154"/>
        <v>0.0272031127669428</v>
      </c>
      <c r="V204" s="13">
        <f t="shared" si="155"/>
        <v>0.0221796428053137</v>
      </c>
      <c r="W204" s="13">
        <f t="shared" si="156"/>
        <v>0.0284684836200945</v>
      </c>
      <c r="X204" s="13">
        <f t="shared" si="157"/>
        <v>0.014638355103456</v>
      </c>
      <c r="Y204" s="13">
        <f t="shared" si="158"/>
        <v>0.0149275461268254</v>
      </c>
      <c r="Z204" s="13">
        <f t="shared" si="159"/>
        <v>0.0412352026830771</v>
      </c>
      <c r="AA204" s="13">
        <f t="shared" si="160"/>
        <v>0.0389810494397785</v>
      </c>
      <c r="AB204" s="13">
        <f t="shared" si="161"/>
        <v>0.016804322795191</v>
      </c>
      <c r="AC204" s="13">
        <f t="shared" si="162"/>
        <v>0.0175000184770334</v>
      </c>
      <c r="AD204" s="13">
        <f t="shared" si="163"/>
        <v>0.0194090552153492</v>
      </c>
      <c r="AE204" s="13">
        <f t="shared" si="164"/>
        <v>0.0493369750747724</v>
      </c>
      <c r="AF204" s="13">
        <f t="shared" si="165"/>
        <v>0.103361862907769</v>
      </c>
      <c r="AG204" s="13">
        <f t="shared" si="166"/>
        <v>0</v>
      </c>
      <c r="AH204" s="13">
        <f t="shared" si="167"/>
        <v>0.066648708345036</v>
      </c>
      <c r="AI204" s="13">
        <f t="shared" si="168"/>
        <v>0.0211967106938781</v>
      </c>
    </row>
    <row r="205" spans="4:35">
      <c r="D205" s="13" t="s">
        <v>29</v>
      </c>
      <c r="E205" s="13">
        <f t="shared" si="138"/>
        <v>0.0864530906980091</v>
      </c>
      <c r="F205" s="13">
        <f t="shared" si="139"/>
        <v>0.0693640016613973</v>
      </c>
      <c r="G205" s="13">
        <f t="shared" si="140"/>
        <v>0.0377771347564143</v>
      </c>
      <c r="H205" s="13">
        <f t="shared" si="141"/>
        <v>0.0439509389982929</v>
      </c>
      <c r="I205" s="13">
        <f t="shared" si="142"/>
        <v>0.0786512309400702</v>
      </c>
      <c r="J205" s="13">
        <f t="shared" si="143"/>
        <v>0.0246503799937121</v>
      </c>
      <c r="K205" s="13">
        <f t="shared" si="144"/>
        <v>0.0175583185671014</v>
      </c>
      <c r="L205" s="13">
        <f t="shared" si="145"/>
        <v>0.0137367128856584</v>
      </c>
      <c r="M205" s="13">
        <f t="shared" si="146"/>
        <v>0.0500750359303427</v>
      </c>
      <c r="N205" s="13">
        <f t="shared" si="147"/>
        <v>0.042514590913454</v>
      </c>
      <c r="O205" s="13">
        <f t="shared" si="148"/>
        <v>0.0331150079669077</v>
      </c>
      <c r="P205" s="13">
        <f t="shared" si="149"/>
        <v>0.0187763500046956</v>
      </c>
      <c r="Q205" s="13">
        <f t="shared" si="150"/>
        <v>0.0244344021941157</v>
      </c>
      <c r="R205" s="13">
        <f t="shared" si="151"/>
        <v>0.0166109136407779</v>
      </c>
      <c r="S205" s="13">
        <f t="shared" si="152"/>
        <v>0.0406893035815512</v>
      </c>
      <c r="T205" s="13">
        <f t="shared" si="153"/>
        <v>0.0326873856428477</v>
      </c>
      <c r="U205" s="13">
        <f t="shared" si="154"/>
        <v>0.0275649104972909</v>
      </c>
      <c r="V205" s="13">
        <f t="shared" si="155"/>
        <v>0.0207085774983758</v>
      </c>
      <c r="W205" s="13">
        <f t="shared" si="156"/>
        <v>0.0249711434235845</v>
      </c>
      <c r="X205" s="13">
        <f t="shared" si="157"/>
        <v>0.0119115528756904</v>
      </c>
      <c r="Y205" s="13">
        <f t="shared" si="158"/>
        <v>0.0124420208234867</v>
      </c>
      <c r="Z205" s="13">
        <f t="shared" si="159"/>
        <v>0.0326005308780586</v>
      </c>
      <c r="AA205" s="13">
        <f t="shared" si="160"/>
        <v>0.0263408109921201</v>
      </c>
      <c r="AB205" s="13">
        <f t="shared" si="161"/>
        <v>0.013152089399903</v>
      </c>
      <c r="AC205" s="13">
        <f t="shared" si="162"/>
        <v>0.0125463495622458</v>
      </c>
      <c r="AD205" s="13">
        <f t="shared" si="163"/>
        <v>0.0121357632653761</v>
      </c>
      <c r="AE205" s="13">
        <f t="shared" si="164"/>
        <v>0.0577809750178886</v>
      </c>
      <c r="AF205" s="13">
        <f t="shared" si="165"/>
        <v>0.0482999926351044</v>
      </c>
      <c r="AG205" s="13">
        <f t="shared" si="166"/>
        <v>0.0529497310759093</v>
      </c>
      <c r="AH205" s="13">
        <f t="shared" si="167"/>
        <v>0</v>
      </c>
      <c r="AI205" s="13">
        <f t="shared" si="168"/>
        <v>0.0155507536796176</v>
      </c>
    </row>
    <row r="206" spans="4:35">
      <c r="D206" s="13" t="s">
        <v>30</v>
      </c>
      <c r="E206" s="13">
        <f t="shared" si="138"/>
        <v>0.077927256813889</v>
      </c>
      <c r="F206" s="13">
        <f t="shared" si="139"/>
        <v>0.0651471238678941</v>
      </c>
      <c r="G206" s="13">
        <f t="shared" si="140"/>
        <v>0.02855818122436</v>
      </c>
      <c r="H206" s="13">
        <f t="shared" si="141"/>
        <v>0.0271073279240327</v>
      </c>
      <c r="I206" s="13">
        <f t="shared" si="142"/>
        <v>0.0499152741284432</v>
      </c>
      <c r="J206" s="13">
        <f t="shared" si="143"/>
        <v>0.0312927696582265</v>
      </c>
      <c r="K206" s="13">
        <f t="shared" si="144"/>
        <v>0.0244650207275199</v>
      </c>
      <c r="L206" s="13">
        <f t="shared" si="145"/>
        <v>0.0204762291441539</v>
      </c>
      <c r="M206" s="13">
        <f t="shared" si="146"/>
        <v>0.0604720152754029</v>
      </c>
      <c r="N206" s="13">
        <f t="shared" si="147"/>
        <v>0.0463386317868961</v>
      </c>
      <c r="O206" s="13">
        <f t="shared" si="148"/>
        <v>0.0396791229055465</v>
      </c>
      <c r="P206" s="13">
        <f t="shared" si="149"/>
        <v>0.0199495852652251</v>
      </c>
      <c r="Q206" s="13">
        <f t="shared" si="150"/>
        <v>0.0320067776249782</v>
      </c>
      <c r="R206" s="13">
        <f t="shared" si="151"/>
        <v>0.0191284763895166</v>
      </c>
      <c r="S206" s="13">
        <f t="shared" si="152"/>
        <v>0.0376178235403223</v>
      </c>
      <c r="T206" s="13">
        <f t="shared" si="153"/>
        <v>0.0256216272239469</v>
      </c>
      <c r="U206" s="13">
        <f t="shared" si="154"/>
        <v>0.0282582018242962</v>
      </c>
      <c r="V206" s="13">
        <f t="shared" si="155"/>
        <v>0.0232241032820926</v>
      </c>
      <c r="W206" s="13">
        <f t="shared" si="156"/>
        <v>0.0343627605019705</v>
      </c>
      <c r="X206" s="13">
        <f t="shared" si="157"/>
        <v>0.0173017401573289</v>
      </c>
      <c r="Y206" s="13">
        <f t="shared" si="158"/>
        <v>0.0189806880813229</v>
      </c>
      <c r="Z206" s="13">
        <f t="shared" si="159"/>
        <v>0.0340474764449709</v>
      </c>
      <c r="AA206" s="13">
        <f t="shared" si="160"/>
        <v>0.0283433440485293</v>
      </c>
      <c r="AB206" s="13">
        <f t="shared" si="161"/>
        <v>0.0168750824557945</v>
      </c>
      <c r="AC206" s="13">
        <f t="shared" si="162"/>
        <v>0.0191237194719271</v>
      </c>
      <c r="AD206" s="13">
        <f t="shared" si="163"/>
        <v>0.0320856383234958</v>
      </c>
      <c r="AE206" s="13">
        <f t="shared" si="164"/>
        <v>0.0344621272540636</v>
      </c>
      <c r="AF206" s="13">
        <f t="shared" si="165"/>
        <v>0.0255185775036686</v>
      </c>
      <c r="AG206" s="13">
        <f t="shared" si="166"/>
        <v>0.0424827873391367</v>
      </c>
      <c r="AH206" s="13">
        <f t="shared" si="167"/>
        <v>0.0392305098110484</v>
      </c>
      <c r="AI206" s="13">
        <f t="shared" si="168"/>
        <v>0</v>
      </c>
    </row>
  </sheetData>
  <sheetProtection formatCells="0" insertHyperlinks="0" autoFilter="0"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H104"/>
  <sheetViews>
    <sheetView topLeftCell="A70" workbookViewId="0">
      <selection activeCell="G74" sqref="G74"/>
    </sheetView>
  </sheetViews>
  <sheetFormatPr defaultColWidth="9" defaultRowHeight="14"/>
  <cols>
    <col min="4" max="4" width="10.6666666666667"/>
  </cols>
  <sheetData>
    <row r="1" spans="2:34">
      <c r="B1" s="13" t="s">
        <v>47</v>
      </c>
      <c r="C1" s="13"/>
      <c r="D1" s="13" t="s">
        <v>0</v>
      </c>
      <c r="E1" s="13" t="s">
        <v>1</v>
      </c>
      <c r="F1" s="13" t="s">
        <v>2</v>
      </c>
      <c r="G1" s="13" t="s">
        <v>3</v>
      </c>
      <c r="H1" s="13" t="s">
        <v>4</v>
      </c>
      <c r="I1" s="13" t="s">
        <v>5</v>
      </c>
      <c r="J1" s="13" t="s">
        <v>6</v>
      </c>
      <c r="K1" s="13" t="s">
        <v>7</v>
      </c>
      <c r="L1" s="13" t="s">
        <v>8</v>
      </c>
      <c r="M1" s="13" t="s">
        <v>9</v>
      </c>
      <c r="N1" s="13" t="s">
        <v>10</v>
      </c>
      <c r="O1" s="13" t="s">
        <v>11</v>
      </c>
      <c r="P1" s="13" t="s">
        <v>12</v>
      </c>
      <c r="Q1" s="13" t="s">
        <v>13</v>
      </c>
      <c r="R1" s="13" t="s">
        <v>14</v>
      </c>
      <c r="S1" s="13" t="s">
        <v>15</v>
      </c>
      <c r="T1" s="13" t="s">
        <v>16</v>
      </c>
      <c r="U1" s="13" t="s">
        <v>17</v>
      </c>
      <c r="V1" s="13" t="s">
        <v>18</v>
      </c>
      <c r="W1" s="13" t="s">
        <v>19</v>
      </c>
      <c r="X1" s="13" t="s">
        <v>20</v>
      </c>
      <c r="Y1" s="13" t="s">
        <v>21</v>
      </c>
      <c r="Z1" s="13" t="s">
        <v>22</v>
      </c>
      <c r="AA1" s="13" t="s">
        <v>23</v>
      </c>
      <c r="AB1" s="13" t="s">
        <v>24</v>
      </c>
      <c r="AC1" s="13" t="s">
        <v>25</v>
      </c>
      <c r="AD1" s="13" t="s">
        <v>26</v>
      </c>
      <c r="AE1" s="13" t="s">
        <v>27</v>
      </c>
      <c r="AF1" s="13" t="s">
        <v>28</v>
      </c>
      <c r="AG1" s="13" t="s">
        <v>29</v>
      </c>
      <c r="AH1" s="13" t="s">
        <v>30</v>
      </c>
    </row>
    <row r="2" spans="3:34">
      <c r="C2" s="13" t="s">
        <v>0</v>
      </c>
      <c r="D2" s="13">
        <v>0</v>
      </c>
      <c r="E2" s="13">
        <v>0.0947776443785021</v>
      </c>
      <c r="F2" s="13">
        <v>0.0193963944921246</v>
      </c>
      <c r="G2" s="13">
        <v>0.0183396108532097</v>
      </c>
      <c r="H2" s="13">
        <v>0.0266798868434926</v>
      </c>
      <c r="I2" s="13">
        <v>0.0243375763170218</v>
      </c>
      <c r="J2" s="13">
        <v>0.0206140005569543</v>
      </c>
      <c r="K2" s="13">
        <v>0.0188107469340144</v>
      </c>
      <c r="L2" s="13">
        <v>0.288811538664167</v>
      </c>
      <c r="M2" s="13">
        <v>0.0468365268705918</v>
      </c>
      <c r="N2" s="13">
        <v>0.0390656407024332</v>
      </c>
      <c r="O2" s="13">
        <v>0.0181510088466146</v>
      </c>
      <c r="P2" s="13">
        <v>0.0302211801610553</v>
      </c>
      <c r="Q2" s="13">
        <v>0.0180652250606222</v>
      </c>
      <c r="R2" s="13">
        <v>0.026295143421697</v>
      </c>
      <c r="S2" s="13">
        <v>0.0187878977118893</v>
      </c>
      <c r="T2" s="13">
        <v>0.0214335182957384</v>
      </c>
      <c r="U2" s="13">
        <v>0.0192145835550233</v>
      </c>
      <c r="V2" s="13">
        <v>0.0309002499587423</v>
      </c>
      <c r="W2" s="13">
        <v>0.0173407406718307</v>
      </c>
      <c r="X2" s="13">
        <v>0.0189389962320249</v>
      </c>
      <c r="Y2" s="13">
        <v>0.0213774194683076</v>
      </c>
      <c r="Z2" s="13">
        <v>0.0181862382943047</v>
      </c>
      <c r="AA2" s="13">
        <v>0.0162797068288376</v>
      </c>
      <c r="AB2" s="13">
        <v>0.0167176721525724</v>
      </c>
      <c r="AC2" s="13">
        <v>0.0172162077496463</v>
      </c>
      <c r="AD2" s="13">
        <v>0.0203201050362479</v>
      </c>
      <c r="AE2" s="13">
        <v>0.0160237744039416</v>
      </c>
      <c r="AF2" s="13">
        <v>0.0185229415770412</v>
      </c>
      <c r="AG2" s="13">
        <v>0.0192524990631316</v>
      </c>
      <c r="AH2" s="13">
        <v>0.019085324898219</v>
      </c>
    </row>
    <row r="3" spans="3:34">
      <c r="C3" s="13" t="s">
        <v>1</v>
      </c>
      <c r="D3" s="13">
        <v>0.0937612831388241</v>
      </c>
      <c r="E3" s="13">
        <v>0</v>
      </c>
      <c r="F3" s="13">
        <v>0.0241257718410036</v>
      </c>
      <c r="G3" s="13">
        <v>0.0224959403919605</v>
      </c>
      <c r="H3" s="13">
        <v>0.0367345491980178</v>
      </c>
      <c r="I3" s="13">
        <v>0.0323952325256324</v>
      </c>
      <c r="J3" s="13">
        <v>0.0260612214186125</v>
      </c>
      <c r="K3" s="13">
        <v>0.0232169514441698</v>
      </c>
      <c r="L3" s="13">
        <v>0.0705946404318659</v>
      </c>
      <c r="M3" s="13">
        <v>0.091600969802761</v>
      </c>
      <c r="N3" s="13">
        <v>0.0657460575318312</v>
      </c>
      <c r="O3" s="13">
        <v>0.0222097951699122</v>
      </c>
      <c r="P3" s="13">
        <v>0.043892996065053</v>
      </c>
      <c r="Q3" s="13">
        <v>0.0220801103255101</v>
      </c>
      <c r="R3" s="13">
        <v>0.0360014069739187</v>
      </c>
      <c r="S3" s="13">
        <v>0.0231817774663235</v>
      </c>
      <c r="T3" s="13">
        <v>0.0274000698477226</v>
      </c>
      <c r="U3" s="13">
        <v>0.0238421258941029</v>
      </c>
      <c r="V3" s="13">
        <v>0.0453563754714741</v>
      </c>
      <c r="W3" s="13">
        <v>0.0209963211097291</v>
      </c>
      <c r="X3" s="13">
        <v>0.0234147711157282</v>
      </c>
      <c r="Y3" s="13">
        <v>0.0273074678176771</v>
      </c>
      <c r="Z3" s="13">
        <v>0.0222631379304871</v>
      </c>
      <c r="AA3" s="13">
        <v>0.0194451758739516</v>
      </c>
      <c r="AB3" s="13">
        <v>0.0200803349965669</v>
      </c>
      <c r="AC3" s="13">
        <v>0.0208120658867587</v>
      </c>
      <c r="AD3" s="13">
        <v>0.0255882633047622</v>
      </c>
      <c r="AE3" s="13">
        <v>0.0190772802571598</v>
      </c>
      <c r="AF3" s="13">
        <v>0.022775444739332</v>
      </c>
      <c r="AG3" s="13">
        <v>0.0239011657409</v>
      </c>
      <c r="AH3" s="13">
        <v>0.0236412962882514</v>
      </c>
    </row>
    <row r="4" spans="3:34">
      <c r="C4" s="13" t="s">
        <v>2</v>
      </c>
      <c r="D4" s="13">
        <v>0.00165419658875467</v>
      </c>
      <c r="E4" s="13">
        <v>0.00207983890234559</v>
      </c>
      <c r="F4" s="13">
        <v>0</v>
      </c>
      <c r="G4" s="13">
        <v>0.0287072212280077</v>
      </c>
      <c r="H4" s="13">
        <v>0.00605942529706604</v>
      </c>
      <c r="I4" s="13">
        <v>0.00814767340058598</v>
      </c>
      <c r="J4" s="13">
        <v>0.0280054529842295</v>
      </c>
      <c r="K4" s="13">
        <v>0.0531320808552249</v>
      </c>
      <c r="L4" s="13">
        <v>0.00155009333198762</v>
      </c>
      <c r="M4" s="13">
        <v>0.00282348575837218</v>
      </c>
      <c r="N4" s="13">
        <v>0.00328544616791732</v>
      </c>
      <c r="O4" s="13">
        <v>0.0241092685023125</v>
      </c>
      <c r="P4" s="13">
        <v>0.00461826909645375</v>
      </c>
      <c r="Q4" s="13">
        <v>0.0224490083404624</v>
      </c>
      <c r="R4" s="13">
        <v>0.00630510502600395</v>
      </c>
      <c r="S4" s="13">
        <v>0.0510748410087909</v>
      </c>
      <c r="T4" s="13">
        <v>0.0174045646057076</v>
      </c>
      <c r="U4" s="13">
        <v>0.174822808120467</v>
      </c>
      <c r="V4" s="13">
        <v>0.00444330061532379</v>
      </c>
      <c r="W4" s="13">
        <v>0.0139541949051134</v>
      </c>
      <c r="X4" s="13">
        <v>0.0684935333042697</v>
      </c>
      <c r="Y4" s="13">
        <v>0.0178505848164459</v>
      </c>
      <c r="Z4" s="13">
        <v>0.0248592813084085</v>
      </c>
      <c r="AA4" s="13">
        <v>0.00864053072093477</v>
      </c>
      <c r="AB4" s="13">
        <v>0.0103236964273524</v>
      </c>
      <c r="AC4" s="13">
        <v>0.0130626388904575</v>
      </c>
      <c r="AD4" s="13">
        <v>0.0363895904923333</v>
      </c>
      <c r="AE4" s="13">
        <v>0.00785931183024396</v>
      </c>
      <c r="AF4" s="13">
        <v>0.0350798380099486</v>
      </c>
      <c r="AG4" s="13">
        <v>0.221323349171683</v>
      </c>
      <c r="AH4" s="13">
        <v>0.101491370292795</v>
      </c>
    </row>
    <row r="5" spans="3:34">
      <c r="C5" s="13" t="s">
        <v>3</v>
      </c>
      <c r="D5" s="13">
        <v>0.00143781702240893</v>
      </c>
      <c r="E5" s="13">
        <v>0.00178278932811818</v>
      </c>
      <c r="F5" s="13">
        <v>0.0263899488477816</v>
      </c>
      <c r="G5" s="13">
        <v>0</v>
      </c>
      <c r="H5" s="13">
        <v>0.00459946355542808</v>
      </c>
      <c r="I5" s="13">
        <v>0.00583414188092877</v>
      </c>
      <c r="J5" s="13">
        <v>0.0130316985044112</v>
      </c>
      <c r="K5" s="13">
        <v>0.057406794444097</v>
      </c>
      <c r="L5" s="13">
        <v>0.00135196676688967</v>
      </c>
      <c r="M5" s="13">
        <v>0.00236314538611736</v>
      </c>
      <c r="N5" s="13">
        <v>0.00271008213352419</v>
      </c>
      <c r="O5" s="13">
        <v>0.138375142262313</v>
      </c>
      <c r="P5" s="13">
        <v>0.00365713704536993</v>
      </c>
      <c r="Q5" s="13">
        <v>0.0946641145697117</v>
      </c>
      <c r="R5" s="13">
        <v>0.00475236629263016</v>
      </c>
      <c r="S5" s="13">
        <v>0.0602595383344527</v>
      </c>
      <c r="T5" s="13">
        <v>0.00996069792913347</v>
      </c>
      <c r="U5" s="13">
        <v>0.0315747625687616</v>
      </c>
      <c r="V5" s="13">
        <v>0.00353715324627082</v>
      </c>
      <c r="W5" s="13">
        <v>0.0249610135370295</v>
      </c>
      <c r="X5" s="13">
        <v>0.0454312236037064</v>
      </c>
      <c r="Y5" s="13">
        <v>0.0101180888927457</v>
      </c>
      <c r="Z5" s="13">
        <v>0.170489970173403</v>
      </c>
      <c r="AA5" s="13">
        <v>0.0113632670849627</v>
      </c>
      <c r="AB5" s="13">
        <v>0.0148198902872068</v>
      </c>
      <c r="AC5" s="13">
        <v>0.0220346165016378</v>
      </c>
      <c r="AD5" s="13">
        <v>0.0147521730528059</v>
      </c>
      <c r="AE5" s="13">
        <v>0.0099485676583548</v>
      </c>
      <c r="AF5" s="13">
        <v>0.145270798848984</v>
      </c>
      <c r="AG5" s="13">
        <v>0.0303230675739072</v>
      </c>
      <c r="AH5" s="13">
        <v>0.0367985626669076</v>
      </c>
    </row>
    <row r="6" spans="3:34">
      <c r="C6" s="13" t="s">
        <v>4</v>
      </c>
      <c r="D6" s="13">
        <v>0.00645556914957587</v>
      </c>
      <c r="E6" s="13">
        <v>0.00898478392338805</v>
      </c>
      <c r="F6" s="13">
        <v>0.0171915833580638</v>
      </c>
      <c r="G6" s="13">
        <v>0.0141952887622838</v>
      </c>
      <c r="H6" s="13">
        <v>0</v>
      </c>
      <c r="I6" s="13">
        <v>0.0670760367048101</v>
      </c>
      <c r="J6" s="13">
        <v>0.0219382790508521</v>
      </c>
      <c r="K6" s="13">
        <v>0.0154316836381876</v>
      </c>
      <c r="L6" s="13">
        <v>0.00590964669179787</v>
      </c>
      <c r="M6" s="13">
        <v>0.0150003392198589</v>
      </c>
      <c r="N6" s="13">
        <v>0.0203613722506684</v>
      </c>
      <c r="O6" s="13">
        <v>0.0137386292530831</v>
      </c>
      <c r="P6" s="13">
        <v>0.0550914315241627</v>
      </c>
      <c r="Q6" s="13">
        <v>0.0135375378071592</v>
      </c>
      <c r="R6" s="13">
        <v>0.441203428156219</v>
      </c>
      <c r="S6" s="13">
        <v>0.0153683147343134</v>
      </c>
      <c r="T6" s="13">
        <v>0.0263735874095368</v>
      </c>
      <c r="U6" s="13">
        <v>0.0166156776257633</v>
      </c>
      <c r="V6" s="13">
        <v>0.047265767162795</v>
      </c>
      <c r="W6" s="13">
        <v>0.0119865722684096</v>
      </c>
      <c r="X6" s="13">
        <v>0.0157943066161237</v>
      </c>
      <c r="Y6" s="13">
        <v>0.0260262628418972</v>
      </c>
      <c r="Z6" s="13">
        <v>0.0138223895419801</v>
      </c>
      <c r="AA6" s="13">
        <v>0.0101050917407482</v>
      </c>
      <c r="AB6" s="13">
        <v>0.0108331422228064</v>
      </c>
      <c r="AC6" s="13">
        <v>0.011743891410432</v>
      </c>
      <c r="AD6" s="13">
        <v>0.0206261546644122</v>
      </c>
      <c r="AE6" s="13">
        <v>0.00970734724212505</v>
      </c>
      <c r="AF6" s="13">
        <v>0.0146594253483527</v>
      </c>
      <c r="AG6" s="13">
        <v>0.0167334522822167</v>
      </c>
      <c r="AH6" s="13">
        <v>0.0162230073979777</v>
      </c>
    </row>
    <row r="7" spans="3:34">
      <c r="C7" s="13" t="s">
        <v>5</v>
      </c>
      <c r="D7" s="13">
        <v>0.00838148800096408</v>
      </c>
      <c r="E7" s="13">
        <v>0.0112773555020521</v>
      </c>
      <c r="F7" s="13">
        <v>0.0329011668582119</v>
      </c>
      <c r="G7" s="13">
        <v>0.0256275614182736</v>
      </c>
      <c r="H7" s="13">
        <v>0.095468619091571</v>
      </c>
      <c r="I7" s="13">
        <v>0</v>
      </c>
      <c r="J7" s="13">
        <v>0.0464005594227108</v>
      </c>
      <c r="K7" s="13">
        <v>0.0285266721280299</v>
      </c>
      <c r="L7" s="13">
        <v>0.0077300887342412</v>
      </c>
      <c r="M7" s="13">
        <v>0.0174479154944588</v>
      </c>
      <c r="N7" s="13">
        <v>0.0222315838815687</v>
      </c>
      <c r="O7" s="13">
        <v>0.0245907708242095</v>
      </c>
      <c r="P7" s="13">
        <v>0.0430515829429486</v>
      </c>
      <c r="Q7" s="13">
        <v>0.0241398258628825</v>
      </c>
      <c r="R7" s="13">
        <v>0.112584865441514</v>
      </c>
      <c r="S7" s="13">
        <v>0.0283747132833794</v>
      </c>
      <c r="T7" s="13">
        <v>0.0618599129554523</v>
      </c>
      <c r="U7" s="13">
        <v>0.0314360782831018</v>
      </c>
      <c r="V7" s="13">
        <v>0.0394641099641965</v>
      </c>
      <c r="W7" s="13">
        <v>0.0207724201680614</v>
      </c>
      <c r="X7" s="13">
        <v>0.0294034666837977</v>
      </c>
      <c r="Y7" s="13">
        <v>0.0605287469287382</v>
      </c>
      <c r="Z7" s="13">
        <v>0.0247796068893413</v>
      </c>
      <c r="AA7" s="13">
        <v>0.0169335290978836</v>
      </c>
      <c r="AB7" s="13">
        <v>0.0183885473526767</v>
      </c>
      <c r="AC7" s="13">
        <v>0.0202625994302306</v>
      </c>
      <c r="AD7" s="13">
        <v>0.0423930140719844</v>
      </c>
      <c r="AE7" s="13">
        <v>0.0161542305555166</v>
      </c>
      <c r="AF7" s="13">
        <v>0.0266998392010856</v>
      </c>
      <c r="AG7" s="13">
        <v>0.0317329672352096</v>
      </c>
      <c r="AH7" s="13">
        <v>0.0304561622957079</v>
      </c>
    </row>
    <row r="8" spans="3:34">
      <c r="C8" s="13" t="s">
        <v>6</v>
      </c>
      <c r="D8" s="13">
        <v>0.00331995731347369</v>
      </c>
      <c r="E8" s="13">
        <v>0.00424274910716825</v>
      </c>
      <c r="F8" s="13">
        <v>0.0528867288108955</v>
      </c>
      <c r="G8" s="13">
        <v>0.0267705772138043</v>
      </c>
      <c r="H8" s="13">
        <v>0.0146023320030374</v>
      </c>
      <c r="I8" s="13">
        <v>0.0216994952412235</v>
      </c>
      <c r="J8" s="13">
        <v>0</v>
      </c>
      <c r="K8" s="13">
        <v>0.0346323312822019</v>
      </c>
      <c r="L8" s="13">
        <v>0.00309878099402287</v>
      </c>
      <c r="M8" s="13">
        <v>0.00592983559485876</v>
      </c>
      <c r="N8" s="13">
        <v>0.00702898271010109</v>
      </c>
      <c r="O8" s="13">
        <v>0.0244664138796201</v>
      </c>
      <c r="P8" s="13">
        <v>0.0104435466215987</v>
      </c>
      <c r="Q8" s="13">
        <v>0.0235312118096985</v>
      </c>
      <c r="R8" s="13">
        <v>0.0153664070399428</v>
      </c>
      <c r="S8" s="13">
        <v>0.0341574509792533</v>
      </c>
      <c r="T8" s="13">
        <v>0.0868295614015425</v>
      </c>
      <c r="U8" s="13">
        <v>0.0455844091581194</v>
      </c>
      <c r="V8" s="13">
        <v>0.00997326691503898</v>
      </c>
      <c r="W8" s="13">
        <v>0.0175881295207091</v>
      </c>
      <c r="X8" s="13">
        <v>0.0375382069852341</v>
      </c>
      <c r="Y8" s="13">
        <v>0.0929661540361796</v>
      </c>
      <c r="Z8" s="13">
        <v>0.0248696240808431</v>
      </c>
      <c r="AA8" s="13">
        <v>0.0124698359497412</v>
      </c>
      <c r="AB8" s="13">
        <v>0.0142446817020786</v>
      </c>
      <c r="AC8" s="13">
        <v>0.0168218246579918</v>
      </c>
      <c r="AD8" s="13">
        <v>0.229543754744885</v>
      </c>
      <c r="AE8" s="13">
        <v>0.0115894610087792</v>
      </c>
      <c r="AF8" s="13">
        <v>0.0294087234967896</v>
      </c>
      <c r="AG8" s="13">
        <v>0.0469463128445242</v>
      </c>
      <c r="AH8" s="13">
        <v>0.0414492528966426</v>
      </c>
    </row>
    <row r="9" spans="3:34">
      <c r="C9" s="13" t="s">
        <v>7</v>
      </c>
      <c r="D9" s="13">
        <v>0.000687131996845014</v>
      </c>
      <c r="E9" s="13">
        <v>0.000857278028047102</v>
      </c>
      <c r="F9" s="13">
        <v>0.0227575153253865</v>
      </c>
      <c r="G9" s="13">
        <v>0.0267475447972545</v>
      </c>
      <c r="H9" s="13">
        <v>0.00232968331142353</v>
      </c>
      <c r="I9" s="13">
        <v>0.00302580851590959</v>
      </c>
      <c r="J9" s="13">
        <v>0.00785499010536947</v>
      </c>
      <c r="K9" s="13">
        <v>0</v>
      </c>
      <c r="L9" s="13">
        <v>0.000645114670051601</v>
      </c>
      <c r="M9" s="13">
        <v>0.00114833115462639</v>
      </c>
      <c r="N9" s="13">
        <v>0.00132527240136636</v>
      </c>
      <c r="O9" s="13">
        <v>0.0189046823151919</v>
      </c>
      <c r="P9" s="13">
        <v>0.00181990810146165</v>
      </c>
      <c r="Q9" s="13">
        <v>0.0166503420119352</v>
      </c>
      <c r="R9" s="13">
        <v>0.00241412042192213</v>
      </c>
      <c r="S9" s="13">
        <v>0.564998038033367</v>
      </c>
      <c r="T9" s="13">
        <v>0.00561530312588293</v>
      </c>
      <c r="U9" s="13">
        <v>0.0326938035825594</v>
      </c>
      <c r="V9" s="13">
        <v>0.00175627984158916</v>
      </c>
      <c r="W9" s="13">
        <v>0.00810566462955474</v>
      </c>
      <c r="X9" s="13">
        <v>0.101471045074173</v>
      </c>
      <c r="Y9" s="13">
        <v>0.00572301636862179</v>
      </c>
      <c r="Z9" s="13">
        <v>0.0200098852756838</v>
      </c>
      <c r="AA9" s="13">
        <v>0.00441964844352762</v>
      </c>
      <c r="AB9" s="13">
        <v>0.0054882164510544</v>
      </c>
      <c r="AC9" s="13">
        <v>0.00741895045608482</v>
      </c>
      <c r="AD9" s="13">
        <v>0.00925068367075794</v>
      </c>
      <c r="AE9" s="13">
        <v>0.00395068411488321</v>
      </c>
      <c r="AF9" s="13">
        <v>0.0442233110847157</v>
      </c>
      <c r="AG9" s="13">
        <v>0.0299466765490083</v>
      </c>
      <c r="AH9" s="13">
        <v>0.0477610701417455</v>
      </c>
    </row>
    <row r="10" spans="3:34">
      <c r="C10" s="13" t="s">
        <v>8</v>
      </c>
      <c r="D10" s="13">
        <v>0.310794995938854</v>
      </c>
      <c r="E10" s="13">
        <v>0.076791575210905</v>
      </c>
      <c r="F10" s="13">
        <v>0.0195592056494903</v>
      </c>
      <c r="G10" s="13">
        <v>0.0185571803641289</v>
      </c>
      <c r="H10" s="13">
        <v>0.0262827280007046</v>
      </c>
      <c r="I10" s="13">
        <v>0.0241546169883467</v>
      </c>
      <c r="J10" s="13">
        <v>0.020705234078315</v>
      </c>
      <c r="K10" s="13">
        <v>0.0190047545014352</v>
      </c>
      <c r="L10" s="13">
        <v>0</v>
      </c>
      <c r="M10" s="13">
        <v>0.0433685150407285</v>
      </c>
      <c r="N10" s="13">
        <v>0.0370303467503182</v>
      </c>
      <c r="O10" s="13">
        <v>0.0183776254351406</v>
      </c>
      <c r="P10" s="13">
        <v>0.0294408410523191</v>
      </c>
      <c r="Q10" s="13">
        <v>0.0182958836022716</v>
      </c>
      <c r="R10" s="13">
        <v>0.0259353401802218</v>
      </c>
      <c r="S10" s="13">
        <v>0.0189830796241367</v>
      </c>
      <c r="T10" s="13">
        <v>0.0214715112529263</v>
      </c>
      <c r="U10" s="13">
        <v>0.0193873051250528</v>
      </c>
      <c r="V10" s="13">
        <v>0.0300384390009594</v>
      </c>
      <c r="W10" s="13">
        <v>0.0176037083191647</v>
      </c>
      <c r="X10" s="13">
        <v>0.0191263526446953</v>
      </c>
      <c r="Y10" s="13">
        <v>0.0214191860240181</v>
      </c>
      <c r="Z10" s="13">
        <v>0.0184111817121922</v>
      </c>
      <c r="AA10" s="13">
        <v>0.0165840596624735</v>
      </c>
      <c r="AB10" s="13">
        <v>0.0170058006397376</v>
      </c>
      <c r="AC10" s="13">
        <v>0.0174843989812562</v>
      </c>
      <c r="AD10" s="13">
        <v>0.0204294419251952</v>
      </c>
      <c r="AE10" s="13">
        <v>0.0163370472097682</v>
      </c>
      <c r="AF10" s="13">
        <v>0.0187315056471827</v>
      </c>
      <c r="AG10" s="13">
        <v>0.019423170624789</v>
      </c>
      <c r="AH10" s="13">
        <v>0.0192649688132721</v>
      </c>
    </row>
    <row r="11" spans="3:34">
      <c r="C11" s="13" t="s">
        <v>9</v>
      </c>
      <c r="D11" s="13">
        <v>0.0329793176016049</v>
      </c>
      <c r="E11" s="13">
        <v>0.0651987729525672</v>
      </c>
      <c r="F11" s="13">
        <v>0.0233118355793271</v>
      </c>
      <c r="G11" s="13">
        <v>0.0212243265428765</v>
      </c>
      <c r="H11" s="13">
        <v>0.0436523379195876</v>
      </c>
      <c r="I11" s="13">
        <v>0.0356744043283834</v>
      </c>
      <c r="J11" s="13">
        <v>0.0259256359694792</v>
      </c>
      <c r="K11" s="13">
        <v>0.0221355337430099</v>
      </c>
      <c r="L11" s="13">
        <v>0.0283773643844445</v>
      </c>
      <c r="M11" s="13">
        <v>0</v>
      </c>
      <c r="N11" s="13">
        <v>0.165792953873757</v>
      </c>
      <c r="O11" s="13">
        <v>0.0208679475490625</v>
      </c>
      <c r="P11" s="13">
        <v>0.0599851400184576</v>
      </c>
      <c r="Q11" s="13">
        <v>0.0207073979048208</v>
      </c>
      <c r="R11" s="13">
        <v>0.0422170146641487</v>
      </c>
      <c r="S11" s="13">
        <v>0.0220906355958084</v>
      </c>
      <c r="T11" s="13">
        <v>0.0278259484545738</v>
      </c>
      <c r="U11" s="13">
        <v>0.0229413204713416</v>
      </c>
      <c r="V11" s="13">
        <v>0.0639465016198735</v>
      </c>
      <c r="W11" s="13">
        <v>0.0193887286207477</v>
      </c>
      <c r="X11" s="13">
        <v>0.0223889053079156</v>
      </c>
      <c r="Y11" s="13">
        <v>0.0276919648048931</v>
      </c>
      <c r="Z11" s="13">
        <v>0.020934160125101</v>
      </c>
      <c r="AA11" s="13">
        <v>0.0175703368752252</v>
      </c>
      <c r="AB11" s="13">
        <v>0.0183053912454825</v>
      </c>
      <c r="AC11" s="13">
        <v>0.0191685572647765</v>
      </c>
      <c r="AD11" s="13">
        <v>0.0252727612298137</v>
      </c>
      <c r="AE11" s="13">
        <v>0.0171504686514463</v>
      </c>
      <c r="AF11" s="13">
        <v>0.0215752956346493</v>
      </c>
      <c r="AG11" s="13">
        <v>0.0230181859465751</v>
      </c>
      <c r="AH11" s="13">
        <v>0.0226808551202498</v>
      </c>
    </row>
    <row r="12" spans="3:34">
      <c r="C12" s="13" t="s">
        <v>10</v>
      </c>
      <c r="D12" s="13">
        <v>0.0237482458781333</v>
      </c>
      <c r="E12" s="13">
        <v>0.0404006794574825</v>
      </c>
      <c r="F12" s="13">
        <v>0.0234188102900877</v>
      </c>
      <c r="G12" s="13">
        <v>0.0210138454407188</v>
      </c>
      <c r="H12" s="13">
        <v>0.0511555872961798</v>
      </c>
      <c r="I12" s="13">
        <v>0.0392430893381325</v>
      </c>
      <c r="J12" s="13">
        <v>0.0265313191618077</v>
      </c>
      <c r="K12" s="13">
        <v>0.0220550277107274</v>
      </c>
      <c r="L12" s="13">
        <v>0.0209187093956601</v>
      </c>
      <c r="M12" s="13">
        <v>0.143134943960218</v>
      </c>
      <c r="N12" s="13">
        <v>0</v>
      </c>
      <c r="O12" s="13">
        <v>0.0206101940496578</v>
      </c>
      <c r="P12" s="13">
        <v>0.0811468391807977</v>
      </c>
      <c r="Q12" s="13">
        <v>0.020428995973266</v>
      </c>
      <c r="R12" s="13">
        <v>0.0488989205080692</v>
      </c>
      <c r="S12" s="13">
        <v>0.0220034159917714</v>
      </c>
      <c r="T12" s="13">
        <v>0.0288682468723899</v>
      </c>
      <c r="U12" s="13">
        <v>0.0229868188541368</v>
      </c>
      <c r="V12" s="13">
        <v>0.0898703756807943</v>
      </c>
      <c r="W12" s="13">
        <v>0.0189557683857457</v>
      </c>
      <c r="X12" s="13">
        <v>0.0223468914485198</v>
      </c>
      <c r="Y12" s="13">
        <v>0.0287013717803296</v>
      </c>
      <c r="Z12" s="13">
        <v>0.0206850392635439</v>
      </c>
      <c r="AA12" s="13">
        <v>0.0169672431571116</v>
      </c>
      <c r="AB12" s="13">
        <v>0.01776516679373</v>
      </c>
      <c r="AC12" s="13">
        <v>0.0187123727929733</v>
      </c>
      <c r="AD12" s="13">
        <v>0.0257430280608519</v>
      </c>
      <c r="AE12" s="13">
        <v>0.0165150048833265</v>
      </c>
      <c r="AF12" s="13">
        <v>0.0214133190713066</v>
      </c>
      <c r="AG12" s="13">
        <v>0.0230762536221335</v>
      </c>
      <c r="AH12" s="13">
        <v>0.0226844757003972</v>
      </c>
    </row>
    <row r="13" spans="3:34">
      <c r="C13" s="13" t="s">
        <v>11</v>
      </c>
      <c r="D13" s="13">
        <v>0.00087111738897423</v>
      </c>
      <c r="E13" s="13">
        <v>0.00107746416805383</v>
      </c>
      <c r="F13" s="13">
        <v>0.0135673127327356</v>
      </c>
      <c r="G13" s="13">
        <v>0.0847072319625296</v>
      </c>
      <c r="H13" s="13">
        <v>0.00272501416642831</v>
      </c>
      <c r="I13" s="13">
        <v>0.00342692228552542</v>
      </c>
      <c r="J13" s="13">
        <v>0.00729081395852966</v>
      </c>
      <c r="K13" s="13">
        <v>0.0248376879655322</v>
      </c>
      <c r="L13" s="13">
        <v>0.000819607328343281</v>
      </c>
      <c r="M13" s="13">
        <v>0.00142232442733047</v>
      </c>
      <c r="N13" s="13">
        <v>0.00162712684411136</v>
      </c>
      <c r="O13" s="13">
        <v>0</v>
      </c>
      <c r="P13" s="13">
        <v>0.00218109543500197</v>
      </c>
      <c r="Q13" s="13">
        <v>0.183448789348447</v>
      </c>
      <c r="R13" s="13">
        <v>0.00281259555193192</v>
      </c>
      <c r="S13" s="13">
        <v>0.0256975200721044</v>
      </c>
      <c r="T13" s="13">
        <v>0.00568805993819727</v>
      </c>
      <c r="U13" s="13">
        <v>0.0157376418641269</v>
      </c>
      <c r="V13" s="13">
        <v>0.00211132135834385</v>
      </c>
      <c r="W13" s="13">
        <v>0.0186429890831551</v>
      </c>
      <c r="X13" s="13">
        <v>0.0209369962678326</v>
      </c>
      <c r="Y13" s="13">
        <v>0.0057718139486125</v>
      </c>
      <c r="Z13" s="13">
        <v>0.449690513389794</v>
      </c>
      <c r="AA13" s="13">
        <v>0.00757843232748179</v>
      </c>
      <c r="AB13" s="13">
        <v>0.0101602470485884</v>
      </c>
      <c r="AC13" s="13">
        <v>0.0160433465381547</v>
      </c>
      <c r="AD13" s="13">
        <v>0.00816063249175266</v>
      </c>
      <c r="AE13" s="13">
        <v>0.00656184774007988</v>
      </c>
      <c r="AF13" s="13">
        <v>0.0433832657970398</v>
      </c>
      <c r="AG13" s="13">
        <v>0.0152259061983652</v>
      </c>
      <c r="AH13" s="13">
        <v>0.0177943623728967</v>
      </c>
    </row>
    <row r="14" spans="3:34">
      <c r="C14" s="13" t="s">
        <v>12</v>
      </c>
      <c r="D14" s="13">
        <v>0.00914536640426298</v>
      </c>
      <c r="E14" s="13">
        <v>0.0134266381419955</v>
      </c>
      <c r="F14" s="13">
        <v>0.0163871267272519</v>
      </c>
      <c r="G14" s="13">
        <v>0.0141161875690488</v>
      </c>
      <c r="H14" s="13">
        <v>0.0689006300601903</v>
      </c>
      <c r="I14" s="13">
        <v>0.037829884321085</v>
      </c>
      <c r="J14" s="13">
        <v>0.0196230939692804</v>
      </c>
      <c r="K14" s="13">
        <v>0.0150766556910164</v>
      </c>
      <c r="L14" s="13">
        <v>0.00827904847060456</v>
      </c>
      <c r="M14" s="13">
        <v>0.0257796124765078</v>
      </c>
      <c r="N14" s="13">
        <v>0.0403947302799975</v>
      </c>
      <c r="O14" s="13">
        <v>0.0137527150348488</v>
      </c>
      <c r="P14" s="13">
        <v>0</v>
      </c>
      <c r="Q14" s="13">
        <v>0.0135911247606514</v>
      </c>
      <c r="R14" s="13">
        <v>0.0612522849909361</v>
      </c>
      <c r="S14" s="13">
        <v>0.015028248388421</v>
      </c>
      <c r="T14" s="13">
        <v>0.0223059763963657</v>
      </c>
      <c r="U14" s="13">
        <v>0.0159653717861987</v>
      </c>
      <c r="V14" s="13">
        <v>0.416148838924346</v>
      </c>
      <c r="W14" s="13">
        <v>0.0123122683273243</v>
      </c>
      <c r="X14" s="13">
        <v>0.0153519975352599</v>
      </c>
      <c r="Y14" s="13">
        <v>0.0221064703814995</v>
      </c>
      <c r="Z14" s="13">
        <v>0.0138197437559838</v>
      </c>
      <c r="AA14" s="13">
        <v>0.010679207308717</v>
      </c>
      <c r="AB14" s="13">
        <v>0.0113221865877795</v>
      </c>
      <c r="AC14" s="13">
        <v>0.0121067944615016</v>
      </c>
      <c r="AD14" s="13">
        <v>0.0187691542167964</v>
      </c>
      <c r="AE14" s="13">
        <v>0.0103218355952017</v>
      </c>
      <c r="AF14" s="13">
        <v>0.0144807345473604</v>
      </c>
      <c r="AG14" s="13">
        <v>0.0160521722309345</v>
      </c>
      <c r="AH14" s="13">
        <v>0.0156739006586332</v>
      </c>
    </row>
    <row r="15" spans="3:34">
      <c r="C15" s="13" t="s">
        <v>13</v>
      </c>
      <c r="D15" s="13">
        <v>0.00136326776715494</v>
      </c>
      <c r="E15" s="13">
        <v>0.00168430755771994</v>
      </c>
      <c r="F15" s="13">
        <v>0.0198640975253547</v>
      </c>
      <c r="G15" s="13">
        <v>0.0911191505309679</v>
      </c>
      <c r="H15" s="13">
        <v>0.00422208447433157</v>
      </c>
      <c r="I15" s="13">
        <v>0.00528966442844178</v>
      </c>
      <c r="J15" s="13">
        <v>0.0110258445876662</v>
      </c>
      <c r="K15" s="13">
        <v>0.0343974950789373</v>
      </c>
      <c r="L15" s="13">
        <v>0.00128301490365162</v>
      </c>
      <c r="M15" s="13">
        <v>0.00221925055146581</v>
      </c>
      <c r="N15" s="13">
        <v>0.00253599403370145</v>
      </c>
      <c r="O15" s="13">
        <v>0.288454106048806</v>
      </c>
      <c r="P15" s="13">
        <v>0.00338924917528538</v>
      </c>
      <c r="Q15" s="13">
        <v>0</v>
      </c>
      <c r="R15" s="13">
        <v>0.00435573232768184</v>
      </c>
      <c r="S15" s="13">
        <v>0.0354419602268237</v>
      </c>
      <c r="T15" s="13">
        <v>0.0086749052382601</v>
      </c>
      <c r="U15" s="13">
        <v>0.0227906458667774</v>
      </c>
      <c r="V15" s="13">
        <v>0.00328205945061736</v>
      </c>
      <c r="W15" s="13">
        <v>0.0326302031931075</v>
      </c>
      <c r="X15" s="13">
        <v>0.0295488383576895</v>
      </c>
      <c r="Y15" s="13">
        <v>0.00879874286318228</v>
      </c>
      <c r="Z15" s="13">
        <v>0.204876043040578</v>
      </c>
      <c r="AA15" s="13">
        <v>0.0124297804320403</v>
      </c>
      <c r="AB15" s="13">
        <v>0.0169126298873482</v>
      </c>
      <c r="AC15" s="13">
        <v>0.0276440783884124</v>
      </c>
      <c r="AD15" s="13">
        <v>0.0122852411305982</v>
      </c>
      <c r="AE15" s="13">
        <v>0.0107005746534067</v>
      </c>
      <c r="AF15" s="13">
        <v>0.0551689272706034</v>
      </c>
      <c r="AG15" s="13">
        <v>0.0221063641202237</v>
      </c>
      <c r="AH15" s="13">
        <v>0.025505746889165</v>
      </c>
    </row>
    <row r="16" spans="3:34">
      <c r="C16" s="13" t="s">
        <v>14</v>
      </c>
      <c r="D16" s="13">
        <v>0.00628041622378043</v>
      </c>
      <c r="E16" s="13">
        <v>0.00869190007797587</v>
      </c>
      <c r="F16" s="13">
        <v>0.0176579017289641</v>
      </c>
      <c r="G16" s="13">
        <v>0.0144780237587815</v>
      </c>
      <c r="H16" s="13">
        <v>0.435513084014491</v>
      </c>
      <c r="I16" s="13">
        <v>0.0780816702445994</v>
      </c>
      <c r="J16" s="13">
        <v>0.0227884611630479</v>
      </c>
      <c r="K16" s="13">
        <v>0.0157847490335715</v>
      </c>
      <c r="L16" s="13">
        <v>0.00575632563877894</v>
      </c>
      <c r="M16" s="13">
        <v>0.0143200132530226</v>
      </c>
      <c r="N16" s="13">
        <v>0.0192121323286319</v>
      </c>
      <c r="O16" s="13">
        <v>0.0139972994536511</v>
      </c>
      <c r="P16" s="13">
        <v>0.048344323496143</v>
      </c>
      <c r="Q16" s="13">
        <v>0.0137859365766733</v>
      </c>
      <c r="R16" s="13">
        <v>0</v>
      </c>
      <c r="S16" s="13">
        <v>0.0157175909996291</v>
      </c>
      <c r="T16" s="13">
        <v>0.0276885635049267</v>
      </c>
      <c r="U16" s="13">
        <v>0.0170432260392489</v>
      </c>
      <c r="V16" s="13">
        <v>0.0421415725344481</v>
      </c>
      <c r="W16" s="13">
        <v>0.0121624045835287</v>
      </c>
      <c r="X16" s="13">
        <v>0.016169439807393</v>
      </c>
      <c r="Y16" s="13">
        <v>0.0273010631185968</v>
      </c>
      <c r="Z16" s="13">
        <v>0.01408539676303</v>
      </c>
      <c r="AA16" s="13">
        <v>0.0102085749271397</v>
      </c>
      <c r="AB16" s="13">
        <v>0.0109625950796984</v>
      </c>
      <c r="AC16" s="13">
        <v>0.0119094301764593</v>
      </c>
      <c r="AD16" s="13">
        <v>0.021358643929278</v>
      </c>
      <c r="AE16" s="13">
        <v>0.00979771757384543</v>
      </c>
      <c r="AF16" s="13">
        <v>0.0149676739124547</v>
      </c>
      <c r="AG16" s="13">
        <v>0.0171687936105068</v>
      </c>
      <c r="AH16" s="13">
        <v>0.0166250764477041</v>
      </c>
    </row>
    <row r="17" spans="3:34">
      <c r="C17" s="13" t="s">
        <v>15</v>
      </c>
      <c r="D17" s="13">
        <v>0.000697783696869987</v>
      </c>
      <c r="E17" s="13">
        <v>0.000870305507994504</v>
      </c>
      <c r="F17" s="13">
        <v>0.0222424970752183</v>
      </c>
      <c r="G17" s="13">
        <v>0.0285466352906346</v>
      </c>
      <c r="H17" s="13">
        <v>0.00235894775870569</v>
      </c>
      <c r="I17" s="13">
        <v>0.00306006260608336</v>
      </c>
      <c r="J17" s="13">
        <v>0.007876946008153</v>
      </c>
      <c r="K17" s="13">
        <v>0.574454240263302</v>
      </c>
      <c r="L17" s="13">
        <v>0.000655163694452981</v>
      </c>
      <c r="M17" s="13">
        <v>0.00116518225127491</v>
      </c>
      <c r="N17" s="13">
        <v>0.00134429986624499</v>
      </c>
      <c r="O17" s="13">
        <v>0.0198864805862922</v>
      </c>
      <c r="P17" s="13">
        <v>0.00184442629754969</v>
      </c>
      <c r="Q17" s="13">
        <v>0.0174430560025852</v>
      </c>
      <c r="R17" s="13">
        <v>0.00244408177056833</v>
      </c>
      <c r="S17" s="13">
        <v>0</v>
      </c>
      <c r="T17" s="13">
        <v>0.00565310072224016</v>
      </c>
      <c r="U17" s="13">
        <v>0.0314227044618177</v>
      </c>
      <c r="V17" s="13">
        <v>0.00178014065401871</v>
      </c>
      <c r="W17" s="13">
        <v>0.00836128063334709</v>
      </c>
      <c r="X17" s="13">
        <v>0.0874616296303149</v>
      </c>
      <c r="Y17" s="13">
        <v>0.00576045161588771</v>
      </c>
      <c r="Z17" s="13">
        <v>0.0210917675652844</v>
      </c>
      <c r="AA17" s="13">
        <v>0.00452904684876487</v>
      </c>
      <c r="AB17" s="13">
        <v>0.00563480584286257</v>
      </c>
      <c r="AC17" s="13">
        <v>0.00764348527904677</v>
      </c>
      <c r="AD17" s="13">
        <v>0.00925399440895824</v>
      </c>
      <c r="AE17" s="13">
        <v>0.0040450903580329</v>
      </c>
      <c r="AF17" s="13">
        <v>0.0487816847794208</v>
      </c>
      <c r="AG17" s="13">
        <v>0.0289152838973402</v>
      </c>
      <c r="AH17" s="13">
        <v>0.0447754246267327</v>
      </c>
    </row>
    <row r="18" spans="3:34">
      <c r="C18" s="13" t="s">
        <v>16</v>
      </c>
      <c r="D18" s="13">
        <v>0.00178220349560577</v>
      </c>
      <c r="E18" s="13">
        <v>0.00230302081622788</v>
      </c>
      <c r="F18" s="13">
        <v>0.0169691807658865</v>
      </c>
      <c r="G18" s="13">
        <v>0.0105642845423735</v>
      </c>
      <c r="H18" s="13">
        <v>0.00906321909374693</v>
      </c>
      <c r="I18" s="13">
        <v>0.0149358288535845</v>
      </c>
      <c r="J18" s="13">
        <v>0.0448292234717583</v>
      </c>
      <c r="K18" s="13">
        <v>0.0127821202526476</v>
      </c>
      <c r="L18" s="13">
        <v>0.00165907859684314</v>
      </c>
      <c r="M18" s="13">
        <v>0.00328591873930366</v>
      </c>
      <c r="N18" s="13">
        <v>0.00394864099806386</v>
      </c>
      <c r="O18" s="13">
        <v>0.00985489666262584</v>
      </c>
      <c r="P18" s="13">
        <v>0.0061290811765232</v>
      </c>
      <c r="Q18" s="13">
        <v>0.00955852267144868</v>
      </c>
      <c r="R18" s="13">
        <v>0.00963943029530965</v>
      </c>
      <c r="S18" s="13">
        <v>0.012656333709234</v>
      </c>
      <c r="T18" s="13">
        <v>0</v>
      </c>
      <c r="U18" s="13">
        <v>0.0154327648082772</v>
      </c>
      <c r="V18" s="13">
        <v>0.00581726993559764</v>
      </c>
      <c r="W18" s="13">
        <v>0.00755104026693311</v>
      </c>
      <c r="X18" s="13">
        <v>0.013530906693097</v>
      </c>
      <c r="Y18" s="13">
        <v>0.679139180768555</v>
      </c>
      <c r="Z18" s="13">
        <v>0.00998114651207148</v>
      </c>
      <c r="AA18" s="13">
        <v>0.00562957155187496</v>
      </c>
      <c r="AB18" s="13">
        <v>0.00631791047548958</v>
      </c>
      <c r="AC18" s="13">
        <v>0.00727543900245298</v>
      </c>
      <c r="AD18" s="13">
        <v>0.0325257148843813</v>
      </c>
      <c r="AE18" s="13">
        <v>0.00527892397989622</v>
      </c>
      <c r="AF18" s="13">
        <v>0.0113419622356769</v>
      </c>
      <c r="AG18" s="13">
        <v>0.0157320351038119</v>
      </c>
      <c r="AH18" s="13">
        <v>0.0144851496407019</v>
      </c>
    </row>
    <row r="19" spans="3:34">
      <c r="C19" s="13" t="s">
        <v>17</v>
      </c>
      <c r="D19" s="13">
        <v>0.000883605868079555</v>
      </c>
      <c r="E19" s="13">
        <v>0.00110829394446103</v>
      </c>
      <c r="F19" s="13">
        <v>0.0942669801172572</v>
      </c>
      <c r="G19" s="13">
        <v>0.0185205638239951</v>
      </c>
      <c r="H19" s="13">
        <v>0.00315787633317205</v>
      </c>
      <c r="I19" s="13">
        <v>0.00419770752128981</v>
      </c>
      <c r="J19" s="13">
        <v>0.0130158857807119</v>
      </c>
      <c r="K19" s="13">
        <v>0.0411584425709859</v>
      </c>
      <c r="L19" s="13">
        <v>0.000828486780582677</v>
      </c>
      <c r="M19" s="13">
        <v>0.00149826641487585</v>
      </c>
      <c r="N19" s="13">
        <v>0.00173888116429413</v>
      </c>
      <c r="O19" s="13">
        <v>0.0150796533629772</v>
      </c>
      <c r="P19" s="13">
        <v>0.00242614616365275</v>
      </c>
      <c r="Q19" s="13">
        <v>0.0138882158608492</v>
      </c>
      <c r="R19" s="13">
        <v>0.00328145562877928</v>
      </c>
      <c r="S19" s="13">
        <v>0.0389070716412074</v>
      </c>
      <c r="T19" s="13">
        <v>0.00853507865382354</v>
      </c>
      <c r="U19" s="13">
        <v>0</v>
      </c>
      <c r="V19" s="13">
        <v>0.00233650707160187</v>
      </c>
      <c r="W19" s="13">
        <v>0.00817698236704329</v>
      </c>
      <c r="X19" s="13">
        <v>0.0607234325007427</v>
      </c>
      <c r="Y19" s="13">
        <v>0.00873353968767392</v>
      </c>
      <c r="Z19" s="13">
        <v>0.0156265288410156</v>
      </c>
      <c r="AA19" s="13">
        <v>0.00490134538061879</v>
      </c>
      <c r="AB19" s="13">
        <v>0.00591604219522702</v>
      </c>
      <c r="AC19" s="13">
        <v>0.00761235306829303</v>
      </c>
      <c r="AD19" s="13">
        <v>0.016241171569215</v>
      </c>
      <c r="AE19" s="13">
        <v>0.00443733875067586</v>
      </c>
      <c r="AF19" s="13">
        <v>0.0236639481011827</v>
      </c>
      <c r="AG19" s="13">
        <v>0.448671849492517</v>
      </c>
      <c r="AH19" s="13">
        <v>0.130466349343198</v>
      </c>
    </row>
    <row r="20" spans="3:34">
      <c r="C20" s="13" t="s">
        <v>18</v>
      </c>
      <c r="D20" s="13">
        <v>0.0095967874802276</v>
      </c>
      <c r="E20" s="13">
        <v>0.014239167380561</v>
      </c>
      <c r="F20" s="13">
        <v>0.0161809296338722</v>
      </c>
      <c r="G20" s="13">
        <v>0.0140121331685111</v>
      </c>
      <c r="H20" s="13">
        <v>0.060668050838647</v>
      </c>
      <c r="I20" s="13">
        <v>0.0355895417705168</v>
      </c>
      <c r="J20" s="13">
        <v>0.0192322949536881</v>
      </c>
      <c r="K20" s="13">
        <v>0.0149321887178355</v>
      </c>
      <c r="L20" s="13">
        <v>0.00866925480081888</v>
      </c>
      <c r="M20" s="13">
        <v>0.0282048434007082</v>
      </c>
      <c r="N20" s="13">
        <v>0.0459138654068518</v>
      </c>
      <c r="O20" s="13">
        <v>0.013662881807686</v>
      </c>
      <c r="P20" s="13">
        <v>0.427093421611757</v>
      </c>
      <c r="Q20" s="13">
        <v>0.0135074241822987</v>
      </c>
      <c r="R20" s="13">
        <v>0.0547976254512542</v>
      </c>
      <c r="S20" s="13">
        <v>0.0148859162833629</v>
      </c>
      <c r="T20" s="13">
        <v>0.0217279761759408</v>
      </c>
      <c r="U20" s="13">
        <v>0.0157798681331473</v>
      </c>
      <c r="V20" s="13">
        <v>0</v>
      </c>
      <c r="W20" s="13">
        <v>0.0122729664810166</v>
      </c>
      <c r="X20" s="13">
        <v>0.0151951899090309</v>
      </c>
      <c r="Y20" s="13">
        <v>0.0215434425425401</v>
      </c>
      <c r="Z20" s="13">
        <v>0.0137273323779777</v>
      </c>
      <c r="AA20" s="13">
        <v>0.0106858469817861</v>
      </c>
      <c r="AB20" s="13">
        <v>0.011312185203917</v>
      </c>
      <c r="AC20" s="13">
        <v>0.0120739387137361</v>
      </c>
      <c r="AD20" s="13">
        <v>0.018431480006873</v>
      </c>
      <c r="AE20" s="13">
        <v>0.0103369078932217</v>
      </c>
      <c r="AF20" s="13">
        <v>0.0143618247474824</v>
      </c>
      <c r="AG20" s="13">
        <v>0.0158624736765086</v>
      </c>
      <c r="AH20" s="13">
        <v>0.0155022402682249</v>
      </c>
    </row>
    <row r="21" spans="3:34">
      <c r="C21" s="13" t="s">
        <v>19</v>
      </c>
      <c r="D21" s="13">
        <v>0.00239296147324518</v>
      </c>
      <c r="E21" s="13">
        <v>0.0029288264466487</v>
      </c>
      <c r="F21" s="13">
        <v>0.0225791056262982</v>
      </c>
      <c r="G21" s="13">
        <v>0.0439356214893226</v>
      </c>
      <c r="H21" s="13">
        <v>0.00683616469359296</v>
      </c>
      <c r="I21" s="13">
        <v>0.00832360304458841</v>
      </c>
      <c r="J21" s="13">
        <v>0.0150701474595513</v>
      </c>
      <c r="K21" s="13">
        <v>0.030621225129472</v>
      </c>
      <c r="L21" s="13">
        <v>0.00225742198147584</v>
      </c>
      <c r="M21" s="13">
        <v>0.00379979715023315</v>
      </c>
      <c r="N21" s="13">
        <v>0.00430301511154842</v>
      </c>
      <c r="O21" s="13">
        <v>0.0536052954098375</v>
      </c>
      <c r="P21" s="13">
        <v>0.00561456927474455</v>
      </c>
      <c r="Q21" s="13">
        <v>0.0596691774790135</v>
      </c>
      <c r="R21" s="13">
        <v>0.00702707560730581</v>
      </c>
      <c r="S21" s="13">
        <v>0.0310669223472818</v>
      </c>
      <c r="T21" s="13">
        <v>0.0125317298497218</v>
      </c>
      <c r="U21" s="13">
        <v>0.0245376806049407</v>
      </c>
      <c r="V21" s="13">
        <v>0.00545322888168899</v>
      </c>
      <c r="W21" s="13">
        <v>0</v>
      </c>
      <c r="X21" s="13">
        <v>0.0283560961425122</v>
      </c>
      <c r="Y21" s="13">
        <v>0.0126726310821928</v>
      </c>
      <c r="Z21" s="13">
        <v>0.0514714251403651</v>
      </c>
      <c r="AA21" s="13">
        <v>0.0367158045847451</v>
      </c>
      <c r="AB21" s="13">
        <v>0.0642060128973766</v>
      </c>
      <c r="AC21" s="13">
        <v>0.330817916560917</v>
      </c>
      <c r="AD21" s="13">
        <v>0.0163206719744559</v>
      </c>
      <c r="AE21" s="13">
        <v>0.0291156089108232</v>
      </c>
      <c r="AF21" s="13">
        <v>0.0374933612126947</v>
      </c>
      <c r="AG21" s="13">
        <v>0.0240984889782093</v>
      </c>
      <c r="AH21" s="13">
        <v>0.0261784134551963</v>
      </c>
    </row>
    <row r="22" spans="3:34">
      <c r="C22" s="13" t="s">
        <v>20</v>
      </c>
      <c r="D22" s="13">
        <v>0.00121074913664101</v>
      </c>
      <c r="E22" s="13">
        <v>0.00151310649528594</v>
      </c>
      <c r="F22" s="13">
        <v>0.0513429322625097</v>
      </c>
      <c r="G22" s="13">
        <v>0.037045728493993</v>
      </c>
      <c r="H22" s="13">
        <v>0.00417298881779624</v>
      </c>
      <c r="I22" s="13">
        <v>0.00545823143305016</v>
      </c>
      <c r="J22" s="13">
        <v>0.0149004889155148</v>
      </c>
      <c r="K22" s="13">
        <v>0.177584563527756</v>
      </c>
      <c r="L22" s="13">
        <v>0.00113623952337744</v>
      </c>
      <c r="M22" s="13">
        <v>0.00203269906596814</v>
      </c>
      <c r="N22" s="13">
        <v>0.00235005347375917</v>
      </c>
      <c r="O22" s="13">
        <v>0.0278891752547021</v>
      </c>
      <c r="P22" s="13">
        <v>0.00324319014992469</v>
      </c>
      <c r="Q22" s="13">
        <v>0.0250322468413099</v>
      </c>
      <c r="R22" s="13">
        <v>0.00432792076813928</v>
      </c>
      <c r="S22" s="13">
        <v>0.150547013389373</v>
      </c>
      <c r="T22" s="13">
        <v>0.0104030403856652</v>
      </c>
      <c r="U22" s="13">
        <v>0.0844162213161596</v>
      </c>
      <c r="V22" s="13">
        <v>0.00312780347397631</v>
      </c>
      <c r="W22" s="13">
        <v>0.0131363765095137</v>
      </c>
      <c r="X22" s="13">
        <v>0</v>
      </c>
      <c r="Y22" s="13">
        <v>0.0106145199814958</v>
      </c>
      <c r="Z22" s="13">
        <v>0.0292510662594458</v>
      </c>
      <c r="AA22" s="13">
        <v>0.00741199546170487</v>
      </c>
      <c r="AB22" s="13">
        <v>0.0091120909878054</v>
      </c>
      <c r="AC22" s="13">
        <v>0.0120992848990592</v>
      </c>
      <c r="AD22" s="13">
        <v>0.017813621601618</v>
      </c>
      <c r="AE22" s="13">
        <v>0.00665498962665853</v>
      </c>
      <c r="AF22" s="13">
        <v>0.0539030996380314</v>
      </c>
      <c r="AG22" s="13">
        <v>0.0743532252534528</v>
      </c>
      <c r="AH22" s="13">
        <v>0.157915337056313</v>
      </c>
    </row>
    <row r="23" spans="3:34">
      <c r="C23" s="13" t="s">
        <v>21</v>
      </c>
      <c r="D23" s="13">
        <v>0.00176445751484546</v>
      </c>
      <c r="E23" s="13">
        <v>0.00227834624577249</v>
      </c>
      <c r="F23" s="13">
        <v>0.0172759629151566</v>
      </c>
      <c r="G23" s="13">
        <v>0.0106522392584119</v>
      </c>
      <c r="H23" s="13">
        <v>0.0088780417691084</v>
      </c>
      <c r="I23" s="13">
        <v>0.0145068729869318</v>
      </c>
      <c r="J23" s="13">
        <v>0.0476442588110241</v>
      </c>
      <c r="K23" s="13">
        <v>0.0129314368483389</v>
      </c>
      <c r="L23" s="13">
        <v>0.00164285567364533</v>
      </c>
      <c r="M23" s="13">
        <v>0.00324603139066306</v>
      </c>
      <c r="N23" s="13">
        <v>0.00389692453510678</v>
      </c>
      <c r="O23" s="13">
        <v>0.00992641288312846</v>
      </c>
      <c r="P23" s="13">
        <v>0.00602956030757373</v>
      </c>
      <c r="Q23" s="13">
        <v>0.00962362657265157</v>
      </c>
      <c r="R23" s="13">
        <v>0.00943458068287363</v>
      </c>
      <c r="S23" s="13">
        <v>0.0128017643503962</v>
      </c>
      <c r="T23" s="13">
        <v>0.674141228230222</v>
      </c>
      <c r="U23" s="13">
        <v>0.0156753992015994</v>
      </c>
      <c r="V23" s="13">
        <v>0.00572541728061539</v>
      </c>
      <c r="W23" s="13">
        <v>0.00757974605710575</v>
      </c>
      <c r="X23" s="13">
        <v>0.0137043699912283</v>
      </c>
      <c r="Y23" s="13">
        <v>0</v>
      </c>
      <c r="Z23" s="13">
        <v>0.0100554757237131</v>
      </c>
      <c r="AA23" s="13">
        <v>0.00563485097830274</v>
      </c>
      <c r="AB23" s="13">
        <v>0.00633030511348123</v>
      </c>
      <c r="AC23" s="13">
        <v>0.00730010131538724</v>
      </c>
      <c r="AD23" s="13">
        <v>0.0339104063526424</v>
      </c>
      <c r="AE23" s="13">
        <v>0.00528112506961118</v>
      </c>
      <c r="AF23" s="13">
        <v>0.0114497097919906</v>
      </c>
      <c r="AG23" s="13">
        <v>0.0159865831062428</v>
      </c>
      <c r="AH23" s="13">
        <v>0.0146919090422291</v>
      </c>
    </row>
    <row r="24" spans="3:34">
      <c r="C24" s="13" t="s">
        <v>22</v>
      </c>
      <c r="D24" s="13">
        <v>0.000894081236703608</v>
      </c>
      <c r="E24" s="13">
        <v>0.00110637626112559</v>
      </c>
      <c r="F24" s="13">
        <v>0.0143303421544687</v>
      </c>
      <c r="G24" s="13">
        <v>0.10691027175503</v>
      </c>
      <c r="H24" s="13">
        <v>0.00280844987710529</v>
      </c>
      <c r="I24" s="13">
        <v>0.0035374044234818</v>
      </c>
      <c r="J24" s="13">
        <v>0.00759159634158578</v>
      </c>
      <c r="K24" s="13">
        <v>0.0269305095441107</v>
      </c>
      <c r="L24" s="13">
        <v>0.000841116767103042</v>
      </c>
      <c r="M24" s="13">
        <v>0.00146161389459859</v>
      </c>
      <c r="N24" s="13">
        <v>0.00167283793228932</v>
      </c>
      <c r="O24" s="13">
        <v>0.460650890123432</v>
      </c>
      <c r="P24" s="13">
        <v>0.00224514504782849</v>
      </c>
      <c r="Q24" s="13">
        <v>0.13347117725902</v>
      </c>
      <c r="R24" s="13">
        <v>0.00289928097325393</v>
      </c>
      <c r="S24" s="13">
        <v>0.0279192950868176</v>
      </c>
      <c r="T24" s="13">
        <v>0.00590134097962063</v>
      </c>
      <c r="U24" s="13">
        <v>0.0167058664865294</v>
      </c>
      <c r="V24" s="13">
        <v>0.00217298319576342</v>
      </c>
      <c r="W24" s="13">
        <v>0.0183371667206594</v>
      </c>
      <c r="X24" s="13">
        <v>0.0224946165620481</v>
      </c>
      <c r="Y24" s="13">
        <v>0.00598936525179533</v>
      </c>
      <c r="Z24" s="13">
        <v>0</v>
      </c>
      <c r="AA24" s="13">
        <v>0.0076344821359313</v>
      </c>
      <c r="AB24" s="13">
        <v>0.0101779256434074</v>
      </c>
      <c r="AC24" s="13">
        <v>0.0158682511606585</v>
      </c>
      <c r="AD24" s="13">
        <v>0.00851403899018139</v>
      </c>
      <c r="AE24" s="13">
        <v>0.00662510763744146</v>
      </c>
      <c r="AF24" s="13">
        <v>0.0491857827402049</v>
      </c>
      <c r="AG24" s="13">
        <v>0.0161436101517067</v>
      </c>
      <c r="AH24" s="13">
        <v>0.0189790736660978</v>
      </c>
    </row>
    <row r="25" spans="3:34">
      <c r="C25" s="13" t="s">
        <v>23</v>
      </c>
      <c r="D25" s="13">
        <v>0.00374323229095551</v>
      </c>
      <c r="E25" s="13">
        <v>0.00451954216852954</v>
      </c>
      <c r="F25" s="13">
        <v>0.0232956324261445</v>
      </c>
      <c r="G25" s="13">
        <v>0.0333265155740537</v>
      </c>
      <c r="H25" s="13">
        <v>0.00960262359025272</v>
      </c>
      <c r="I25" s="13">
        <v>0.0113058671013545</v>
      </c>
      <c r="J25" s="13">
        <v>0.0178028987814112</v>
      </c>
      <c r="K25" s="13">
        <v>0.0278197864966176</v>
      </c>
      <c r="L25" s="13">
        <v>0.00354349295005596</v>
      </c>
      <c r="M25" s="13">
        <v>0.00573750801093306</v>
      </c>
      <c r="N25" s="13">
        <v>0.0064176332888277</v>
      </c>
      <c r="O25" s="13">
        <v>0.0363081115622269</v>
      </c>
      <c r="P25" s="13">
        <v>0.00811427133660423</v>
      </c>
      <c r="Q25" s="13">
        <v>0.0378726649700544</v>
      </c>
      <c r="R25" s="13">
        <v>0.00982771235570288</v>
      </c>
      <c r="S25" s="13">
        <v>0.0280391200962931</v>
      </c>
      <c r="T25" s="13">
        <v>0.0155672434485928</v>
      </c>
      <c r="U25" s="13">
        <v>0.0245068724620346</v>
      </c>
      <c r="V25" s="13">
        <v>0.00791125284583837</v>
      </c>
      <c r="W25" s="13">
        <v>0.0611765787307746</v>
      </c>
      <c r="X25" s="13">
        <v>0.0266586487988227</v>
      </c>
      <c r="Y25" s="13">
        <v>0.0156973632117856</v>
      </c>
      <c r="Z25" s="13">
        <v>0.0357063681703126</v>
      </c>
      <c r="AA25" s="13">
        <v>0</v>
      </c>
      <c r="AB25" s="13">
        <v>0.14288375549343</v>
      </c>
      <c r="AC25" s="13">
        <v>0.0688138829811582</v>
      </c>
      <c r="AD25" s="13">
        <v>0.0188255883263654</v>
      </c>
      <c r="AE25" s="13">
        <v>0.234361510840979</v>
      </c>
      <c r="AF25" s="13">
        <v>0.0309087905713787</v>
      </c>
      <c r="AG25" s="13">
        <v>0.0242420493915954</v>
      </c>
      <c r="AH25" s="13">
        <v>0.0254634817269139</v>
      </c>
    </row>
    <row r="26" spans="3:34">
      <c r="C26" s="13" t="s">
        <v>24</v>
      </c>
      <c r="D26" s="13">
        <v>0.00357921619993558</v>
      </c>
      <c r="E26" s="13">
        <v>0.00434575712081261</v>
      </c>
      <c r="F26" s="13">
        <v>0.0259167918830135</v>
      </c>
      <c r="G26" s="13">
        <v>0.0404709698588043</v>
      </c>
      <c r="H26" s="13">
        <v>0.00958552753231785</v>
      </c>
      <c r="I26" s="13">
        <v>0.0114318297896004</v>
      </c>
      <c r="J26" s="13">
        <v>0.0189362797694247</v>
      </c>
      <c r="K26" s="13">
        <v>0.0321669014198942</v>
      </c>
      <c r="L26" s="13">
        <v>0.00338337187188019</v>
      </c>
      <c r="M26" s="13">
        <v>0.00556588413780708</v>
      </c>
      <c r="N26" s="13">
        <v>0.00625669280637512</v>
      </c>
      <c r="O26" s="13">
        <v>0.045325278546914</v>
      </c>
      <c r="P26" s="13">
        <v>0.0080103731227226</v>
      </c>
      <c r="Q26" s="13">
        <v>0.0479827885096088</v>
      </c>
      <c r="R26" s="13">
        <v>0.00982681134403131</v>
      </c>
      <c r="S26" s="13">
        <v>0.0324824256711984</v>
      </c>
      <c r="T26" s="13">
        <v>0.0162675357882264</v>
      </c>
      <c r="U26" s="13">
        <v>0.0275432875462256</v>
      </c>
      <c r="V26" s="13">
        <v>0.00779820683841235</v>
      </c>
      <c r="W26" s="13">
        <v>0.0996138594923384</v>
      </c>
      <c r="X26" s="13">
        <v>0.0305163765842261</v>
      </c>
      <c r="Y26" s="13">
        <v>0.0164202908203645</v>
      </c>
      <c r="Z26" s="13">
        <v>0.0443238318446323</v>
      </c>
      <c r="AA26" s="13">
        <v>0.133043844464882</v>
      </c>
      <c r="AB26" s="13">
        <v>0</v>
      </c>
      <c r="AC26" s="13">
        <v>0.123603068749079</v>
      </c>
      <c r="AD26" s="13">
        <v>0.0201891475784901</v>
      </c>
      <c r="AE26" s="13">
        <v>0.0826527439293094</v>
      </c>
      <c r="AF26" s="13">
        <v>0.0367244975538841</v>
      </c>
      <c r="AG26" s="13">
        <v>0.0271848370588759</v>
      </c>
      <c r="AH26" s="13">
        <v>0.0288515721667136</v>
      </c>
    </row>
    <row r="27" spans="3:34">
      <c r="C27" s="13" t="s">
        <v>25</v>
      </c>
      <c r="D27" s="13">
        <v>0.00244171285245275</v>
      </c>
      <c r="E27" s="13">
        <v>0.0029836965696183</v>
      </c>
      <c r="F27" s="13">
        <v>0.0217231050899925</v>
      </c>
      <c r="G27" s="13">
        <v>0.0398610822662156</v>
      </c>
      <c r="H27" s="13">
        <v>0.00688364662006564</v>
      </c>
      <c r="I27" s="13">
        <v>0.00834465627338287</v>
      </c>
      <c r="J27" s="13">
        <v>0.0148135783889253</v>
      </c>
      <c r="K27" s="13">
        <v>0.0288048377884298</v>
      </c>
      <c r="L27" s="13">
        <v>0.00230434937405767</v>
      </c>
      <c r="M27" s="13">
        <v>0.00386090876189459</v>
      </c>
      <c r="N27" s="13">
        <v>0.0043656545777892</v>
      </c>
      <c r="O27" s="13">
        <v>0.0474106756287478</v>
      </c>
      <c r="P27" s="13">
        <v>0.0056740946217466</v>
      </c>
      <c r="Q27" s="13">
        <v>0.0519542907343929</v>
      </c>
      <c r="R27" s="13">
        <v>0.00707188507211262</v>
      </c>
      <c r="S27" s="13">
        <v>0.0291881047889489</v>
      </c>
      <c r="T27" s="13">
        <v>0.0124094482784723</v>
      </c>
      <c r="U27" s="13">
        <v>0.0234773136737294</v>
      </c>
      <c r="V27" s="13">
        <v>0.00551368786469478</v>
      </c>
      <c r="W27" s="13">
        <v>0.339999324088457</v>
      </c>
      <c r="X27" s="13">
        <v>0.0268422914276988</v>
      </c>
      <c r="Y27" s="13">
        <v>0.0125438269900943</v>
      </c>
      <c r="Z27" s="13">
        <v>0.0457774984772353</v>
      </c>
      <c r="AA27" s="13">
        <v>0.0424456276709384</v>
      </c>
      <c r="AB27" s="13">
        <v>0.0818793185433756</v>
      </c>
      <c r="AC27" s="13">
        <v>0</v>
      </c>
      <c r="AD27" s="13">
        <v>0.0159850204593979</v>
      </c>
      <c r="AE27" s="13">
        <v>0.0328114406124618</v>
      </c>
      <c r="AF27" s="13">
        <v>0.0346112602013674</v>
      </c>
      <c r="AG27" s="13">
        <v>0.0230856332259373</v>
      </c>
      <c r="AH27" s="13">
        <v>0.0249320290773666</v>
      </c>
    </row>
    <row r="28" spans="3:34">
      <c r="C28" s="13" t="s">
        <v>26</v>
      </c>
      <c r="D28" s="13">
        <v>0.00316620352014763</v>
      </c>
      <c r="E28" s="13">
        <v>0.0040302877843321</v>
      </c>
      <c r="F28" s="13">
        <v>0.0664850400483662</v>
      </c>
      <c r="G28" s="13">
        <v>0.0293194198391902</v>
      </c>
      <c r="H28" s="13">
        <v>0.0132825235521098</v>
      </c>
      <c r="I28" s="13">
        <v>0.019180652311215</v>
      </c>
      <c r="J28" s="13">
        <v>0.222079332719608</v>
      </c>
      <c r="K28" s="13">
        <v>0.0394595908492163</v>
      </c>
      <c r="L28" s="13">
        <v>0.00295807992812258</v>
      </c>
      <c r="M28" s="13">
        <v>0.00559253345627077</v>
      </c>
      <c r="N28" s="13">
        <v>0.00659835874052871</v>
      </c>
      <c r="O28" s="13">
        <v>0.026494808473246</v>
      </c>
      <c r="P28" s="13">
        <v>0.00966424411518748</v>
      </c>
      <c r="Q28" s="13">
        <v>0.0253663963481374</v>
      </c>
      <c r="R28" s="13">
        <v>0.0139339315153716</v>
      </c>
      <c r="S28" s="13">
        <v>0.0388239286719625</v>
      </c>
      <c r="T28" s="13">
        <v>0.0609503079819349</v>
      </c>
      <c r="U28" s="13">
        <v>0.0550303934598311</v>
      </c>
      <c r="V28" s="13">
        <v>0.00924717770026025</v>
      </c>
      <c r="W28" s="13">
        <v>0.0184281972399363</v>
      </c>
      <c r="X28" s="13">
        <v>0.0434178077458822</v>
      </c>
      <c r="Y28" s="13">
        <v>0.0640162081589824</v>
      </c>
      <c r="Z28" s="13">
        <v>0.0269845021593217</v>
      </c>
      <c r="AA28" s="13">
        <v>0.0127573725218226</v>
      </c>
      <c r="AB28" s="13">
        <v>0.0146932792719078</v>
      </c>
      <c r="AC28" s="13">
        <v>0.0175617981354676</v>
      </c>
      <c r="AD28" s="13">
        <v>0</v>
      </c>
      <c r="AE28" s="13">
        <v>0.0118088050631655</v>
      </c>
      <c r="AF28" s="13">
        <v>0.032633315864659</v>
      </c>
      <c r="AG28" s="13">
        <v>0.0570972173632477</v>
      </c>
      <c r="AH28" s="13">
        <v>0.0489382854605683</v>
      </c>
    </row>
    <row r="29" spans="3:34">
      <c r="C29" s="13" t="s">
        <v>27</v>
      </c>
      <c r="D29" s="13">
        <v>0.00423403508343578</v>
      </c>
      <c r="E29" s="13">
        <v>0.00509551938912469</v>
      </c>
      <c r="F29" s="13">
        <v>0.024350508691912</v>
      </c>
      <c r="G29" s="13">
        <v>0.0335302416513871</v>
      </c>
      <c r="H29" s="13">
        <v>0.0106008244149313</v>
      </c>
      <c r="I29" s="13">
        <v>0.0123945883062167</v>
      </c>
      <c r="J29" s="13">
        <v>0.0190144011773418</v>
      </c>
      <c r="K29" s="13">
        <v>0.0285777350170613</v>
      </c>
      <c r="L29" s="13">
        <v>0.0040114715545831</v>
      </c>
      <c r="M29" s="13">
        <v>0.00643589040514975</v>
      </c>
      <c r="N29" s="13">
        <v>0.0071784677138686</v>
      </c>
      <c r="O29" s="13">
        <v>0.0361276626189594</v>
      </c>
      <c r="P29" s="13">
        <v>0.00901274072558134</v>
      </c>
      <c r="Q29" s="13">
        <v>0.0374678645533422</v>
      </c>
      <c r="R29" s="13">
        <v>0.0108393106682259</v>
      </c>
      <c r="S29" s="13">
        <v>0.0287789686615704</v>
      </c>
      <c r="T29" s="13">
        <v>0.0167753354393044</v>
      </c>
      <c r="U29" s="13">
        <v>0.0254967367314958</v>
      </c>
      <c r="V29" s="13">
        <v>0.00879460608329572</v>
      </c>
      <c r="W29" s="13">
        <v>0.0557503302609094</v>
      </c>
      <c r="X29" s="13">
        <v>0.0275067830924464</v>
      </c>
      <c r="Y29" s="13">
        <v>0.0169067509956148</v>
      </c>
      <c r="Z29" s="13">
        <v>0.035608072494048</v>
      </c>
      <c r="AA29" s="13">
        <v>0.269324412056655</v>
      </c>
      <c r="AB29" s="13">
        <v>0.102008128066483</v>
      </c>
      <c r="AC29" s="13">
        <v>0.0611304840461712</v>
      </c>
      <c r="AD29" s="13">
        <v>0.0200254694030355</v>
      </c>
      <c r="AE29" s="13">
        <v>0</v>
      </c>
      <c r="AF29" s="13">
        <v>0.0313811678265429</v>
      </c>
      <c r="AG29" s="13">
        <v>0.0252470449114003</v>
      </c>
      <c r="AH29" s="13">
        <v>0.0263944479599069</v>
      </c>
    </row>
    <row r="30" spans="3:34">
      <c r="C30" s="13" t="s">
        <v>28</v>
      </c>
      <c r="D30" s="13">
        <v>0.0015531094392336</v>
      </c>
      <c r="E30" s="13">
        <v>0.00193037345507505</v>
      </c>
      <c r="F30" s="13">
        <v>0.0344892355988536</v>
      </c>
      <c r="G30" s="13">
        <v>0.155366335400385</v>
      </c>
      <c r="H30" s="13">
        <v>0.005079938964987</v>
      </c>
      <c r="I30" s="13">
        <v>0.00650065243928986</v>
      </c>
      <c r="J30" s="13">
        <v>0.0153108062244628</v>
      </c>
      <c r="K30" s="13">
        <v>0.101510093243217</v>
      </c>
      <c r="L30" s="13">
        <v>0.00145950407681837</v>
      </c>
      <c r="M30" s="13">
        <v>0.00256916428030765</v>
      </c>
      <c r="N30" s="13">
        <v>0.00295351720600637</v>
      </c>
      <c r="O30" s="13">
        <v>0.0757946286118961</v>
      </c>
      <c r="P30" s="13">
        <v>0.00401229636716884</v>
      </c>
      <c r="Q30" s="13">
        <v>0.0612983594803185</v>
      </c>
      <c r="R30" s="13">
        <v>0.00525452584357678</v>
      </c>
      <c r="S30" s="13">
        <v>0.110130159078662</v>
      </c>
      <c r="T30" s="13">
        <v>0.0114371146334179</v>
      </c>
      <c r="U30" s="13">
        <v>0.043147107955065</v>
      </c>
      <c r="V30" s="13">
        <v>0.00387737530694089</v>
      </c>
      <c r="W30" s="13">
        <v>0.0227812953805238</v>
      </c>
      <c r="X30" s="13">
        <v>0.0706982447263285</v>
      </c>
      <c r="Y30" s="13">
        <v>0.0116313642029838</v>
      </c>
      <c r="Z30" s="13">
        <v>0.0838875645330234</v>
      </c>
      <c r="AA30" s="13">
        <v>0.0112712975599508</v>
      </c>
      <c r="AB30" s="13">
        <v>0.0143825481505692</v>
      </c>
      <c r="AC30" s="13">
        <v>0.0204622044698184</v>
      </c>
      <c r="AD30" s="13">
        <v>0.0175606435665819</v>
      </c>
      <c r="AE30" s="13">
        <v>0.00995798742348491</v>
      </c>
      <c r="AF30" s="13">
        <v>0</v>
      </c>
      <c r="AG30" s="13">
        <v>0.040985444730371</v>
      </c>
      <c r="AH30" s="13">
        <v>0.0527071076506815</v>
      </c>
    </row>
    <row r="31" spans="3:34">
      <c r="C31" s="13" t="s">
        <v>29</v>
      </c>
      <c r="D31" s="13">
        <v>0.000903834274642845</v>
      </c>
      <c r="E31" s="13">
        <v>0.00113423526828709</v>
      </c>
      <c r="F31" s="13">
        <v>0.121832404748065</v>
      </c>
      <c r="G31" s="13">
        <v>0.0181577204005761</v>
      </c>
      <c r="H31" s="13">
        <v>0.00324665910624761</v>
      </c>
      <c r="I31" s="13">
        <v>0.00432582132753867</v>
      </c>
      <c r="J31" s="13">
        <v>0.0136846271013404</v>
      </c>
      <c r="K31" s="13">
        <v>0.0384871892854809</v>
      </c>
      <c r="L31" s="13">
        <v>0.0008473490430197</v>
      </c>
      <c r="M31" s="13">
        <v>0.0015346728398897</v>
      </c>
      <c r="N31" s="13">
        <v>0.00178209320210493</v>
      </c>
      <c r="O31" s="13">
        <v>0.0148939170488433</v>
      </c>
      <c r="P31" s="13">
        <v>0.00249026644186862</v>
      </c>
      <c r="Q31" s="13">
        <v>0.0137524864137653</v>
      </c>
      <c r="R31" s="13">
        <v>0.00337464887777186</v>
      </c>
      <c r="S31" s="13">
        <v>0.0365499279222603</v>
      </c>
      <c r="T31" s="13">
        <v>0.00888224559061691</v>
      </c>
      <c r="U31" s="13">
        <v>0.458039468716439</v>
      </c>
      <c r="V31" s="13">
        <v>0.00239777664014664</v>
      </c>
      <c r="W31" s="13">
        <v>0.00819829317251174</v>
      </c>
      <c r="X31" s="13">
        <v>0.0546014651970152</v>
      </c>
      <c r="Y31" s="13">
        <v>0.00909287913646491</v>
      </c>
      <c r="Z31" s="13">
        <v>0.0154158775955904</v>
      </c>
      <c r="AA31" s="13">
        <v>0.00494960826501736</v>
      </c>
      <c r="AB31" s="13">
        <v>0.00596096128725567</v>
      </c>
      <c r="AC31" s="13">
        <v>0.00764163680336533</v>
      </c>
      <c r="AD31" s="13">
        <v>0.017202982990525</v>
      </c>
      <c r="AE31" s="13">
        <v>0.00448562142770666</v>
      </c>
      <c r="AF31" s="13">
        <v>0.022947704305323</v>
      </c>
      <c r="AG31" s="13">
        <v>0</v>
      </c>
      <c r="AH31" s="13">
        <v>0.10318562557032</v>
      </c>
    </row>
    <row r="32" spans="3:34">
      <c r="C32" s="13" t="s">
        <v>30</v>
      </c>
      <c r="D32" s="13">
        <v>0.00123187989973312</v>
      </c>
      <c r="E32" s="13">
        <v>0.00154249038549207</v>
      </c>
      <c r="F32" s="13">
        <v>0.0768124849559847</v>
      </c>
      <c r="G32" s="13">
        <v>0.0302960607087906</v>
      </c>
      <c r="H32" s="13">
        <v>0.0043276250251809</v>
      </c>
      <c r="I32" s="13">
        <v>0.00570821323705662</v>
      </c>
      <c r="J32" s="13">
        <v>0.0166117467718478</v>
      </c>
      <c r="K32" s="13">
        <v>0.0843934476465124</v>
      </c>
      <c r="L32" s="13">
        <v>0.00115552047258609</v>
      </c>
      <c r="M32" s="13">
        <v>0.00207908025326728</v>
      </c>
      <c r="N32" s="13">
        <v>0.00240857942502456</v>
      </c>
      <c r="O32" s="13">
        <v>0.0239317979388541</v>
      </c>
      <c r="P32" s="13">
        <v>0.00334315268184754</v>
      </c>
      <c r="Q32" s="13">
        <v>0.0218156956957896</v>
      </c>
      <c r="R32" s="13">
        <v>0.00449282579531031</v>
      </c>
      <c r="S32" s="13">
        <v>0.0778154607691685</v>
      </c>
      <c r="T32" s="13">
        <v>0.011244184740905</v>
      </c>
      <c r="U32" s="13">
        <v>0.183121655820705</v>
      </c>
      <c r="V32" s="13">
        <v>0.00322180603143138</v>
      </c>
      <c r="W32" s="13">
        <v>0.01224458501745</v>
      </c>
      <c r="X32" s="13">
        <v>0.159439495938657</v>
      </c>
      <c r="Y32" s="13">
        <v>0.0114892350842894</v>
      </c>
      <c r="Z32" s="13">
        <v>0.024917801365271</v>
      </c>
      <c r="AA32" s="13">
        <v>0.00714803053019102</v>
      </c>
      <c r="AB32" s="13">
        <v>0.00869813545628637</v>
      </c>
      <c r="AC32" s="13">
        <v>0.0113466939686551</v>
      </c>
      <c r="AD32" s="13">
        <v>0.0202723773922837</v>
      </c>
      <c r="AE32" s="13">
        <v>0.00644750613879175</v>
      </c>
      <c r="AF32" s="13">
        <v>0.0405738195878601</v>
      </c>
      <c r="AG32" s="13">
        <v>0.141868611264778</v>
      </c>
      <c r="AH32" s="13">
        <v>0</v>
      </c>
    </row>
    <row r="38" spans="2:34">
      <c r="B38" s="16" t="s">
        <v>48</v>
      </c>
      <c r="C38" s="13" t="s">
        <v>38</v>
      </c>
      <c r="D38" s="13" t="s">
        <v>0</v>
      </c>
      <c r="E38" s="13" t="s">
        <v>1</v>
      </c>
      <c r="F38" s="13" t="s">
        <v>2</v>
      </c>
      <c r="G38" s="13" t="s">
        <v>3</v>
      </c>
      <c r="H38" s="13" t="s">
        <v>4</v>
      </c>
      <c r="I38" s="13" t="s">
        <v>5</v>
      </c>
      <c r="J38" s="13" t="s">
        <v>6</v>
      </c>
      <c r="K38" s="13" t="s">
        <v>7</v>
      </c>
      <c r="L38" s="13" t="s">
        <v>8</v>
      </c>
      <c r="M38" s="13" t="s">
        <v>9</v>
      </c>
      <c r="N38" s="13" t="s">
        <v>10</v>
      </c>
      <c r="O38" s="13" t="s">
        <v>11</v>
      </c>
      <c r="P38" s="13" t="s">
        <v>12</v>
      </c>
      <c r="Q38" s="13" t="s">
        <v>13</v>
      </c>
      <c r="R38" s="13" t="s">
        <v>14</v>
      </c>
      <c r="S38" s="13" t="s">
        <v>15</v>
      </c>
      <c r="T38" s="13" t="s">
        <v>16</v>
      </c>
      <c r="U38" s="13" t="s">
        <v>17</v>
      </c>
      <c r="V38" s="13" t="s">
        <v>18</v>
      </c>
      <c r="W38" s="13" t="s">
        <v>19</v>
      </c>
      <c r="X38" s="13" t="s">
        <v>20</v>
      </c>
      <c r="Y38" s="13" t="s">
        <v>21</v>
      </c>
      <c r="Z38" s="13" t="s">
        <v>22</v>
      </c>
      <c r="AA38" s="13" t="s">
        <v>23</v>
      </c>
      <c r="AB38" s="13" t="s">
        <v>24</v>
      </c>
      <c r="AC38" s="13" t="s">
        <v>25</v>
      </c>
      <c r="AD38" s="13" t="s">
        <v>26</v>
      </c>
      <c r="AE38" s="13" t="s">
        <v>27</v>
      </c>
      <c r="AF38" s="13" t="s">
        <v>28</v>
      </c>
      <c r="AG38" s="13" t="s">
        <v>29</v>
      </c>
      <c r="AH38" s="13" t="s">
        <v>30</v>
      </c>
    </row>
    <row r="39" spans="3:34">
      <c r="C39" s="13" t="s">
        <v>0</v>
      </c>
      <c r="D39" s="13">
        <v>0</v>
      </c>
      <c r="E39" s="13">
        <v>0.240156462088104</v>
      </c>
      <c r="F39" s="13">
        <v>0.0963511992175787</v>
      </c>
      <c r="G39" s="13">
        <v>0.0566454358874996</v>
      </c>
      <c r="H39" s="13">
        <v>0.0543461898782626</v>
      </c>
      <c r="I39" s="13">
        <v>0.0365806314213206</v>
      </c>
      <c r="J39" s="13">
        <v>0.0266050939932564</v>
      </c>
      <c r="K39" s="13">
        <v>0.0218312576697995</v>
      </c>
      <c r="L39" s="13">
        <v>0.022142587914109</v>
      </c>
      <c r="M39" s="13">
        <v>0.0268063172395087</v>
      </c>
      <c r="N39" s="13">
        <v>0.0209207294836517</v>
      </c>
      <c r="O39" s="13">
        <v>0.0256975372458575</v>
      </c>
      <c r="P39" s="13">
        <v>0.0151043539909824</v>
      </c>
      <c r="Q39" s="13">
        <v>0.018564259773474</v>
      </c>
      <c r="R39" s="13">
        <v>0.0646395675378625</v>
      </c>
      <c r="S39" s="13">
        <v>0.0371999679651773</v>
      </c>
      <c r="T39" s="13">
        <v>0.0221567997426469</v>
      </c>
      <c r="U39" s="13">
        <v>0.0175315859179408</v>
      </c>
      <c r="V39" s="13">
        <v>0.0124268939028078</v>
      </c>
      <c r="W39" s="13">
        <v>0.011269818364198</v>
      </c>
      <c r="X39" s="13">
        <v>0.0102564241166949</v>
      </c>
      <c r="Y39" s="13">
        <v>0.0162559950931482</v>
      </c>
      <c r="Z39" s="13">
        <v>0.0153209407813158</v>
      </c>
      <c r="AA39" s="13">
        <v>0.0133394572455802</v>
      </c>
      <c r="AB39" s="13">
        <v>0.0111551570235627</v>
      </c>
      <c r="AC39" s="13">
        <v>0.00902561682238135</v>
      </c>
      <c r="AD39" s="13">
        <v>0.0254141650840092</v>
      </c>
      <c r="AE39" s="13">
        <v>0.0194747165741737</v>
      </c>
      <c r="AF39" s="13">
        <v>0.0172075887769746</v>
      </c>
      <c r="AG39" s="13">
        <v>0.0260939093165957</v>
      </c>
      <c r="AH39" s="13">
        <v>0.00947933993152551</v>
      </c>
    </row>
    <row r="40" spans="3:34">
      <c r="C40" s="13" t="s">
        <v>1</v>
      </c>
      <c r="D40" s="13">
        <v>0.24029280598076</v>
      </c>
      <c r="E40" s="13">
        <v>0</v>
      </c>
      <c r="F40" s="13">
        <v>0.0856150678283382</v>
      </c>
      <c r="G40" s="13">
        <v>0.0513286596068714</v>
      </c>
      <c r="H40" s="13">
        <v>0.044834512708915</v>
      </c>
      <c r="I40" s="13">
        <v>0.03924594135136</v>
      </c>
      <c r="J40" s="13">
        <v>0.0274393149543346</v>
      </c>
      <c r="K40" s="13">
        <v>0.0221305882177354</v>
      </c>
      <c r="L40" s="13">
        <v>0.024157634758574</v>
      </c>
      <c r="M40" s="13">
        <v>0.0293144986888146</v>
      </c>
      <c r="N40" s="13">
        <v>0.02256146417468</v>
      </c>
      <c r="O40" s="13">
        <v>0.0276501944566679</v>
      </c>
      <c r="P40" s="13">
        <v>0.0158490587726979</v>
      </c>
      <c r="Q40" s="13">
        <v>0.0193822268842015</v>
      </c>
      <c r="R40" s="13">
        <v>0.0791006038389539</v>
      </c>
      <c r="S40" s="13">
        <v>0.0380742911029627</v>
      </c>
      <c r="T40" s="13">
        <v>0.0230385546146214</v>
      </c>
      <c r="U40" s="13">
        <v>0.017985180174204</v>
      </c>
      <c r="V40" s="13">
        <v>0.0127259875868926</v>
      </c>
      <c r="W40" s="13">
        <v>0.0113884458917393</v>
      </c>
      <c r="X40" s="13">
        <v>0.010413403444682</v>
      </c>
      <c r="Y40" s="13">
        <v>0.0161531672224467</v>
      </c>
      <c r="Z40" s="13">
        <v>0.0150758256906332</v>
      </c>
      <c r="AA40" s="13">
        <v>0.0133634440388486</v>
      </c>
      <c r="AB40" s="13">
        <v>0.0111035578461828</v>
      </c>
      <c r="AC40" s="13">
        <v>0.00884126140988508</v>
      </c>
      <c r="AD40" s="13">
        <v>0.0246918010319926</v>
      </c>
      <c r="AE40" s="13">
        <v>0.0185414017177457</v>
      </c>
      <c r="AF40" s="13">
        <v>0.016411668204136</v>
      </c>
      <c r="AG40" s="13">
        <v>0.0241486435683849</v>
      </c>
      <c r="AH40" s="13">
        <v>0.00914079423173812</v>
      </c>
    </row>
    <row r="41" spans="3:34">
      <c r="C41" s="13" t="s">
        <v>2</v>
      </c>
      <c r="D41" s="13">
        <v>0.0967422069590014</v>
      </c>
      <c r="E41" s="13">
        <v>0.0859137309705475</v>
      </c>
      <c r="F41" s="13">
        <v>0</v>
      </c>
      <c r="G41" s="13">
        <v>0.127725747688147</v>
      </c>
      <c r="H41" s="13">
        <v>0.0625820900489652</v>
      </c>
      <c r="I41" s="13">
        <v>0.0270382309805938</v>
      </c>
      <c r="J41" s="13">
        <v>0.0209988733676981</v>
      </c>
      <c r="K41" s="13">
        <v>0.0178746416133259</v>
      </c>
      <c r="L41" s="13">
        <v>0.0232164941793655</v>
      </c>
      <c r="M41" s="13">
        <v>0.0302083013751399</v>
      </c>
      <c r="N41" s="13">
        <v>0.0226039665294554</v>
      </c>
      <c r="O41" s="13">
        <v>0.0301020201607865</v>
      </c>
      <c r="P41" s="13">
        <v>0.016438826867393</v>
      </c>
      <c r="Q41" s="13">
        <v>0.0215062873155961</v>
      </c>
      <c r="R41" s="13">
        <v>0.0773022466919738</v>
      </c>
      <c r="S41" s="13">
        <v>0.0572782913250832</v>
      </c>
      <c r="T41" s="13">
        <v>0.0271294096041094</v>
      </c>
      <c r="U41" s="13">
        <v>0.020804909117071</v>
      </c>
      <c r="V41" s="13">
        <v>0.0138985718864068</v>
      </c>
      <c r="W41" s="13">
        <v>0.0126883508303927</v>
      </c>
      <c r="X41" s="13">
        <v>0.0113420088091302</v>
      </c>
      <c r="Y41" s="13">
        <v>0.0196247935967943</v>
      </c>
      <c r="Z41" s="13">
        <v>0.0182699468528743</v>
      </c>
      <c r="AA41" s="13">
        <v>0.0154977993224455</v>
      </c>
      <c r="AB41" s="13">
        <v>0.0126651880847665</v>
      </c>
      <c r="AC41" s="13">
        <v>0.00988371846807163</v>
      </c>
      <c r="AD41" s="13">
        <v>0.0345721412464005</v>
      </c>
      <c r="AE41" s="13">
        <v>0.0235600617291481</v>
      </c>
      <c r="AF41" s="13">
        <v>0.0201382440954222</v>
      </c>
      <c r="AG41" s="13">
        <v>0.0324931641611222</v>
      </c>
      <c r="AH41" s="13">
        <v>0.00989973612277222</v>
      </c>
    </row>
    <row r="42" spans="3:34">
      <c r="C42" s="13" t="s">
        <v>3</v>
      </c>
      <c r="D42" s="13">
        <v>0.060302281063527</v>
      </c>
      <c r="E42" s="13">
        <v>0.0546112665685105</v>
      </c>
      <c r="F42" s="13">
        <v>0.135421744773214</v>
      </c>
      <c r="G42" s="13">
        <v>0</v>
      </c>
      <c r="H42" s="13">
        <v>0.0729248367934471</v>
      </c>
      <c r="I42" s="13">
        <v>0.0237468067555774</v>
      </c>
      <c r="J42" s="13">
        <v>0.019272985391714</v>
      </c>
      <c r="K42" s="13">
        <v>0.0168223320292933</v>
      </c>
      <c r="L42" s="13">
        <v>0.022575362318761</v>
      </c>
      <c r="M42" s="13">
        <v>0.0295767868514937</v>
      </c>
      <c r="N42" s="13">
        <v>0.022525041622986</v>
      </c>
      <c r="O42" s="13">
        <v>0.0305679343566012</v>
      </c>
      <c r="P42" s="13">
        <v>0.0171426862207466</v>
      </c>
      <c r="Q42" s="13">
        <v>0.023154804602063</v>
      </c>
      <c r="R42" s="13">
        <v>0.0565624706259947</v>
      </c>
      <c r="S42" s="13">
        <v>0.0689665457289304</v>
      </c>
      <c r="T42" s="13">
        <v>0.0300203580951029</v>
      </c>
      <c r="U42" s="13">
        <v>0.0234164528316764</v>
      </c>
      <c r="V42" s="13">
        <v>0.0152411635857782</v>
      </c>
      <c r="W42" s="13">
        <v>0.0142570683331289</v>
      </c>
      <c r="X42" s="13">
        <v>0.0125238770751722</v>
      </c>
      <c r="Y42" s="13">
        <v>0.0237392026298201</v>
      </c>
      <c r="Z42" s="13">
        <v>0.0222794739739028</v>
      </c>
      <c r="AA42" s="13">
        <v>0.0180041727909763</v>
      </c>
      <c r="AB42" s="13">
        <v>0.0146343032894137</v>
      </c>
      <c r="AC42" s="13">
        <v>0.0113581015006648</v>
      </c>
      <c r="AD42" s="13">
        <v>0.0485707479434432</v>
      </c>
      <c r="AE42" s="13">
        <v>0.0305686836735205</v>
      </c>
      <c r="AF42" s="13">
        <v>0.0252394123811014</v>
      </c>
      <c r="AG42" s="13">
        <v>0.0448297637795784</v>
      </c>
      <c r="AH42" s="13">
        <v>0.0111433324138607</v>
      </c>
    </row>
    <row r="43" spans="3:34">
      <c r="C43" s="13" t="s">
        <v>4</v>
      </c>
      <c r="D43" s="13">
        <v>0.0732517907464061</v>
      </c>
      <c r="E43" s="13">
        <v>0.0603969637380086</v>
      </c>
      <c r="F43" s="13">
        <v>0.0840118099419486</v>
      </c>
      <c r="G43" s="13">
        <v>0.0923327546794686</v>
      </c>
      <c r="H43" s="13">
        <v>0</v>
      </c>
      <c r="I43" s="13">
        <v>0.0310850152110541</v>
      </c>
      <c r="J43" s="13">
        <v>0.0261777241833625</v>
      </c>
      <c r="K43" s="13">
        <v>0.0233030295740665</v>
      </c>
      <c r="L43" s="13">
        <v>0.0227332245094248</v>
      </c>
      <c r="M43" s="13">
        <v>0.0274525757828137</v>
      </c>
      <c r="N43" s="13">
        <v>0.0223380341517394</v>
      </c>
      <c r="O43" s="13">
        <v>0.0276778921022183</v>
      </c>
      <c r="P43" s="13">
        <v>0.0176719460047943</v>
      </c>
      <c r="Q43" s="13">
        <v>0.0222617054672395</v>
      </c>
      <c r="R43" s="13">
        <v>0.0466983766959816</v>
      </c>
      <c r="S43" s="13">
        <v>0.0448903746893529</v>
      </c>
      <c r="T43" s="13">
        <v>0.0269262536181233</v>
      </c>
      <c r="U43" s="13">
        <v>0.0225328482673228</v>
      </c>
      <c r="V43" s="13">
        <v>0.0159992351161038</v>
      </c>
      <c r="W43" s="13">
        <v>0.0153457115445571</v>
      </c>
      <c r="X43" s="13">
        <v>0.0136366946138447</v>
      </c>
      <c r="Y43" s="13">
        <v>0.0240999371225559</v>
      </c>
      <c r="Z43" s="13">
        <v>0.0238320194122851</v>
      </c>
      <c r="AA43" s="13">
        <v>0.0189731784191589</v>
      </c>
      <c r="AB43" s="13">
        <v>0.0162724282581094</v>
      </c>
      <c r="AC43" s="13">
        <v>0.0140276258545789</v>
      </c>
      <c r="AD43" s="13">
        <v>0.0416904086954204</v>
      </c>
      <c r="AE43" s="13">
        <v>0.0366461105053588</v>
      </c>
      <c r="AF43" s="13">
        <v>0.0317977090643488</v>
      </c>
      <c r="AG43" s="13">
        <v>0.0604699286251084</v>
      </c>
      <c r="AH43" s="13">
        <v>0.0154666934052439</v>
      </c>
    </row>
    <row r="44" spans="3:34">
      <c r="C44" s="13" t="s">
        <v>5</v>
      </c>
      <c r="D44" s="13">
        <v>0.0612270976699631</v>
      </c>
      <c r="E44" s="13">
        <v>0.065650907581259</v>
      </c>
      <c r="F44" s="13">
        <v>0.0450725244660529</v>
      </c>
      <c r="G44" s="13">
        <v>0.0373360935596819</v>
      </c>
      <c r="H44" s="13">
        <v>0.0386006320156071</v>
      </c>
      <c r="I44" s="13">
        <v>0</v>
      </c>
      <c r="J44" s="13">
        <v>0.138343693736974</v>
      </c>
      <c r="K44" s="13">
        <v>0.0761201834030579</v>
      </c>
      <c r="L44" s="13">
        <v>0.0331679377027292</v>
      </c>
      <c r="M44" s="13">
        <v>0.0340270155886451</v>
      </c>
      <c r="N44" s="13">
        <v>0.0298999926549063</v>
      </c>
      <c r="O44" s="13">
        <v>0.0312894401087485</v>
      </c>
      <c r="P44" s="13">
        <v>0.0219680140998747</v>
      </c>
      <c r="Q44" s="13">
        <v>0.0239113950937305</v>
      </c>
      <c r="R44" s="13">
        <v>0.0493652831560496</v>
      </c>
      <c r="S44" s="13">
        <v>0.0331808635121558</v>
      </c>
      <c r="T44" s="13">
        <v>0.0260399661063433</v>
      </c>
      <c r="U44" s="13">
        <v>0.0217588045691929</v>
      </c>
      <c r="V44" s="13">
        <v>0.0171287591041964</v>
      </c>
      <c r="W44" s="13">
        <v>0.0152032805490995</v>
      </c>
      <c r="X44" s="13">
        <v>0.0143659674616342</v>
      </c>
      <c r="Y44" s="13">
        <v>0.0192681925358578</v>
      </c>
      <c r="Z44" s="13">
        <v>0.018234755104678</v>
      </c>
      <c r="AA44" s="13">
        <v>0.0169099466865936</v>
      </c>
      <c r="AB44" s="13">
        <v>0.014557839734055</v>
      </c>
      <c r="AC44" s="13">
        <v>0.0121211128701423</v>
      </c>
      <c r="AD44" s="13">
        <v>0.0253613356926992</v>
      </c>
      <c r="AE44" s="13">
        <v>0.0213068836089278</v>
      </c>
      <c r="AF44" s="13">
        <v>0.0196750818806435</v>
      </c>
      <c r="AG44" s="13">
        <v>0.0257385521018672</v>
      </c>
      <c r="AH44" s="13">
        <v>0.0131684476446339</v>
      </c>
    </row>
    <row r="45" spans="3:34">
      <c r="C45" s="13" t="s">
        <v>6</v>
      </c>
      <c r="D45" s="13">
        <v>0.0468020736181678</v>
      </c>
      <c r="E45" s="13">
        <v>0.0482421962064506</v>
      </c>
      <c r="F45" s="13">
        <v>0.036790647064178</v>
      </c>
      <c r="G45" s="13">
        <v>0.0318478759168005</v>
      </c>
      <c r="H45" s="13">
        <v>0.0341651271272015</v>
      </c>
      <c r="I45" s="13">
        <v>0.145400931652414</v>
      </c>
      <c r="J45" s="13">
        <v>0</v>
      </c>
      <c r="K45" s="13">
        <v>0.17569678566062</v>
      </c>
      <c r="L45" s="13">
        <v>0.0285342847382434</v>
      </c>
      <c r="M45" s="13">
        <v>0.0287802870334648</v>
      </c>
      <c r="N45" s="13">
        <v>0.0260825102803024</v>
      </c>
      <c r="O45" s="13">
        <v>0.0268427657517564</v>
      </c>
      <c r="P45" s="13">
        <v>0.0200772370845547</v>
      </c>
      <c r="Q45" s="13">
        <v>0.0214426917482592</v>
      </c>
      <c r="R45" s="13">
        <v>0.0383920310581129</v>
      </c>
      <c r="S45" s="13">
        <v>0.0283192125100876</v>
      </c>
      <c r="T45" s="13">
        <v>0.0230350112343099</v>
      </c>
      <c r="U45" s="13">
        <v>0.0197626906229885</v>
      </c>
      <c r="V45" s="13">
        <v>0.0160287273201481</v>
      </c>
      <c r="W45" s="13">
        <v>0.0144000694845056</v>
      </c>
      <c r="X45" s="13">
        <v>0.0136798885617343</v>
      </c>
      <c r="Y45" s="13">
        <v>0.0178906166937963</v>
      </c>
      <c r="Z45" s="13">
        <v>0.017118772450995</v>
      </c>
      <c r="AA45" s="13">
        <v>0.0158805784259287</v>
      </c>
      <c r="AB45" s="13">
        <v>0.0139079377407604</v>
      </c>
      <c r="AC45" s="13">
        <v>0.0119365782707987</v>
      </c>
      <c r="AD45" s="13">
        <v>0.0228888616132645</v>
      </c>
      <c r="AE45" s="13">
        <v>0.0200349688877323</v>
      </c>
      <c r="AF45" s="13">
        <v>0.0187469925241727</v>
      </c>
      <c r="AG45" s="13">
        <v>0.0238682818417418</v>
      </c>
      <c r="AH45" s="13">
        <v>0.0134033668765087</v>
      </c>
    </row>
    <row r="46" spans="3:34">
      <c r="C46" s="13" t="s">
        <v>7</v>
      </c>
      <c r="D46" s="13">
        <v>0.0449777843855023</v>
      </c>
      <c r="E46" s="13">
        <v>0.045568608625789</v>
      </c>
      <c r="F46" s="13">
        <v>0.0366773356196174</v>
      </c>
      <c r="G46" s="13">
        <v>0.0325564232341723</v>
      </c>
      <c r="H46" s="13">
        <v>0.0356190674298275</v>
      </c>
      <c r="I46" s="13">
        <v>0.0936972086730123</v>
      </c>
      <c r="J46" s="13">
        <v>0.205770361735771</v>
      </c>
      <c r="K46" s="13">
        <v>0</v>
      </c>
      <c r="L46" s="13">
        <v>0.0287835175595135</v>
      </c>
      <c r="M46" s="13">
        <v>0.0289693688647957</v>
      </c>
      <c r="N46" s="13">
        <v>0.0266089062354727</v>
      </c>
      <c r="O46" s="13">
        <v>0.0272952180423033</v>
      </c>
      <c r="P46" s="13">
        <v>0.0211121774465937</v>
      </c>
      <c r="Q46" s="13">
        <v>0.0223974336007623</v>
      </c>
      <c r="R46" s="13">
        <v>0.0372572230755129</v>
      </c>
      <c r="S46" s="13">
        <v>0.0289105603314771</v>
      </c>
      <c r="T46" s="13">
        <v>0.0239230477742643</v>
      </c>
      <c r="U46" s="13">
        <v>0.0208629229948054</v>
      </c>
      <c r="V46" s="13">
        <v>0.0172113660443463</v>
      </c>
      <c r="W46" s="13">
        <v>0.0156293355249419</v>
      </c>
      <c r="X46" s="13">
        <v>0.0148778580344218</v>
      </c>
      <c r="Y46" s="13">
        <v>0.0192302276896547</v>
      </c>
      <c r="Z46" s="13">
        <v>0.0185535810668303</v>
      </c>
      <c r="AA46" s="13">
        <v>0.0171742300467239</v>
      </c>
      <c r="AB46" s="13">
        <v>0.015226829852932</v>
      </c>
      <c r="AC46" s="13">
        <v>0.0133863409281688</v>
      </c>
      <c r="AD46" s="13">
        <v>0.0242013257157101</v>
      </c>
      <c r="AE46" s="13">
        <v>0.0217844822272536</v>
      </c>
      <c r="AF46" s="13">
        <v>0.0205725059371946</v>
      </c>
      <c r="AG46" s="13">
        <v>0.0257158382388679</v>
      </c>
      <c r="AH46" s="13">
        <v>0.0154489130637619</v>
      </c>
    </row>
    <row r="47" spans="3:34">
      <c r="C47" s="13" t="s">
        <v>8</v>
      </c>
      <c r="D47" s="13">
        <v>0.0271739729867847</v>
      </c>
      <c r="E47" s="13">
        <v>0.0296300702211411</v>
      </c>
      <c r="F47" s="13">
        <v>0.0283767422141025</v>
      </c>
      <c r="G47" s="13">
        <v>0.0260249961130913</v>
      </c>
      <c r="H47" s="13">
        <v>0.0206983944169872</v>
      </c>
      <c r="I47" s="13">
        <v>0.0243192823588093</v>
      </c>
      <c r="J47" s="13">
        <v>0.0199063416956439</v>
      </c>
      <c r="K47" s="13">
        <v>0.017145467283549</v>
      </c>
      <c r="L47" s="13">
        <v>0</v>
      </c>
      <c r="M47" s="13">
        <v>0.0989832038069089</v>
      </c>
      <c r="N47" s="13">
        <v>0.179480779563875</v>
      </c>
      <c r="O47" s="13">
        <v>0.0718627254550394</v>
      </c>
      <c r="P47" s="13">
        <v>0.0469616976355655</v>
      </c>
      <c r="Q47" s="13">
        <v>0.0447426185443915</v>
      </c>
      <c r="R47" s="13">
        <v>0.04003644502513</v>
      </c>
      <c r="S47" s="13">
        <v>0.0343104143145382</v>
      </c>
      <c r="T47" s="13">
        <v>0.0412318273663139</v>
      </c>
      <c r="U47" s="13">
        <v>0.0312485263392561</v>
      </c>
      <c r="V47" s="13">
        <v>0.0234733493880168</v>
      </c>
      <c r="W47" s="13">
        <v>0.0175060044175522</v>
      </c>
      <c r="X47" s="13">
        <v>0.0170282639438743</v>
      </c>
      <c r="Y47" s="13">
        <v>0.0198546991336072</v>
      </c>
      <c r="Z47" s="13">
        <v>0.0171570845928345</v>
      </c>
      <c r="AA47" s="13">
        <v>0.0183322509619579</v>
      </c>
      <c r="AB47" s="13">
        <v>0.0143703346584998</v>
      </c>
      <c r="AC47" s="13">
        <v>0.00976425444692152</v>
      </c>
      <c r="AD47" s="13">
        <v>0.0228719390567276</v>
      </c>
      <c r="AE47" s="13">
        <v>0.0163330177879208</v>
      </c>
      <c r="AF47" s="13">
        <v>0.0147489276098959</v>
      </c>
      <c r="AG47" s="13">
        <v>0.0177751601586034</v>
      </c>
      <c r="AH47" s="13">
        <v>0.00865120850246041</v>
      </c>
    </row>
    <row r="48" spans="3:34">
      <c r="C48" s="13" t="s">
        <v>9</v>
      </c>
      <c r="D48" s="13">
        <v>0.0272089885987052</v>
      </c>
      <c r="E48" s="13">
        <v>0.0297379636031372</v>
      </c>
      <c r="F48" s="13">
        <v>0.0305381472515961</v>
      </c>
      <c r="G48" s="13">
        <v>0.028200539690147</v>
      </c>
      <c r="H48" s="13">
        <v>0.0206732711331803</v>
      </c>
      <c r="I48" s="13">
        <v>0.0206351024858997</v>
      </c>
      <c r="J48" s="13">
        <v>0.0166061925333846</v>
      </c>
      <c r="K48" s="13">
        <v>0.0142723332194143</v>
      </c>
      <c r="L48" s="13">
        <v>0.0818675871184841</v>
      </c>
      <c r="M48" s="13">
        <v>0</v>
      </c>
      <c r="N48" s="13">
        <v>0.0899606274231697</v>
      </c>
      <c r="O48" s="13">
        <v>0.173945366355593</v>
      </c>
      <c r="P48" s="13">
        <v>0.0349868388215296</v>
      </c>
      <c r="Q48" s="13">
        <v>0.0476457605940671</v>
      </c>
      <c r="R48" s="13">
        <v>0.0464043774469419</v>
      </c>
      <c r="S48" s="13">
        <v>0.043119268932783</v>
      </c>
      <c r="T48" s="13">
        <v>0.0521285923435807</v>
      </c>
      <c r="U48" s="13">
        <v>0.0328287134316718</v>
      </c>
      <c r="V48" s="13">
        <v>0.020803498841659</v>
      </c>
      <c r="W48" s="13">
        <v>0.0159411096581764</v>
      </c>
      <c r="X48" s="13">
        <v>0.0149143130864686</v>
      </c>
      <c r="Y48" s="13">
        <v>0.0200010594343477</v>
      </c>
      <c r="Z48" s="13">
        <v>0.016924692008128</v>
      </c>
      <c r="AA48" s="13">
        <v>0.0176250757648318</v>
      </c>
      <c r="AB48" s="13">
        <v>0.0133948460854407</v>
      </c>
      <c r="AC48" s="13">
        <v>0.00891306131309094</v>
      </c>
      <c r="AD48" s="13">
        <v>0.0245969013865427</v>
      </c>
      <c r="AE48" s="13">
        <v>0.0161757699932744</v>
      </c>
      <c r="AF48" s="13">
        <v>0.0143326989558549</v>
      </c>
      <c r="AG48" s="13">
        <v>0.017798769600806</v>
      </c>
      <c r="AH48" s="13">
        <v>0.00781853288809297</v>
      </c>
    </row>
    <row r="49" spans="3:34">
      <c r="C49" s="13" t="s">
        <v>10</v>
      </c>
      <c r="D49" s="13">
        <v>0.0239108459774761</v>
      </c>
      <c r="E49" s="13">
        <v>0.0257714531268594</v>
      </c>
      <c r="F49" s="13">
        <v>0.0257302441633465</v>
      </c>
      <c r="G49" s="13">
        <v>0.0241832632090548</v>
      </c>
      <c r="H49" s="13">
        <v>0.0189414806372815</v>
      </c>
      <c r="I49" s="13">
        <v>0.0204172254399745</v>
      </c>
      <c r="J49" s="13">
        <v>0.0169460002119762</v>
      </c>
      <c r="K49" s="13">
        <v>0.0147613418726375</v>
      </c>
      <c r="L49" s="13">
        <v>0.167151894637174</v>
      </c>
      <c r="M49" s="13">
        <v>0.101296711840855</v>
      </c>
      <c r="N49" s="13">
        <v>0</v>
      </c>
      <c r="O49" s="13">
        <v>0.0828380929802638</v>
      </c>
      <c r="P49" s="13">
        <v>0.0565453961669535</v>
      </c>
      <c r="Q49" s="13">
        <v>0.0545700123999654</v>
      </c>
      <c r="R49" s="13">
        <v>0.0350649313883173</v>
      </c>
      <c r="S49" s="13">
        <v>0.0333304420758913</v>
      </c>
      <c r="T49" s="13">
        <v>0.0462194603510822</v>
      </c>
      <c r="U49" s="13">
        <v>0.034492751961583</v>
      </c>
      <c r="V49" s="13">
        <v>0.0251456003374654</v>
      </c>
      <c r="W49" s="13">
        <v>0.0180325926294076</v>
      </c>
      <c r="X49" s="13">
        <v>0.0175195730868489</v>
      </c>
      <c r="Y49" s="13">
        <v>0.0201348011758651</v>
      </c>
      <c r="Z49" s="13">
        <v>0.0170919954141241</v>
      </c>
      <c r="AA49" s="13">
        <v>0.0187588545563378</v>
      </c>
      <c r="AB49" s="13">
        <v>0.0143901561011616</v>
      </c>
      <c r="AC49" s="13">
        <v>0.00943303548357845</v>
      </c>
      <c r="AD49" s="13">
        <v>0.022467103085945</v>
      </c>
      <c r="AE49" s="13">
        <v>0.0157249903668384</v>
      </c>
      <c r="AF49" s="13">
        <v>0.0141600969454355</v>
      </c>
      <c r="AG49" s="13">
        <v>0.0168382653430871</v>
      </c>
      <c r="AH49" s="13">
        <v>0.00813138703321353</v>
      </c>
    </row>
    <row r="50" spans="3:34">
      <c r="C50" s="13" t="s">
        <v>11</v>
      </c>
      <c r="D50" s="13">
        <v>0.0255354253423312</v>
      </c>
      <c r="E50" s="13">
        <v>0.027460174342609</v>
      </c>
      <c r="F50" s="13">
        <v>0.0297912254505527</v>
      </c>
      <c r="G50" s="13">
        <v>0.028533093964424</v>
      </c>
      <c r="H50" s="13">
        <v>0.0204049464681774</v>
      </c>
      <c r="I50" s="13">
        <v>0.0185762012929422</v>
      </c>
      <c r="J50" s="13">
        <v>0.0151627702928179</v>
      </c>
      <c r="K50" s="13">
        <v>0.0131649391890394</v>
      </c>
      <c r="L50" s="13">
        <v>0.058187609361289</v>
      </c>
      <c r="M50" s="13">
        <v>0.170290025549011</v>
      </c>
      <c r="N50" s="13">
        <v>0.072021732863071</v>
      </c>
      <c r="O50" s="13">
        <v>0</v>
      </c>
      <c r="P50" s="13">
        <v>0.0358413685363528</v>
      </c>
      <c r="Q50" s="13">
        <v>0.0602028627680027</v>
      </c>
      <c r="R50" s="13">
        <v>0.0421861786678724</v>
      </c>
      <c r="S50" s="13">
        <v>0.0477074379269005</v>
      </c>
      <c r="T50" s="13">
        <v>0.0728629893504781</v>
      </c>
      <c r="U50" s="13">
        <v>0.0393901576609142</v>
      </c>
      <c r="V50" s="13">
        <v>0.022469429769154</v>
      </c>
      <c r="W50" s="13">
        <v>0.0170754713737752</v>
      </c>
      <c r="X50" s="13">
        <v>0.0157306949946702</v>
      </c>
      <c r="Y50" s="13">
        <v>0.0220248791303647</v>
      </c>
      <c r="Z50" s="13">
        <v>0.018213139285061</v>
      </c>
      <c r="AA50" s="13">
        <v>0.0191999594146478</v>
      </c>
      <c r="AB50" s="13">
        <v>0.0142064426073428</v>
      </c>
      <c r="AC50" s="13">
        <v>0.00914675505450273</v>
      </c>
      <c r="AD50" s="13">
        <v>0.0267729871720279</v>
      </c>
      <c r="AE50" s="13">
        <v>0.016872705118021</v>
      </c>
      <c r="AF50" s="13">
        <v>0.0148462888300531</v>
      </c>
      <c r="AG50" s="13">
        <v>0.0182901539354069</v>
      </c>
      <c r="AH50" s="13">
        <v>0.00783195428818646</v>
      </c>
    </row>
    <row r="51" spans="3:34">
      <c r="C51" s="13" t="s">
        <v>12</v>
      </c>
      <c r="D51" s="13">
        <v>0.0237916409520591</v>
      </c>
      <c r="E51" s="13">
        <v>0.0249504984323823</v>
      </c>
      <c r="F51" s="13">
        <v>0.0257889818831484</v>
      </c>
      <c r="G51" s="13">
        <v>0.0253648501040485</v>
      </c>
      <c r="H51" s="13">
        <v>0.0206517792140222</v>
      </c>
      <c r="I51" s="13">
        <v>0.0206738121042596</v>
      </c>
      <c r="J51" s="13">
        <v>0.0179773590094854</v>
      </c>
      <c r="K51" s="13">
        <v>0.0161412054953587</v>
      </c>
      <c r="L51" s="13">
        <v>0.0602755619631472</v>
      </c>
      <c r="M51" s="13">
        <v>0.0542939827175918</v>
      </c>
      <c r="N51" s="13">
        <v>0.0779294075999247</v>
      </c>
      <c r="O51" s="13">
        <v>0.056813982576219</v>
      </c>
      <c r="P51" s="13">
        <v>0</v>
      </c>
      <c r="Q51" s="13">
        <v>0.0817752394609586</v>
      </c>
      <c r="R51" s="13">
        <v>0.0310461518719937</v>
      </c>
      <c r="S51" s="13">
        <v>0.0333968067027622</v>
      </c>
      <c r="T51" s="13">
        <v>0.0529844096142702</v>
      </c>
      <c r="U51" s="13">
        <v>0.0524821822159498</v>
      </c>
      <c r="V51" s="13">
        <v>0.052289143737501</v>
      </c>
      <c r="W51" s="13">
        <v>0.0307085431902902</v>
      </c>
      <c r="X51" s="13">
        <v>0.0319307717745384</v>
      </c>
      <c r="Y51" s="13">
        <v>0.0278597084872985</v>
      </c>
      <c r="Z51" s="13">
        <v>0.0232906514226107</v>
      </c>
      <c r="AA51" s="13">
        <v>0.0285167990457748</v>
      </c>
      <c r="AB51" s="13">
        <v>0.0215562789896834</v>
      </c>
      <c r="AC51" s="13">
        <v>0.0130481853105225</v>
      </c>
      <c r="AD51" s="13">
        <v>0.0266710298597621</v>
      </c>
      <c r="AE51" s="13">
        <v>0.0195526200733093</v>
      </c>
      <c r="AF51" s="13">
        <v>0.0178621535716128</v>
      </c>
      <c r="AG51" s="13">
        <v>0.0198807590571452</v>
      </c>
      <c r="AH51" s="13">
        <v>0.0104955035623695</v>
      </c>
    </row>
    <row r="52" spans="3:34">
      <c r="C52" s="13" t="s">
        <v>13</v>
      </c>
      <c r="D52" s="13">
        <v>0.0214641503358254</v>
      </c>
      <c r="E52" s="13">
        <v>0.0223971751232353</v>
      </c>
      <c r="F52" s="13">
        <v>0.0247652457431501</v>
      </c>
      <c r="G52" s="13">
        <v>0.025148284650898</v>
      </c>
      <c r="H52" s="13">
        <v>0.0190961295704367</v>
      </c>
      <c r="I52" s="13">
        <v>0.0165176593178625</v>
      </c>
      <c r="J52" s="13">
        <v>0.0140933769860113</v>
      </c>
      <c r="K52" s="13">
        <v>0.0125694136754322</v>
      </c>
      <c r="L52" s="13">
        <v>0.0421534088000022</v>
      </c>
      <c r="M52" s="13">
        <v>0.0542731567940272</v>
      </c>
      <c r="N52" s="13">
        <v>0.0552041845290264</v>
      </c>
      <c r="O52" s="13">
        <v>0.0700489477383206</v>
      </c>
      <c r="P52" s="13">
        <v>0.0600254807818402</v>
      </c>
      <c r="Q52" s="13">
        <v>0</v>
      </c>
      <c r="R52" s="13">
        <v>0.0296112348990852</v>
      </c>
      <c r="S52" s="13">
        <v>0.0378511061638698</v>
      </c>
      <c r="T52" s="13">
        <v>0.104602609753981</v>
      </c>
      <c r="U52" s="13">
        <v>0.0913910643627965</v>
      </c>
      <c r="V52" s="13">
        <v>0.0417097984225251</v>
      </c>
      <c r="W52" s="13">
        <v>0.0269369952462567</v>
      </c>
      <c r="X52" s="13">
        <v>0.0247217084641384</v>
      </c>
      <c r="Y52" s="13">
        <v>0.0300754666754104</v>
      </c>
      <c r="Z52" s="13">
        <v>0.023447469422631</v>
      </c>
      <c r="AA52" s="13">
        <v>0.0286640478283248</v>
      </c>
      <c r="AB52" s="13">
        <v>0.0196555415010859</v>
      </c>
      <c r="AC52" s="13">
        <v>0.0112038191972693</v>
      </c>
      <c r="AD52" s="13">
        <v>0.0288909783970358</v>
      </c>
      <c r="AE52" s="13">
        <v>0.0188465604489625</v>
      </c>
      <c r="AF52" s="13">
        <v>0.0167726684873909</v>
      </c>
      <c r="AG52" s="13">
        <v>0.0190302625397078</v>
      </c>
      <c r="AH52" s="13">
        <v>0.00883205414346152</v>
      </c>
    </row>
    <row r="53" spans="3:34">
      <c r="C53" s="13" t="s">
        <v>14</v>
      </c>
      <c r="D53" s="13">
        <v>0.0720465447939867</v>
      </c>
      <c r="E53" s="13">
        <v>0.0881146301390307</v>
      </c>
      <c r="F53" s="13">
        <v>0.0858119884553345</v>
      </c>
      <c r="G53" s="13">
        <v>0.0592207998893729</v>
      </c>
      <c r="H53" s="13">
        <v>0.0386160061875943</v>
      </c>
      <c r="I53" s="13">
        <v>0.0328733430942891</v>
      </c>
      <c r="J53" s="13">
        <v>0.0243251488243731</v>
      </c>
      <c r="K53" s="13">
        <v>0.0201560717227756</v>
      </c>
      <c r="L53" s="13">
        <v>0.0363618073811417</v>
      </c>
      <c r="M53" s="13">
        <v>0.0509563627341171</v>
      </c>
      <c r="N53" s="13">
        <v>0.0341955498137493</v>
      </c>
      <c r="O53" s="13">
        <v>0.0473187551895022</v>
      </c>
      <c r="P53" s="13">
        <v>0.0219684922579903</v>
      </c>
      <c r="Q53" s="13">
        <v>0.0285453367343614</v>
      </c>
      <c r="R53" s="13">
        <v>0</v>
      </c>
      <c r="S53" s="13">
        <v>0.0656951168972132</v>
      </c>
      <c r="T53" s="13">
        <v>0.0355716948114327</v>
      </c>
      <c r="U53" s="13">
        <v>0.0254473576229037</v>
      </c>
      <c r="V53" s="13">
        <v>0.0168234925793183</v>
      </c>
      <c r="W53" s="13">
        <v>0.0145513474419181</v>
      </c>
      <c r="X53" s="13">
        <v>0.0132549916155207</v>
      </c>
      <c r="Y53" s="13">
        <v>0.0208234918307029</v>
      </c>
      <c r="Z53" s="13">
        <v>0.0186966232239372</v>
      </c>
      <c r="AA53" s="13">
        <v>0.0171194714702496</v>
      </c>
      <c r="AB53" s="13">
        <v>0.0136871563827886</v>
      </c>
      <c r="AC53" s="13">
        <v>0.0101503844186698</v>
      </c>
      <c r="AD53" s="13">
        <v>0.0319490848244336</v>
      </c>
      <c r="AE53" s="13">
        <v>0.0212322746226093</v>
      </c>
      <c r="AF53" s="13">
        <v>0.0185104523214318</v>
      </c>
      <c r="AG53" s="13">
        <v>0.0262102639440868</v>
      </c>
      <c r="AH53" s="13">
        <v>0.00976595877516462</v>
      </c>
    </row>
    <row r="54" spans="3:34">
      <c r="C54" s="13" t="s">
        <v>15</v>
      </c>
      <c r="D54" s="13">
        <v>0.0410568007589731</v>
      </c>
      <c r="E54" s="13">
        <v>0.0419979288517514</v>
      </c>
      <c r="F54" s="13">
        <v>0.0629613058592713</v>
      </c>
      <c r="G54" s="13">
        <v>0.0715010132169889</v>
      </c>
      <c r="H54" s="13">
        <v>0.0367575558100915</v>
      </c>
      <c r="I54" s="13">
        <v>0.0218795178667917</v>
      </c>
      <c r="J54" s="13">
        <v>0.0177673809402347</v>
      </c>
      <c r="K54" s="13">
        <v>0.0154874438786758</v>
      </c>
      <c r="L54" s="13">
        <v>0.0308562923017614</v>
      </c>
      <c r="M54" s="13">
        <v>0.0468855141086561</v>
      </c>
      <c r="N54" s="13">
        <v>0.0321858879535753</v>
      </c>
      <c r="O54" s="13">
        <v>0.0529879406317913</v>
      </c>
      <c r="P54" s="13">
        <v>0.0234005055642652</v>
      </c>
      <c r="Q54" s="13">
        <v>0.036131421703969</v>
      </c>
      <c r="R54" s="13">
        <v>0.0650520389562866</v>
      </c>
      <c r="S54" s="13">
        <v>0</v>
      </c>
      <c r="T54" s="13">
        <v>0.0549742293671897</v>
      </c>
      <c r="U54" s="13">
        <v>0.0358678331556211</v>
      </c>
      <c r="V54" s="13">
        <v>0.0200970873543904</v>
      </c>
      <c r="W54" s="13">
        <v>0.0178434430824104</v>
      </c>
      <c r="X54" s="13">
        <v>0.0155454107367725</v>
      </c>
      <c r="Y54" s="13">
        <v>0.0301700290206776</v>
      </c>
      <c r="Z54" s="13">
        <v>0.0257690251089924</v>
      </c>
      <c r="AA54" s="13">
        <v>0.0226631930510849</v>
      </c>
      <c r="AB54" s="13">
        <v>0.0170911007736773</v>
      </c>
      <c r="AC54" s="13">
        <v>0.0117058422623076</v>
      </c>
      <c r="AD54" s="13">
        <v>0.0571949848959035</v>
      </c>
      <c r="AE54" s="13">
        <v>0.0278090062910947</v>
      </c>
      <c r="AF54" s="13">
        <v>0.0231179401204214</v>
      </c>
      <c r="AG54" s="13">
        <v>0.0328612809051328</v>
      </c>
      <c r="AH54" s="13">
        <v>0.0103810454712401</v>
      </c>
    </row>
    <row r="55" spans="3:34">
      <c r="C55" s="13" t="s">
        <v>16</v>
      </c>
      <c r="D55" s="13">
        <v>0.0240413014948386</v>
      </c>
      <c r="E55" s="13">
        <v>0.0249838681652254</v>
      </c>
      <c r="F55" s="13">
        <v>0.0293178702700275</v>
      </c>
      <c r="G55" s="13">
        <v>0.030598348957728</v>
      </c>
      <c r="H55" s="13">
        <v>0.0216759295169388</v>
      </c>
      <c r="I55" s="13">
        <v>0.0168810276565747</v>
      </c>
      <c r="J55" s="13">
        <v>0.0142082003654419</v>
      </c>
      <c r="K55" s="13">
        <v>0.0125993501980262</v>
      </c>
      <c r="L55" s="13">
        <v>0.0364551394234371</v>
      </c>
      <c r="M55" s="13">
        <v>0.0557252074916041</v>
      </c>
      <c r="N55" s="13">
        <v>0.0438790983317463</v>
      </c>
      <c r="O55" s="13">
        <v>0.0795621179132185</v>
      </c>
      <c r="P55" s="13">
        <v>0.0364986499058428</v>
      </c>
      <c r="Q55" s="13">
        <v>0.0981651643011961</v>
      </c>
      <c r="R55" s="13">
        <v>0.0346290665017213</v>
      </c>
      <c r="S55" s="13">
        <v>0.0540464973283875</v>
      </c>
      <c r="T55" s="13">
        <v>0</v>
      </c>
      <c r="U55" s="13">
        <v>0.0857800357039107</v>
      </c>
      <c r="V55" s="13">
        <v>0.0306897765675935</v>
      </c>
      <c r="W55" s="13">
        <v>0.023635184882918</v>
      </c>
      <c r="X55" s="13">
        <v>0.020567601439569</v>
      </c>
      <c r="Y55" s="13">
        <v>0.0338078330439865</v>
      </c>
      <c r="Z55" s="13">
        <v>0.0257407770780661</v>
      </c>
      <c r="AA55" s="13">
        <v>0.0284539582073591</v>
      </c>
      <c r="AB55" s="13">
        <v>0.0192691273447615</v>
      </c>
      <c r="AC55" s="13">
        <v>0.0112495374614061</v>
      </c>
      <c r="AD55" s="13">
        <v>0.0369744299644352</v>
      </c>
      <c r="AE55" s="13">
        <v>0.0212756368397038</v>
      </c>
      <c r="AF55" s="13">
        <v>0.0184664819502477</v>
      </c>
      <c r="AG55" s="13">
        <v>0.0218112505699044</v>
      </c>
      <c r="AH55" s="13">
        <v>0.00901153112418363</v>
      </c>
    </row>
    <row r="56" spans="3:34">
      <c r="C56" s="13" t="s">
        <v>17</v>
      </c>
      <c r="D56" s="13">
        <v>0.0212877778469893</v>
      </c>
      <c r="E56" s="13">
        <v>0.0218261646010416</v>
      </c>
      <c r="F56" s="13">
        <v>0.0251603154449005</v>
      </c>
      <c r="G56" s="13">
        <v>0.0267092329211272</v>
      </c>
      <c r="H56" s="13">
        <v>0.020299066808483</v>
      </c>
      <c r="I56" s="13">
        <v>0.0157852578669132</v>
      </c>
      <c r="J56" s="13">
        <v>0.0136412729590796</v>
      </c>
      <c r="K56" s="13">
        <v>0.0122960317931592</v>
      </c>
      <c r="L56" s="13">
        <v>0.0309181788022559</v>
      </c>
      <c r="M56" s="13">
        <v>0.0392724270975392</v>
      </c>
      <c r="N56" s="13">
        <v>0.0366453481681281</v>
      </c>
      <c r="O56" s="13">
        <v>0.0481332572464136</v>
      </c>
      <c r="P56" s="13">
        <v>0.0404574743968112</v>
      </c>
      <c r="Q56" s="13">
        <v>0.0959791270703551</v>
      </c>
      <c r="R56" s="13">
        <v>0.0277228006849882</v>
      </c>
      <c r="S56" s="13">
        <v>0.0394613307347383</v>
      </c>
      <c r="T56" s="13">
        <v>0.0959940699577631</v>
      </c>
      <c r="U56" s="13">
        <v>0</v>
      </c>
      <c r="V56" s="13">
        <v>0.0496943713228938</v>
      </c>
      <c r="W56" s="13">
        <v>0.0364732759477461</v>
      </c>
      <c r="X56" s="13">
        <v>0.0300032488409673</v>
      </c>
      <c r="Y56" s="13">
        <v>0.0457732004521727</v>
      </c>
      <c r="Z56" s="13">
        <v>0.0322763662709251</v>
      </c>
      <c r="AA56" s="13">
        <v>0.0436655506800339</v>
      </c>
      <c r="AB56" s="13">
        <v>0.0262197945696427</v>
      </c>
      <c r="AC56" s="13">
        <v>0.01334704517675</v>
      </c>
      <c r="AD56" s="13">
        <v>0.0361689438641663</v>
      </c>
      <c r="AE56" s="13">
        <v>0.0228152445798977</v>
      </c>
      <c r="AF56" s="13">
        <v>0.0201432583718309</v>
      </c>
      <c r="AG56" s="13">
        <v>0.0219221860654795</v>
      </c>
      <c r="AH56" s="13">
        <v>0.00990837945680784</v>
      </c>
    </row>
    <row r="57" spans="3:34">
      <c r="C57" s="13" t="s">
        <v>18</v>
      </c>
      <c r="D57" s="13">
        <v>0.0203427675001286</v>
      </c>
      <c r="E57" s="13">
        <v>0.0208205620234539</v>
      </c>
      <c r="F57" s="13">
        <v>0.0226599400475146</v>
      </c>
      <c r="G57" s="13">
        <v>0.0234367157081739</v>
      </c>
      <c r="H57" s="13">
        <v>0.0194311060192497</v>
      </c>
      <c r="I57" s="13">
        <v>0.0167525480023569</v>
      </c>
      <c r="J57" s="13">
        <v>0.0149157875175402</v>
      </c>
      <c r="K57" s="13">
        <v>0.0136755084912578</v>
      </c>
      <c r="L57" s="13">
        <v>0.03131105827065</v>
      </c>
      <c r="M57" s="13">
        <v>0.0335512405202098</v>
      </c>
      <c r="N57" s="13">
        <v>0.036015656499783</v>
      </c>
      <c r="O57" s="13">
        <v>0.0370158651182802</v>
      </c>
      <c r="P57" s="13">
        <v>0.0543421395447883</v>
      </c>
      <c r="Q57" s="13">
        <v>0.0590540206374144</v>
      </c>
      <c r="R57" s="13">
        <v>0.0247086427622513</v>
      </c>
      <c r="S57" s="13">
        <v>0.0298083561167319</v>
      </c>
      <c r="T57" s="13">
        <v>0.0463009849022867</v>
      </c>
      <c r="U57" s="13">
        <v>0.0669954827452567</v>
      </c>
      <c r="V57" s="13">
        <v>0</v>
      </c>
      <c r="W57" s="13">
        <v>0.0737111805810958</v>
      </c>
      <c r="X57" s="13">
        <v>0.0826835631185399</v>
      </c>
      <c r="Y57" s="13">
        <v>0.0385915480602361</v>
      </c>
      <c r="Z57" s="13">
        <v>0.0310448807218853</v>
      </c>
      <c r="AA57" s="13">
        <v>0.0490059995754248</v>
      </c>
      <c r="AB57" s="13">
        <v>0.0339971630316246</v>
      </c>
      <c r="AC57" s="13">
        <v>0.0163771480158873</v>
      </c>
      <c r="AD57" s="13">
        <v>0.0287797458086182</v>
      </c>
      <c r="AE57" s="13">
        <v>0.0220159034873292</v>
      </c>
      <c r="AF57" s="13">
        <v>0.0203341131583575</v>
      </c>
      <c r="AG57" s="13">
        <v>0.0207901559206028</v>
      </c>
      <c r="AH57" s="13">
        <v>0.0115302160930707</v>
      </c>
    </row>
    <row r="58" spans="3:34">
      <c r="C58" s="13" t="s">
        <v>19</v>
      </c>
      <c r="D58" s="13">
        <v>0.0187871751192341</v>
      </c>
      <c r="E58" s="13">
        <v>0.0189741591021578</v>
      </c>
      <c r="F58" s="13">
        <v>0.0210664268193973</v>
      </c>
      <c r="G58" s="13">
        <v>0.0223257460579712</v>
      </c>
      <c r="H58" s="13">
        <v>0.0189793988751504</v>
      </c>
      <c r="I58" s="13">
        <v>0.0151422147474877</v>
      </c>
      <c r="J58" s="13">
        <v>0.0136461096569332</v>
      </c>
      <c r="K58" s="13">
        <v>0.0126463669392786</v>
      </c>
      <c r="L58" s="13">
        <v>0.0237797256069564</v>
      </c>
      <c r="M58" s="13">
        <v>0.0261810988566322</v>
      </c>
      <c r="N58" s="13">
        <v>0.0263017484960596</v>
      </c>
      <c r="O58" s="13">
        <v>0.0286461113838091</v>
      </c>
      <c r="P58" s="13">
        <v>0.0324998636718188</v>
      </c>
      <c r="Q58" s="13">
        <v>0.0388380710658475</v>
      </c>
      <c r="R58" s="13">
        <v>0.0217637165913837</v>
      </c>
      <c r="S58" s="13">
        <v>0.0269513601538402</v>
      </c>
      <c r="T58" s="13">
        <v>0.0363122055786067</v>
      </c>
      <c r="U58" s="13">
        <v>0.0500737612619363</v>
      </c>
      <c r="V58" s="13">
        <v>0.0750637901105839</v>
      </c>
      <c r="W58" s="13">
        <v>0</v>
      </c>
      <c r="X58" s="13">
        <v>0.111745861530907</v>
      </c>
      <c r="Y58" s="13">
        <v>0.0475742905111832</v>
      </c>
      <c r="Z58" s="13">
        <v>0.0395046050694634</v>
      </c>
      <c r="AA58" s="13">
        <v>0.0824218163817419</v>
      </c>
      <c r="AB58" s="13">
        <v>0.058883082275079</v>
      </c>
      <c r="AC58" s="13">
        <v>0.0205256773050297</v>
      </c>
      <c r="AD58" s="13">
        <v>0.0295442424648255</v>
      </c>
      <c r="AE58" s="13">
        <v>0.0244076593218934</v>
      </c>
      <c r="AF58" s="13">
        <v>0.0229311756495037</v>
      </c>
      <c r="AG58" s="13">
        <v>0.0217500791610858</v>
      </c>
      <c r="AH58" s="13">
        <v>0.0127324602342025</v>
      </c>
    </row>
    <row r="59" spans="3:34">
      <c r="C59" s="13" t="s">
        <v>20</v>
      </c>
      <c r="D59" s="13">
        <v>0.0196049853459871</v>
      </c>
      <c r="E59" s="13">
        <v>0.0198937544694118</v>
      </c>
      <c r="F59" s="13">
        <v>0.021592437184138</v>
      </c>
      <c r="G59" s="13">
        <v>0.0224874665092611</v>
      </c>
      <c r="H59" s="13">
        <v>0.0193388445006899</v>
      </c>
      <c r="I59" s="13">
        <v>0.0164063870766569</v>
      </c>
      <c r="J59" s="13">
        <v>0.0148645858148644</v>
      </c>
      <c r="K59" s="13">
        <v>0.0138035775182152</v>
      </c>
      <c r="L59" s="13">
        <v>0.0265226040838839</v>
      </c>
      <c r="M59" s="13">
        <v>0.0280865606528253</v>
      </c>
      <c r="N59" s="13">
        <v>0.0293005620989942</v>
      </c>
      <c r="O59" s="13">
        <v>0.0302598568560488</v>
      </c>
      <c r="P59" s="13">
        <v>0.0387487524613972</v>
      </c>
      <c r="Q59" s="13">
        <v>0.0408707838396847</v>
      </c>
      <c r="R59" s="13">
        <v>0.0227318767457592</v>
      </c>
      <c r="S59" s="13">
        <v>0.0269234191800065</v>
      </c>
      <c r="T59" s="13">
        <v>0.0362329134323826</v>
      </c>
      <c r="U59" s="13">
        <v>0.0472312793895442</v>
      </c>
      <c r="V59" s="13">
        <v>0.0965477793813311</v>
      </c>
      <c r="W59" s="13">
        <v>0.128131948943976</v>
      </c>
      <c r="X59" s="13">
        <v>0</v>
      </c>
      <c r="Y59" s="13">
        <v>0.0391163789714806</v>
      </c>
      <c r="Z59" s="13">
        <v>0.0336446761075612</v>
      </c>
      <c r="AA59" s="13">
        <v>0.0548751608426855</v>
      </c>
      <c r="AB59" s="13">
        <v>0.0452131448716252</v>
      </c>
      <c r="AC59" s="13">
        <v>0.020122941633768</v>
      </c>
      <c r="AD59" s="13">
        <v>0.0278536608633933</v>
      </c>
      <c r="AE59" s="13">
        <v>0.0232210759399302</v>
      </c>
      <c r="AF59" s="13">
        <v>0.0219445293791381</v>
      </c>
      <c r="AG59" s="13">
        <v>0.0213199994787894</v>
      </c>
      <c r="AH59" s="13">
        <v>0.013108056426571</v>
      </c>
    </row>
    <row r="60" spans="3:34">
      <c r="C60" s="13" t="s">
        <v>21</v>
      </c>
      <c r="D60" s="13">
        <v>0.021207181337891</v>
      </c>
      <c r="E60" s="13">
        <v>0.0210610775701707</v>
      </c>
      <c r="F60" s="13">
        <v>0.0254985580674911</v>
      </c>
      <c r="G60" s="13">
        <v>0.0290915392327903</v>
      </c>
      <c r="H60" s="13">
        <v>0.0233257789487385</v>
      </c>
      <c r="I60" s="13">
        <v>0.0150182002959431</v>
      </c>
      <c r="J60" s="13">
        <v>0.013267662139022</v>
      </c>
      <c r="K60" s="13">
        <v>0.0121768376063238</v>
      </c>
      <c r="L60" s="13">
        <v>0.0211060974575363</v>
      </c>
      <c r="M60" s="13">
        <v>0.0257067482878041</v>
      </c>
      <c r="N60" s="13">
        <v>0.0229825713889487</v>
      </c>
      <c r="O60" s="13">
        <v>0.0289155416580046</v>
      </c>
      <c r="P60" s="13">
        <v>0.0230740440016596</v>
      </c>
      <c r="Q60" s="13">
        <v>0.0339348317932075</v>
      </c>
      <c r="R60" s="13">
        <v>0.0243729575293751</v>
      </c>
      <c r="S60" s="13">
        <v>0.0356617440870213</v>
      </c>
      <c r="T60" s="13">
        <v>0.0406476818866715</v>
      </c>
      <c r="U60" s="13">
        <v>0.0491780772391765</v>
      </c>
      <c r="V60" s="13">
        <v>0.0307548877020929</v>
      </c>
      <c r="W60" s="13">
        <v>0.0372303521185144</v>
      </c>
      <c r="X60" s="13">
        <v>0.0266966940663827</v>
      </c>
      <c r="Y60" s="13">
        <v>0</v>
      </c>
      <c r="Z60" s="13">
        <v>0.116967847350787</v>
      </c>
      <c r="AA60" s="13">
        <v>0.083408755727833</v>
      </c>
      <c r="AB60" s="13">
        <v>0.0463109658099074</v>
      </c>
      <c r="AC60" s="13">
        <v>0.0201338336601615</v>
      </c>
      <c r="AD60" s="13">
        <v>0.0552570090173651</v>
      </c>
      <c r="AE60" s="13">
        <v>0.0389983337990776</v>
      </c>
      <c r="AF60" s="13">
        <v>0.0337807314607058</v>
      </c>
      <c r="AG60" s="13">
        <v>0.0311303500517727</v>
      </c>
      <c r="AH60" s="13">
        <v>0.0131031087076237</v>
      </c>
    </row>
    <row r="61" spans="3:34">
      <c r="C61" s="13" t="s">
        <v>22</v>
      </c>
      <c r="D61" s="13">
        <v>0.0218207604379587</v>
      </c>
      <c r="E61" s="13">
        <v>0.0214594735266631</v>
      </c>
      <c r="F61" s="13">
        <v>0.0259156953022489</v>
      </c>
      <c r="G61" s="13">
        <v>0.0298071575207775</v>
      </c>
      <c r="H61" s="13">
        <v>0.0251823437007551</v>
      </c>
      <c r="I61" s="13">
        <v>0.0155164335865552</v>
      </c>
      <c r="J61" s="13">
        <v>0.0138597937905086</v>
      </c>
      <c r="K61" s="13">
        <v>0.0128260488881603</v>
      </c>
      <c r="L61" s="13">
        <v>0.0199114633303039</v>
      </c>
      <c r="M61" s="13">
        <v>0.0237481605293388</v>
      </c>
      <c r="N61" s="13">
        <v>0.0212989942822319</v>
      </c>
      <c r="O61" s="13">
        <v>0.0261046373458248</v>
      </c>
      <c r="P61" s="13">
        <v>0.0210592956300579</v>
      </c>
      <c r="Q61" s="13">
        <v>0.0288831370570108</v>
      </c>
      <c r="R61" s="13">
        <v>0.023890921870168</v>
      </c>
      <c r="S61" s="13">
        <v>0.0332536940598465</v>
      </c>
      <c r="T61" s="13">
        <v>0.0337874299712953</v>
      </c>
      <c r="U61" s="13">
        <v>0.0378581996866719</v>
      </c>
      <c r="V61" s="13">
        <v>0.0270101501194607</v>
      </c>
      <c r="W61" s="13">
        <v>0.0337510746046207</v>
      </c>
      <c r="X61" s="13">
        <v>0.0250686096790624</v>
      </c>
      <c r="Y61" s="13">
        <v>0.127697252828623</v>
      </c>
      <c r="Z61" s="13">
        <v>0</v>
      </c>
      <c r="AA61" s="13">
        <v>0.0647499085548353</v>
      </c>
      <c r="AB61" s="13">
        <v>0.0532041544017366</v>
      </c>
      <c r="AC61" s="13">
        <v>0.026228792349572</v>
      </c>
      <c r="AD61" s="13">
        <v>0.054943281832351</v>
      </c>
      <c r="AE61" s="13">
        <v>0.0521782250983303</v>
      </c>
      <c r="AF61" s="13">
        <v>0.0464886740402464</v>
      </c>
      <c r="AG61" s="13">
        <v>0.0366168676884134</v>
      </c>
      <c r="AH61" s="13">
        <v>0.0158793682863713</v>
      </c>
    </row>
    <row r="62" spans="3:34">
      <c r="C62" s="13" t="s">
        <v>23</v>
      </c>
      <c r="D62" s="13">
        <v>0.0193884846732667</v>
      </c>
      <c r="E62" s="13">
        <v>0.0194123277785673</v>
      </c>
      <c r="F62" s="13">
        <v>0.0224345248072155</v>
      </c>
      <c r="G62" s="13">
        <v>0.0245815952262488</v>
      </c>
      <c r="H62" s="13">
        <v>0.0204595771996118</v>
      </c>
      <c r="I62" s="13">
        <v>0.0146843751465399</v>
      </c>
      <c r="J62" s="13">
        <v>0.0131211447732624</v>
      </c>
      <c r="K62" s="13">
        <v>0.0121161232236295</v>
      </c>
      <c r="L62" s="13">
        <v>0.0217118455308428</v>
      </c>
      <c r="M62" s="13">
        <v>0.0252383788448018</v>
      </c>
      <c r="N62" s="13">
        <v>0.0238557956731458</v>
      </c>
      <c r="O62" s="13">
        <v>0.0280837065809422</v>
      </c>
      <c r="P62" s="13">
        <v>0.0263138407297466</v>
      </c>
      <c r="Q62" s="13">
        <v>0.0360335593700629</v>
      </c>
      <c r="R62" s="13">
        <v>0.0223244796667292</v>
      </c>
      <c r="S62" s="13">
        <v>0.0298458716683506</v>
      </c>
      <c r="T62" s="13">
        <v>0.0381151343732035</v>
      </c>
      <c r="U62" s="13">
        <v>0.0522679569633472</v>
      </c>
      <c r="V62" s="13">
        <v>0.0435118466428422</v>
      </c>
      <c r="W62" s="13">
        <v>0.0718626655955746</v>
      </c>
      <c r="X62" s="13">
        <v>0.0417264044813685</v>
      </c>
      <c r="Y62" s="13">
        <v>0.0929282931497192</v>
      </c>
      <c r="Z62" s="13">
        <v>0.066078537189023</v>
      </c>
      <c r="AA62" s="13">
        <v>0</v>
      </c>
      <c r="AB62" s="13">
        <v>0.0785549792749321</v>
      </c>
      <c r="AC62" s="13">
        <v>0.0217168222697927</v>
      </c>
      <c r="AD62" s="13">
        <v>0.0374836613695702</v>
      </c>
      <c r="AE62" s="13">
        <v>0.0301156782784752</v>
      </c>
      <c r="AF62" s="13">
        <v>0.0276976851412945</v>
      </c>
      <c r="AG62" s="13">
        <v>0.0252682768909181</v>
      </c>
      <c r="AH62" s="13">
        <v>0.0130664274869752</v>
      </c>
    </row>
    <row r="63" spans="3:34">
      <c r="C63" s="13" t="s">
        <v>24</v>
      </c>
      <c r="D63" s="13">
        <v>0.0206187075090027</v>
      </c>
      <c r="E63" s="13">
        <v>0.0205116887422402</v>
      </c>
      <c r="F63" s="13">
        <v>0.0233151668321484</v>
      </c>
      <c r="G63" s="13">
        <v>0.0254090825266114</v>
      </c>
      <c r="H63" s="13">
        <v>0.0223145930565004</v>
      </c>
      <c r="I63" s="13">
        <v>0.0160764520062592</v>
      </c>
      <c r="J63" s="13">
        <v>0.0146132962957361</v>
      </c>
      <c r="K63" s="13">
        <v>0.0136607939949744</v>
      </c>
      <c r="L63" s="13">
        <v>0.0216435188371429</v>
      </c>
      <c r="M63" s="13">
        <v>0.0243920460868705</v>
      </c>
      <c r="N63" s="13">
        <v>0.0232719693878187</v>
      </c>
      <c r="O63" s="13">
        <v>0.0264252739944729</v>
      </c>
      <c r="P63" s="13">
        <v>0.0252951526112661</v>
      </c>
      <c r="Q63" s="13">
        <v>0.0314220632415797</v>
      </c>
      <c r="R63" s="13">
        <v>0.0226978260674947</v>
      </c>
      <c r="S63" s="13">
        <v>0.0286228744519075</v>
      </c>
      <c r="T63" s="13">
        <v>0.0328244043957705</v>
      </c>
      <c r="U63" s="13">
        <v>0.0399122222856946</v>
      </c>
      <c r="V63" s="13">
        <v>0.038386718048851</v>
      </c>
      <c r="W63" s="13">
        <v>0.0652877524825093</v>
      </c>
      <c r="X63" s="13">
        <v>0.0437199760398743</v>
      </c>
      <c r="Y63" s="13">
        <v>0.0656145565109489</v>
      </c>
      <c r="Z63" s="13">
        <v>0.0690473233580157</v>
      </c>
      <c r="AA63" s="13">
        <v>0.0998973022309954</v>
      </c>
      <c r="AB63" s="13">
        <v>0</v>
      </c>
      <c r="AC63" s="13">
        <v>0.034933323960372</v>
      </c>
      <c r="AD63" s="13">
        <v>0.0362276458579968</v>
      </c>
      <c r="AE63" s="13">
        <v>0.0347013545521843</v>
      </c>
      <c r="AF63" s="13">
        <v>0.0336976286244563</v>
      </c>
      <c r="AG63" s="13">
        <v>0.0281602581862899</v>
      </c>
      <c r="AH63" s="13">
        <v>0.0172990278240152</v>
      </c>
    </row>
    <row r="64" spans="3:34">
      <c r="C64" s="13" t="s">
        <v>25</v>
      </c>
      <c r="D64" s="13">
        <v>0.0265648431207595</v>
      </c>
      <c r="E64" s="13">
        <v>0.0260074698349657</v>
      </c>
      <c r="F64" s="13">
        <v>0.0289728930799287</v>
      </c>
      <c r="G64" s="13">
        <v>0.0314027217854257</v>
      </c>
      <c r="H64" s="13">
        <v>0.0306312974934102</v>
      </c>
      <c r="I64" s="13">
        <v>0.0213147568826978</v>
      </c>
      <c r="J64" s="13">
        <v>0.0199714646527651</v>
      </c>
      <c r="K64" s="13">
        <v>0.0191237449352174</v>
      </c>
      <c r="L64" s="13">
        <v>0.0234177243803138</v>
      </c>
      <c r="M64" s="13">
        <v>0.0258453258511334</v>
      </c>
      <c r="N64" s="13">
        <v>0.0242920246799741</v>
      </c>
      <c r="O64" s="13">
        <v>0.0270922965463087</v>
      </c>
      <c r="P64" s="13">
        <v>0.024381377447353</v>
      </c>
      <c r="Q64" s="13">
        <v>0.0285207138194658</v>
      </c>
      <c r="R64" s="13">
        <v>0.0268039092207099</v>
      </c>
      <c r="S64" s="13">
        <v>0.0312169516753733</v>
      </c>
      <c r="T64" s="13">
        <v>0.030515050117732</v>
      </c>
      <c r="U64" s="13">
        <v>0.0323523899925045</v>
      </c>
      <c r="V64" s="13">
        <v>0.0294456531987657</v>
      </c>
      <c r="W64" s="13">
        <v>0.0362395914985313</v>
      </c>
      <c r="X64" s="13">
        <v>0.0309849842971797</v>
      </c>
      <c r="Y64" s="13">
        <v>0.045424216960324</v>
      </c>
      <c r="Z64" s="13">
        <v>0.0542031106781414</v>
      </c>
      <c r="AA64" s="13">
        <v>0.0439765274135614</v>
      </c>
      <c r="AB64" s="13">
        <v>0.0556268573538329</v>
      </c>
      <c r="AC64" s="13">
        <v>0</v>
      </c>
      <c r="AD64" s="13">
        <v>0.0391811517159652</v>
      </c>
      <c r="AE64" s="13">
        <v>0.0493892952166361</v>
      </c>
      <c r="AF64" s="13">
        <v>0.0547220959625224</v>
      </c>
      <c r="AG64" s="13">
        <v>0.039882634650086</v>
      </c>
      <c r="AH64" s="13">
        <v>0.0424969255384154</v>
      </c>
    </row>
    <row r="65" spans="3:34">
      <c r="C65" s="13" t="s">
        <v>26</v>
      </c>
      <c r="D65" s="13">
        <v>0.0316883983254687</v>
      </c>
      <c r="E65" s="13">
        <v>0.0307702283220087</v>
      </c>
      <c r="F65" s="13">
        <v>0.0429330610805598</v>
      </c>
      <c r="G65" s="13">
        <v>0.0568892771577039</v>
      </c>
      <c r="H65" s="13">
        <v>0.0385666085837339</v>
      </c>
      <c r="I65" s="13">
        <v>0.0188931376561763</v>
      </c>
      <c r="J65" s="13">
        <v>0.0162236413683369</v>
      </c>
      <c r="K65" s="13">
        <v>0.014646852091444</v>
      </c>
      <c r="L65" s="13">
        <v>0.0232382096424084</v>
      </c>
      <c r="M65" s="13">
        <v>0.030215486841526</v>
      </c>
      <c r="N65" s="13">
        <v>0.0245105694790312</v>
      </c>
      <c r="O65" s="13">
        <v>0.033594615877588</v>
      </c>
      <c r="P65" s="13">
        <v>0.0211126129352181</v>
      </c>
      <c r="Q65" s="13">
        <v>0.0311566407622668</v>
      </c>
      <c r="R65" s="13">
        <v>0.0357411192640972</v>
      </c>
      <c r="S65" s="13">
        <v>0.0646159676270314</v>
      </c>
      <c r="T65" s="13">
        <v>0.0424888509827051</v>
      </c>
      <c r="U65" s="13">
        <v>0.037140790623303</v>
      </c>
      <c r="V65" s="13">
        <v>0.0219211811334018</v>
      </c>
      <c r="W65" s="13">
        <v>0.0220979880180337</v>
      </c>
      <c r="X65" s="13">
        <v>0.0181692154387841</v>
      </c>
      <c r="Y65" s="13">
        <v>0.0528131929876439</v>
      </c>
      <c r="Z65" s="13">
        <v>0.0481010538279442</v>
      </c>
      <c r="AA65" s="13">
        <v>0.0321559051819124</v>
      </c>
      <c r="AB65" s="13">
        <v>0.0244387396939446</v>
      </c>
      <c r="AC65" s="13">
        <v>0.0165985929955452</v>
      </c>
      <c r="AD65" s="13">
        <v>0</v>
      </c>
      <c r="AE65" s="13">
        <v>0.0569037135713406</v>
      </c>
      <c r="AF65" s="13">
        <v>0.0417243014670374</v>
      </c>
      <c r="AG65" s="13">
        <v>0.056958669784164</v>
      </c>
      <c r="AH65" s="13">
        <v>0.0136913772796408</v>
      </c>
    </row>
    <row r="66" spans="3:34">
      <c r="C66" s="13" t="s">
        <v>27</v>
      </c>
      <c r="D66" s="13">
        <v>0.026394078573229</v>
      </c>
      <c r="E66" s="13">
        <v>0.0251148987110691</v>
      </c>
      <c r="F66" s="13">
        <v>0.0318018889787577</v>
      </c>
      <c r="G66" s="13">
        <v>0.0389173517474945</v>
      </c>
      <c r="H66" s="13">
        <v>0.0368480153830636</v>
      </c>
      <c r="I66" s="13">
        <v>0.0172529282916935</v>
      </c>
      <c r="J66" s="13">
        <v>0.0154356077552718</v>
      </c>
      <c r="K66" s="13">
        <v>0.0143305645212244</v>
      </c>
      <c r="L66" s="13">
        <v>0.0180375286001616</v>
      </c>
      <c r="M66" s="13">
        <v>0.0215985738941029</v>
      </c>
      <c r="N66" s="13">
        <v>0.0186469424011827</v>
      </c>
      <c r="O66" s="13">
        <v>0.0230127481047691</v>
      </c>
      <c r="P66" s="13">
        <v>0.0168235668865817</v>
      </c>
      <c r="Q66" s="13">
        <v>0.0220918149434943</v>
      </c>
      <c r="R66" s="13">
        <v>0.0258176772055574</v>
      </c>
      <c r="S66" s="13">
        <v>0.0341490235810157</v>
      </c>
      <c r="T66" s="13">
        <v>0.0265746152570445</v>
      </c>
      <c r="U66" s="13">
        <v>0.025465450477865</v>
      </c>
      <c r="V66" s="13">
        <v>0.0182273875242058</v>
      </c>
      <c r="W66" s="13">
        <v>0.0198434383048042</v>
      </c>
      <c r="X66" s="13">
        <v>0.0164644469566583</v>
      </c>
      <c r="Y66" s="13">
        <v>0.0405146434400099</v>
      </c>
      <c r="Z66" s="13">
        <v>0.0496523963991034</v>
      </c>
      <c r="AA66" s="13">
        <v>0.0280816291744192</v>
      </c>
      <c r="AB66" s="13">
        <v>0.0254446239646543</v>
      </c>
      <c r="AC66" s="13">
        <v>0.0227424801599775</v>
      </c>
      <c r="AD66" s="13">
        <v>0.0618516838154925</v>
      </c>
      <c r="AE66" s="13">
        <v>0</v>
      </c>
      <c r="AF66" s="13">
        <v>0.16792308002509</v>
      </c>
      <c r="AG66" s="13">
        <v>0.0914651275114797</v>
      </c>
      <c r="AH66" s="13">
        <v>0.0194757874105267</v>
      </c>
    </row>
    <row r="67" spans="3:34">
      <c r="C67" s="13" t="s">
        <v>28</v>
      </c>
      <c r="D67" s="13">
        <v>0.0261116322360084</v>
      </c>
      <c r="E67" s="13">
        <v>0.0248897330088822</v>
      </c>
      <c r="F67" s="13">
        <v>0.0304352403622774</v>
      </c>
      <c r="G67" s="13">
        <v>0.035976956706374</v>
      </c>
      <c r="H67" s="13">
        <v>0.0357981586712265</v>
      </c>
      <c r="I67" s="13">
        <v>0.0178376679148358</v>
      </c>
      <c r="J67" s="13">
        <v>0.0161713139999684</v>
      </c>
      <c r="K67" s="13">
        <v>0.015152416353949</v>
      </c>
      <c r="L67" s="13">
        <v>0.0182368440333239</v>
      </c>
      <c r="M67" s="13">
        <v>0.0214272647101679</v>
      </c>
      <c r="N67" s="13">
        <v>0.0188001844495149</v>
      </c>
      <c r="O67" s="13">
        <v>0.0226715031224507</v>
      </c>
      <c r="P67" s="13">
        <v>0.017207809071129</v>
      </c>
      <c r="Q67" s="13">
        <v>0.0220130439274805</v>
      </c>
      <c r="R67" s="13">
        <v>0.0252009154499395</v>
      </c>
      <c r="S67" s="13">
        <v>0.0317848815130785</v>
      </c>
      <c r="T67" s="13">
        <v>0.0258254100015217</v>
      </c>
      <c r="U67" s="13">
        <v>0.0251729782115853</v>
      </c>
      <c r="V67" s="13">
        <v>0.0188491509560171</v>
      </c>
      <c r="W67" s="13">
        <v>0.0208735230372523</v>
      </c>
      <c r="X67" s="13">
        <v>0.0174208652762544</v>
      </c>
      <c r="Y67" s="13">
        <v>0.0392928617606166</v>
      </c>
      <c r="Z67" s="13">
        <v>0.0495309563459526</v>
      </c>
      <c r="AA67" s="13">
        <v>0.0289169022768603</v>
      </c>
      <c r="AB67" s="13">
        <v>0.0276648035934421</v>
      </c>
      <c r="AC67" s="13">
        <v>0.0282128111123593</v>
      </c>
      <c r="AD67" s="13">
        <v>0.0507783557936914</v>
      </c>
      <c r="AE67" s="13">
        <v>0.18801349975793</v>
      </c>
      <c r="AF67" s="13">
        <v>0</v>
      </c>
      <c r="AG67" s="13">
        <v>0.0753632475647165</v>
      </c>
      <c r="AH67" s="13">
        <v>0.0243690687811934</v>
      </c>
    </row>
    <row r="68" spans="3:34">
      <c r="C68" s="13" t="s">
        <v>29</v>
      </c>
      <c r="D68" s="13">
        <v>0.0369661545774715</v>
      </c>
      <c r="E68" s="13">
        <v>0.0341909663897807</v>
      </c>
      <c r="F68" s="13">
        <v>0.0458456637628555</v>
      </c>
      <c r="G68" s="13">
        <v>0.0596571853597084</v>
      </c>
      <c r="H68" s="13">
        <v>0.0635558363583598</v>
      </c>
      <c r="I68" s="13">
        <v>0.0217849598217257</v>
      </c>
      <c r="J68" s="13">
        <v>0.0192214429115046</v>
      </c>
      <c r="K68" s="13">
        <v>0.0176826157265509</v>
      </c>
      <c r="L68" s="13">
        <v>0.0205188911356141</v>
      </c>
      <c r="M68" s="13">
        <v>0.024841617020171</v>
      </c>
      <c r="N68" s="13">
        <v>0.020871052828964</v>
      </c>
      <c r="O68" s="13">
        <v>0.0260753949413616</v>
      </c>
      <c r="P68" s="13">
        <v>0.0178803430406809</v>
      </c>
      <c r="Q68" s="13">
        <v>0.0233170627651932</v>
      </c>
      <c r="R68" s="13">
        <v>0.0333136182943706</v>
      </c>
      <c r="S68" s="13">
        <v>0.0421800485315402</v>
      </c>
      <c r="T68" s="13">
        <v>0.0284770338252901</v>
      </c>
      <c r="U68" s="13">
        <v>0.0255764262406484</v>
      </c>
      <c r="V68" s="13">
        <v>0.017991833684387</v>
      </c>
      <c r="W68" s="13">
        <v>0.0184833803901875</v>
      </c>
      <c r="X68" s="13">
        <v>0.0158008978475067</v>
      </c>
      <c r="Y68" s="13">
        <v>0.0338049065917074</v>
      </c>
      <c r="Z68" s="13">
        <v>0.0364218389599599</v>
      </c>
      <c r="AA68" s="13">
        <v>0.0246283346107767</v>
      </c>
      <c r="AB68" s="13">
        <v>0.0215832086311046</v>
      </c>
      <c r="AC68" s="13">
        <v>0.0191963474910666</v>
      </c>
      <c r="AD68" s="13">
        <v>0.064714339476358</v>
      </c>
      <c r="AE68" s="13">
        <v>0.095606035856479</v>
      </c>
      <c r="AF68" s="13">
        <v>0.0703575535312526</v>
      </c>
      <c r="AG68" s="13">
        <v>0</v>
      </c>
      <c r="AH68" s="13">
        <v>0.0194550093974231</v>
      </c>
    </row>
    <row r="69" spans="3:34">
      <c r="C69" s="13" t="s">
        <v>30</v>
      </c>
      <c r="D69" s="13">
        <v>0.0335256766878345</v>
      </c>
      <c r="E69" s="13">
        <v>0.0323099953776949</v>
      </c>
      <c r="F69" s="13">
        <v>0.0348709843877208</v>
      </c>
      <c r="G69" s="13">
        <v>0.037020793533933</v>
      </c>
      <c r="H69" s="13">
        <v>0.0405833400804049</v>
      </c>
      <c r="I69" s="13">
        <v>0.0278254092680483</v>
      </c>
      <c r="J69" s="13">
        <v>0.0269471638124035</v>
      </c>
      <c r="K69" s="13">
        <v>0.0265202785730982</v>
      </c>
      <c r="L69" s="13">
        <v>0.0249316758868696</v>
      </c>
      <c r="M69" s="13">
        <v>0.0272426578918118</v>
      </c>
      <c r="N69" s="13">
        <v>0.0251620470328151</v>
      </c>
      <c r="O69" s="13">
        <v>0.0278752009562974</v>
      </c>
      <c r="P69" s="13">
        <v>0.0235657080831381</v>
      </c>
      <c r="Q69" s="13">
        <v>0.0270162529106016</v>
      </c>
      <c r="R69" s="13">
        <v>0.0309884337426291</v>
      </c>
      <c r="S69" s="13">
        <v>0.0332658028349621</v>
      </c>
      <c r="T69" s="13">
        <v>0.0293729184603088</v>
      </c>
      <c r="U69" s="13">
        <v>0.0288597762883328</v>
      </c>
      <c r="V69" s="13">
        <v>0.0249109021979177</v>
      </c>
      <c r="W69" s="13">
        <v>0.0270126515558427</v>
      </c>
      <c r="X69" s="13">
        <v>0.0242530971514933</v>
      </c>
      <c r="Y69" s="13">
        <v>0.0355225724481182</v>
      </c>
      <c r="Z69" s="13">
        <v>0.0394319476804659</v>
      </c>
      <c r="AA69" s="13">
        <v>0.0317943982209014</v>
      </c>
      <c r="AB69" s="13">
        <v>0.0331005646469412</v>
      </c>
      <c r="AC69" s="13">
        <v>0.051065384144884</v>
      </c>
      <c r="AD69" s="13">
        <v>0.0388348964238711</v>
      </c>
      <c r="AE69" s="13">
        <v>0.0508228623591037</v>
      </c>
      <c r="AF69" s="13">
        <v>0.0567968679389752</v>
      </c>
      <c r="AG69" s="13">
        <v>0.0485697394225809</v>
      </c>
      <c r="AH69" s="13">
        <v>0</v>
      </c>
    </row>
    <row r="73" spans="4:34">
      <c r="D73" s="13" t="s">
        <v>0</v>
      </c>
      <c r="E73" s="13" t="s">
        <v>1</v>
      </c>
      <c r="F73" s="13" t="s">
        <v>2</v>
      </c>
      <c r="G73" s="13" t="s">
        <v>3</v>
      </c>
      <c r="H73" s="13" t="s">
        <v>4</v>
      </c>
      <c r="I73" s="13" t="s">
        <v>5</v>
      </c>
      <c r="J73" s="13" t="s">
        <v>6</v>
      </c>
      <c r="K73" s="13" t="s">
        <v>7</v>
      </c>
      <c r="L73" s="13" t="s">
        <v>8</v>
      </c>
      <c r="M73" s="13" t="s">
        <v>9</v>
      </c>
      <c r="N73" s="13" t="s">
        <v>10</v>
      </c>
      <c r="O73" s="13" t="s">
        <v>11</v>
      </c>
      <c r="P73" s="13" t="s">
        <v>12</v>
      </c>
      <c r="Q73" s="13" t="s">
        <v>13</v>
      </c>
      <c r="R73" s="13" t="s">
        <v>14</v>
      </c>
      <c r="S73" s="13" t="s">
        <v>15</v>
      </c>
      <c r="T73" s="13" t="s">
        <v>16</v>
      </c>
      <c r="U73" s="13" t="s">
        <v>17</v>
      </c>
      <c r="V73" s="13" t="s">
        <v>18</v>
      </c>
      <c r="W73" s="13" t="s">
        <v>19</v>
      </c>
      <c r="X73" s="13" t="s">
        <v>20</v>
      </c>
      <c r="Y73" s="13" t="s">
        <v>21</v>
      </c>
      <c r="Z73" s="13" t="s">
        <v>22</v>
      </c>
      <c r="AA73" s="13" t="s">
        <v>23</v>
      </c>
      <c r="AB73" s="13" t="s">
        <v>24</v>
      </c>
      <c r="AC73" s="13" t="s">
        <v>25</v>
      </c>
      <c r="AD73" s="13" t="s">
        <v>26</v>
      </c>
      <c r="AE73" s="13" t="s">
        <v>27</v>
      </c>
      <c r="AF73" s="13" t="s">
        <v>28</v>
      </c>
      <c r="AG73" s="13" t="s">
        <v>29</v>
      </c>
      <c r="AH73" s="13" t="s">
        <v>30</v>
      </c>
    </row>
    <row r="74" ht="26" spans="2:34">
      <c r="B74" s="22" t="s">
        <v>49</v>
      </c>
      <c r="C74" s="13" t="s">
        <v>0</v>
      </c>
      <c r="D74" s="13">
        <f>0.5*D2+0.5*D39</f>
        <v>0</v>
      </c>
      <c r="E74" s="13">
        <f t="shared" ref="E74:AH74" si="0">0.5*E2+0.5*E39</f>
        <v>0.167467053233303</v>
      </c>
      <c r="F74" s="13">
        <f t="shared" si="0"/>
        <v>0.0578737968548517</v>
      </c>
      <c r="G74" s="13">
        <f t="shared" si="0"/>
        <v>0.0374925233703547</v>
      </c>
      <c r="H74" s="13">
        <f t="shared" si="0"/>
        <v>0.0405130383608776</v>
      </c>
      <c r="I74" s="13">
        <f t="shared" si="0"/>
        <v>0.0304591038691712</v>
      </c>
      <c r="J74" s="13">
        <f t="shared" si="0"/>
        <v>0.0236095472751054</v>
      </c>
      <c r="K74" s="13">
        <f t="shared" si="0"/>
        <v>0.020321002301907</v>
      </c>
      <c r="L74" s="13">
        <f t="shared" si="0"/>
        <v>0.155477063289138</v>
      </c>
      <c r="M74" s="13">
        <f t="shared" si="0"/>
        <v>0.0368214220550503</v>
      </c>
      <c r="N74" s="13">
        <f t="shared" si="0"/>
        <v>0.0299931850930425</v>
      </c>
      <c r="O74" s="13">
        <f t="shared" si="0"/>
        <v>0.0219242730462361</v>
      </c>
      <c r="P74" s="13">
        <f t="shared" si="0"/>
        <v>0.0226627670760189</v>
      </c>
      <c r="Q74" s="13">
        <f t="shared" si="0"/>
        <v>0.0183147424170481</v>
      </c>
      <c r="R74" s="13">
        <f t="shared" si="0"/>
        <v>0.0454673554797798</v>
      </c>
      <c r="S74" s="13">
        <f t="shared" si="0"/>
        <v>0.0279939328385333</v>
      </c>
      <c r="T74" s="13">
        <f t="shared" si="0"/>
        <v>0.0217951590191926</v>
      </c>
      <c r="U74" s="13">
        <f t="shared" si="0"/>
        <v>0.018373084736482</v>
      </c>
      <c r="V74" s="13">
        <f t="shared" si="0"/>
        <v>0.021663571930775</v>
      </c>
      <c r="W74" s="13">
        <f t="shared" si="0"/>
        <v>0.0143052795180144</v>
      </c>
      <c r="X74" s="13">
        <f t="shared" si="0"/>
        <v>0.0145977101743599</v>
      </c>
      <c r="Y74" s="13">
        <f t="shared" si="0"/>
        <v>0.0188167072807279</v>
      </c>
      <c r="Z74" s="13">
        <f t="shared" si="0"/>
        <v>0.0167535895378102</v>
      </c>
      <c r="AA74" s="13">
        <f t="shared" si="0"/>
        <v>0.0148095820372089</v>
      </c>
      <c r="AB74" s="13">
        <f t="shared" si="0"/>
        <v>0.0139364145880675</v>
      </c>
      <c r="AC74" s="13">
        <f t="shared" si="0"/>
        <v>0.0131209122860138</v>
      </c>
      <c r="AD74" s="13">
        <f t="shared" si="0"/>
        <v>0.0228671350601286</v>
      </c>
      <c r="AE74" s="13">
        <f t="shared" si="0"/>
        <v>0.0177492454890577</v>
      </c>
      <c r="AF74" s="13">
        <f t="shared" si="0"/>
        <v>0.0178652651770079</v>
      </c>
      <c r="AG74" s="13">
        <f t="shared" si="0"/>
        <v>0.0226732041898636</v>
      </c>
      <c r="AH74" s="13">
        <f t="shared" si="0"/>
        <v>0.0142823324148722</v>
      </c>
    </row>
    <row r="75" spans="3:34">
      <c r="C75" s="13" t="s">
        <v>1</v>
      </c>
      <c r="D75" s="13">
        <f t="shared" ref="D75:AH75" si="1">0.5*D3+0.5*D40</f>
        <v>0.167027044559792</v>
      </c>
      <c r="E75" s="13">
        <f t="shared" si="1"/>
        <v>0</v>
      </c>
      <c r="F75" s="13">
        <f t="shared" si="1"/>
        <v>0.0548704198346709</v>
      </c>
      <c r="G75" s="13">
        <f t="shared" si="1"/>
        <v>0.0369122999994159</v>
      </c>
      <c r="H75" s="13">
        <f t="shared" si="1"/>
        <v>0.0407845309534664</v>
      </c>
      <c r="I75" s="13">
        <f t="shared" si="1"/>
        <v>0.0358205869384962</v>
      </c>
      <c r="J75" s="13">
        <f t="shared" si="1"/>
        <v>0.0267502681864736</v>
      </c>
      <c r="K75" s="13">
        <f t="shared" si="1"/>
        <v>0.0226737698309526</v>
      </c>
      <c r="L75" s="13">
        <f t="shared" si="1"/>
        <v>0.04737613759522</v>
      </c>
      <c r="M75" s="13">
        <f t="shared" si="1"/>
        <v>0.0604577342457878</v>
      </c>
      <c r="N75" s="13">
        <f t="shared" si="1"/>
        <v>0.0441537608532556</v>
      </c>
      <c r="O75" s="13">
        <f t="shared" si="1"/>
        <v>0.0249299948132901</v>
      </c>
      <c r="P75" s="13">
        <f t="shared" si="1"/>
        <v>0.0298710274188755</v>
      </c>
      <c r="Q75" s="13">
        <f t="shared" si="1"/>
        <v>0.0207311686048558</v>
      </c>
      <c r="R75" s="13">
        <f t="shared" si="1"/>
        <v>0.0575510054064363</v>
      </c>
      <c r="S75" s="13">
        <f t="shared" si="1"/>
        <v>0.0306280342846431</v>
      </c>
      <c r="T75" s="13">
        <f t="shared" si="1"/>
        <v>0.025219312231172</v>
      </c>
      <c r="U75" s="13">
        <f t="shared" si="1"/>
        <v>0.0209136530341534</v>
      </c>
      <c r="V75" s="13">
        <f t="shared" si="1"/>
        <v>0.0290411815291834</v>
      </c>
      <c r="W75" s="13">
        <f t="shared" si="1"/>
        <v>0.0161923835007342</v>
      </c>
      <c r="X75" s="13">
        <f t="shared" si="1"/>
        <v>0.0169140872802051</v>
      </c>
      <c r="Y75" s="13">
        <f t="shared" si="1"/>
        <v>0.0217303175200619</v>
      </c>
      <c r="Z75" s="13">
        <f t="shared" si="1"/>
        <v>0.0186694818105601</v>
      </c>
      <c r="AA75" s="13">
        <f t="shared" si="1"/>
        <v>0.0164043099564001</v>
      </c>
      <c r="AB75" s="13">
        <f t="shared" si="1"/>
        <v>0.0155919464213748</v>
      </c>
      <c r="AC75" s="13">
        <f t="shared" si="1"/>
        <v>0.0148266636483219</v>
      </c>
      <c r="AD75" s="13">
        <f t="shared" si="1"/>
        <v>0.0251400321683774</v>
      </c>
      <c r="AE75" s="13">
        <f t="shared" si="1"/>
        <v>0.0188093409874528</v>
      </c>
      <c r="AF75" s="13">
        <f t="shared" si="1"/>
        <v>0.019593556471734</v>
      </c>
      <c r="AG75" s="13">
        <f t="shared" si="1"/>
        <v>0.0240249046546424</v>
      </c>
      <c r="AH75" s="13">
        <f t="shared" si="1"/>
        <v>0.0163910452599948</v>
      </c>
    </row>
    <row r="76" spans="3:34">
      <c r="C76" s="13" t="s">
        <v>2</v>
      </c>
      <c r="D76" s="13">
        <f>0.5*D4+0.5*D41</f>
        <v>0.049198201773878</v>
      </c>
      <c r="E76" s="13">
        <f t="shared" ref="D76:AH76" si="2">0.5*E4+0.5*E41</f>
        <v>0.0439967849364465</v>
      </c>
      <c r="F76" s="13">
        <f t="shared" si="2"/>
        <v>0</v>
      </c>
      <c r="G76" s="13">
        <f t="shared" si="2"/>
        <v>0.0782164844580776</v>
      </c>
      <c r="H76" s="13">
        <f t="shared" si="2"/>
        <v>0.0343207576730156</v>
      </c>
      <c r="I76" s="13">
        <f t="shared" si="2"/>
        <v>0.0175929521905899</v>
      </c>
      <c r="J76" s="13">
        <f t="shared" si="2"/>
        <v>0.0245021631759638</v>
      </c>
      <c r="K76" s="13">
        <f t="shared" si="2"/>
        <v>0.0355033612342754</v>
      </c>
      <c r="L76" s="13">
        <f t="shared" si="2"/>
        <v>0.0123832937556766</v>
      </c>
      <c r="M76" s="13">
        <f t="shared" si="2"/>
        <v>0.016515893566756</v>
      </c>
      <c r="N76" s="13">
        <f t="shared" si="2"/>
        <v>0.0129447063486863</v>
      </c>
      <c r="O76" s="13">
        <f t="shared" si="2"/>
        <v>0.0271056443315495</v>
      </c>
      <c r="P76" s="13">
        <f t="shared" si="2"/>
        <v>0.0105285479819234</v>
      </c>
      <c r="Q76" s="13">
        <f t="shared" si="2"/>
        <v>0.0219776478280293</v>
      </c>
      <c r="R76" s="13">
        <f t="shared" si="2"/>
        <v>0.0418036758589889</v>
      </c>
      <c r="S76" s="13">
        <f t="shared" si="2"/>
        <v>0.0541765661669371</v>
      </c>
      <c r="T76" s="13">
        <f t="shared" si="2"/>
        <v>0.0222669871049085</v>
      </c>
      <c r="U76" s="13">
        <f t="shared" si="2"/>
        <v>0.0978138586187691</v>
      </c>
      <c r="V76" s="13">
        <f t="shared" si="2"/>
        <v>0.00917093625086531</v>
      </c>
      <c r="W76" s="13">
        <f t="shared" si="2"/>
        <v>0.013321272867753</v>
      </c>
      <c r="X76" s="13">
        <f t="shared" si="2"/>
        <v>0.0399177710566999</v>
      </c>
      <c r="Y76" s="13">
        <f t="shared" si="2"/>
        <v>0.0187376892066201</v>
      </c>
      <c r="Z76" s="13">
        <f t="shared" si="2"/>
        <v>0.0215646140806414</v>
      </c>
      <c r="AA76" s="13">
        <f t="shared" si="2"/>
        <v>0.0120691650216901</v>
      </c>
      <c r="AB76" s="13">
        <f t="shared" si="2"/>
        <v>0.0114944422560594</v>
      </c>
      <c r="AC76" s="13">
        <f t="shared" si="2"/>
        <v>0.0114731786792645</v>
      </c>
      <c r="AD76" s="13">
        <f t="shared" si="2"/>
        <v>0.0354808658693669</v>
      </c>
      <c r="AE76" s="13">
        <f t="shared" si="2"/>
        <v>0.015709686779696</v>
      </c>
      <c r="AF76" s="13">
        <f t="shared" si="2"/>
        <v>0.0276090410526854</v>
      </c>
      <c r="AG76" s="13">
        <f t="shared" si="2"/>
        <v>0.126908256666403</v>
      </c>
      <c r="AH76" s="13">
        <f t="shared" si="2"/>
        <v>0.0556955532077836</v>
      </c>
    </row>
    <row r="77" spans="3:34">
      <c r="C77" s="13" t="s">
        <v>3</v>
      </c>
      <c r="D77" s="13">
        <f t="shared" ref="D77:AH77" si="3">0.5*D5+0.5*D42</f>
        <v>0.0308700490429679</v>
      </c>
      <c r="E77" s="13">
        <f t="shared" si="3"/>
        <v>0.0281970279483144</v>
      </c>
      <c r="F77" s="13">
        <f t="shared" si="3"/>
        <v>0.0809058468104977</v>
      </c>
      <c r="G77" s="13">
        <f t="shared" si="3"/>
        <v>0</v>
      </c>
      <c r="H77" s="13">
        <f t="shared" si="3"/>
        <v>0.0387621501744376</v>
      </c>
      <c r="I77" s="13">
        <f t="shared" si="3"/>
        <v>0.0147904743182531</v>
      </c>
      <c r="J77" s="13">
        <f t="shared" si="3"/>
        <v>0.0161523419480626</v>
      </c>
      <c r="K77" s="13">
        <f t="shared" si="3"/>
        <v>0.0371145632366952</v>
      </c>
      <c r="L77" s="13">
        <f t="shared" si="3"/>
        <v>0.0119636645428253</v>
      </c>
      <c r="M77" s="13">
        <f t="shared" si="3"/>
        <v>0.0159699661188055</v>
      </c>
      <c r="N77" s="13">
        <f t="shared" si="3"/>
        <v>0.0126175618782551</v>
      </c>
      <c r="O77" s="13">
        <f t="shared" si="3"/>
        <v>0.0844715383094569</v>
      </c>
      <c r="P77" s="13">
        <f t="shared" si="3"/>
        <v>0.0103999116330582</v>
      </c>
      <c r="Q77" s="13">
        <f t="shared" si="3"/>
        <v>0.0589094595858874</v>
      </c>
      <c r="R77" s="13">
        <f t="shared" si="3"/>
        <v>0.0306574184593124</v>
      </c>
      <c r="S77" s="13">
        <f t="shared" si="3"/>
        <v>0.0646130420316916</v>
      </c>
      <c r="T77" s="13">
        <f t="shared" si="3"/>
        <v>0.0199905280121182</v>
      </c>
      <c r="U77" s="13">
        <f t="shared" si="3"/>
        <v>0.027495607700219</v>
      </c>
      <c r="V77" s="13">
        <f t="shared" si="3"/>
        <v>0.00938915841602453</v>
      </c>
      <c r="W77" s="13">
        <f t="shared" si="3"/>
        <v>0.0196090409350792</v>
      </c>
      <c r="X77" s="13">
        <f t="shared" si="3"/>
        <v>0.0289775503394393</v>
      </c>
      <c r="Y77" s="13">
        <f t="shared" si="3"/>
        <v>0.0169286457612829</v>
      </c>
      <c r="Z77" s="13">
        <f t="shared" si="3"/>
        <v>0.096384722073653</v>
      </c>
      <c r="AA77" s="13">
        <f t="shared" si="3"/>
        <v>0.0146837199379695</v>
      </c>
      <c r="AB77" s="13">
        <f t="shared" si="3"/>
        <v>0.0147270967883102</v>
      </c>
      <c r="AC77" s="13">
        <f t="shared" si="3"/>
        <v>0.0166963590011513</v>
      </c>
      <c r="AD77" s="13">
        <f t="shared" si="3"/>
        <v>0.0316614604981246</v>
      </c>
      <c r="AE77" s="13">
        <f t="shared" si="3"/>
        <v>0.0202586256659377</v>
      </c>
      <c r="AF77" s="13">
        <f t="shared" si="3"/>
        <v>0.0852551056150428</v>
      </c>
      <c r="AG77" s="13">
        <f t="shared" si="3"/>
        <v>0.0375764156767428</v>
      </c>
      <c r="AH77" s="13">
        <f t="shared" si="3"/>
        <v>0.0239709475403842</v>
      </c>
    </row>
    <row r="78" spans="3:34">
      <c r="C78" s="13" t="s">
        <v>4</v>
      </c>
      <c r="D78" s="13">
        <f t="shared" ref="D78:AH78" si="4">0.5*D6+0.5*D43</f>
        <v>0.039853679947991</v>
      </c>
      <c r="E78" s="13">
        <f t="shared" si="4"/>
        <v>0.0346908738306983</v>
      </c>
      <c r="F78" s="13">
        <f t="shared" si="4"/>
        <v>0.0506016966500062</v>
      </c>
      <c r="G78" s="13">
        <f t="shared" si="4"/>
        <v>0.0532640217208762</v>
      </c>
      <c r="H78" s="13">
        <f t="shared" si="4"/>
        <v>0</v>
      </c>
      <c r="I78" s="13">
        <f t="shared" si="4"/>
        <v>0.0490805259579321</v>
      </c>
      <c r="J78" s="13">
        <f t="shared" si="4"/>
        <v>0.0240580016171073</v>
      </c>
      <c r="K78" s="13">
        <f t="shared" si="4"/>
        <v>0.019367356606127</v>
      </c>
      <c r="L78" s="13">
        <f t="shared" si="4"/>
        <v>0.0143214356006113</v>
      </c>
      <c r="M78" s="13">
        <f t="shared" si="4"/>
        <v>0.0212264575013363</v>
      </c>
      <c r="N78" s="13">
        <f t="shared" si="4"/>
        <v>0.0213497032012039</v>
      </c>
      <c r="O78" s="13">
        <f t="shared" si="4"/>
        <v>0.0207082606776507</v>
      </c>
      <c r="P78" s="13">
        <f t="shared" si="4"/>
        <v>0.0363816887644785</v>
      </c>
      <c r="Q78" s="13">
        <f t="shared" si="4"/>
        <v>0.0178996216371993</v>
      </c>
      <c r="R78" s="13">
        <f t="shared" si="4"/>
        <v>0.2439509024261</v>
      </c>
      <c r="S78" s="13">
        <f t="shared" si="4"/>
        <v>0.0301293447118332</v>
      </c>
      <c r="T78" s="13">
        <f t="shared" si="4"/>
        <v>0.02664992051383</v>
      </c>
      <c r="U78" s="13">
        <f t="shared" si="4"/>
        <v>0.0195742629465431</v>
      </c>
      <c r="V78" s="13">
        <f t="shared" si="4"/>
        <v>0.0316325011394494</v>
      </c>
      <c r="W78" s="13">
        <f t="shared" si="4"/>
        <v>0.0136661419064834</v>
      </c>
      <c r="X78" s="13">
        <f t="shared" si="4"/>
        <v>0.0147155006149842</v>
      </c>
      <c r="Y78" s="13">
        <f t="shared" si="4"/>
        <v>0.0250630999822265</v>
      </c>
      <c r="Z78" s="13">
        <f t="shared" si="4"/>
        <v>0.0188272044771326</v>
      </c>
      <c r="AA78" s="13">
        <f t="shared" si="4"/>
        <v>0.0145391350799536</v>
      </c>
      <c r="AB78" s="13">
        <f t="shared" si="4"/>
        <v>0.0135527852404579</v>
      </c>
      <c r="AC78" s="13">
        <f t="shared" si="4"/>
        <v>0.0128857586325055</v>
      </c>
      <c r="AD78" s="13">
        <f t="shared" si="4"/>
        <v>0.0311582816799163</v>
      </c>
      <c r="AE78" s="13">
        <f t="shared" si="4"/>
        <v>0.0231767288737419</v>
      </c>
      <c r="AF78" s="13">
        <f t="shared" si="4"/>
        <v>0.0232285672063508</v>
      </c>
      <c r="AG78" s="13">
        <f t="shared" si="4"/>
        <v>0.0386016904536626</v>
      </c>
      <c r="AH78" s="13">
        <f t="shared" si="4"/>
        <v>0.0158448504016108</v>
      </c>
    </row>
    <row r="79" spans="3:34">
      <c r="C79" s="13" t="s">
        <v>5</v>
      </c>
      <c r="D79" s="13">
        <f t="shared" ref="D79:AH79" si="5">0.5*D7+0.5*D44</f>
        <v>0.0348042928354636</v>
      </c>
      <c r="E79" s="13">
        <f t="shared" si="5"/>
        <v>0.0384641315416555</v>
      </c>
      <c r="F79" s="13">
        <f t="shared" si="5"/>
        <v>0.0389868456621324</v>
      </c>
      <c r="G79" s="13">
        <f t="shared" si="5"/>
        <v>0.0314818274889777</v>
      </c>
      <c r="H79" s="13">
        <f t="shared" si="5"/>
        <v>0.067034625553589</v>
      </c>
      <c r="I79" s="13">
        <f t="shared" si="5"/>
        <v>0</v>
      </c>
      <c r="J79" s="13">
        <f t="shared" si="5"/>
        <v>0.0923721265798424</v>
      </c>
      <c r="K79" s="13">
        <f t="shared" si="5"/>
        <v>0.0523234277655439</v>
      </c>
      <c r="L79" s="13">
        <f t="shared" si="5"/>
        <v>0.0204490132184852</v>
      </c>
      <c r="M79" s="13">
        <f t="shared" si="5"/>
        <v>0.025737465541552</v>
      </c>
      <c r="N79" s="13">
        <f t="shared" si="5"/>
        <v>0.0260657882682375</v>
      </c>
      <c r="O79" s="13">
        <f t="shared" si="5"/>
        <v>0.027940105466479</v>
      </c>
      <c r="P79" s="13">
        <f t="shared" si="5"/>
        <v>0.0325097985214116</v>
      </c>
      <c r="Q79" s="13">
        <f t="shared" si="5"/>
        <v>0.0240256104783065</v>
      </c>
      <c r="R79" s="13">
        <f t="shared" si="5"/>
        <v>0.0809750742987817</v>
      </c>
      <c r="S79" s="13">
        <f t="shared" si="5"/>
        <v>0.0307777883977676</v>
      </c>
      <c r="T79" s="13">
        <f t="shared" si="5"/>
        <v>0.0439499395308978</v>
      </c>
      <c r="U79" s="13">
        <f t="shared" si="5"/>
        <v>0.0265974414261473</v>
      </c>
      <c r="V79" s="13">
        <f t="shared" si="5"/>
        <v>0.0282964345341965</v>
      </c>
      <c r="W79" s="13">
        <f t="shared" si="5"/>
        <v>0.0179878503585804</v>
      </c>
      <c r="X79" s="13">
        <f t="shared" si="5"/>
        <v>0.0218847170727159</v>
      </c>
      <c r="Y79" s="13">
        <f t="shared" si="5"/>
        <v>0.039898469732298</v>
      </c>
      <c r="Z79" s="13">
        <f t="shared" si="5"/>
        <v>0.0215071809970096</v>
      </c>
      <c r="AA79" s="13">
        <f t="shared" si="5"/>
        <v>0.0169217378922386</v>
      </c>
      <c r="AB79" s="13">
        <f t="shared" si="5"/>
        <v>0.0164731935433658</v>
      </c>
      <c r="AC79" s="13">
        <f t="shared" si="5"/>
        <v>0.0161918561501864</v>
      </c>
      <c r="AD79" s="13">
        <f t="shared" si="5"/>
        <v>0.0338771748823418</v>
      </c>
      <c r="AE79" s="13">
        <f t="shared" si="5"/>
        <v>0.0187305570822222</v>
      </c>
      <c r="AF79" s="13">
        <f t="shared" si="5"/>
        <v>0.0231874605408646</v>
      </c>
      <c r="AG79" s="13">
        <f t="shared" si="5"/>
        <v>0.0287357596685384</v>
      </c>
      <c r="AH79" s="13">
        <f t="shared" si="5"/>
        <v>0.0218123049701709</v>
      </c>
    </row>
    <row r="80" spans="3:34">
      <c r="C80" s="13" t="s">
        <v>6</v>
      </c>
      <c r="D80" s="13">
        <f t="shared" ref="D80:AH80" si="6">0.5*D8+0.5*D45</f>
        <v>0.0250610154658208</v>
      </c>
      <c r="E80" s="13">
        <f t="shared" si="6"/>
        <v>0.0262424726568094</v>
      </c>
      <c r="F80" s="13">
        <f t="shared" si="6"/>
        <v>0.0448386879375368</v>
      </c>
      <c r="G80" s="13">
        <f t="shared" si="6"/>
        <v>0.0293092265653024</v>
      </c>
      <c r="H80" s="13">
        <f t="shared" si="6"/>
        <v>0.0243837295651195</v>
      </c>
      <c r="I80" s="13">
        <f t="shared" si="6"/>
        <v>0.0835502134468189</v>
      </c>
      <c r="J80" s="13">
        <f t="shared" si="6"/>
        <v>0</v>
      </c>
      <c r="K80" s="13">
        <f t="shared" si="6"/>
        <v>0.105164558471411</v>
      </c>
      <c r="L80" s="13">
        <f t="shared" si="6"/>
        <v>0.0158165328661331</v>
      </c>
      <c r="M80" s="13">
        <f t="shared" si="6"/>
        <v>0.0173550613141618</v>
      </c>
      <c r="N80" s="13">
        <f t="shared" si="6"/>
        <v>0.0165557464952017</v>
      </c>
      <c r="O80" s="13">
        <f t="shared" si="6"/>
        <v>0.0256545898156882</v>
      </c>
      <c r="P80" s="13">
        <f t="shared" si="6"/>
        <v>0.0152603918530767</v>
      </c>
      <c r="Q80" s="13">
        <f t="shared" si="6"/>
        <v>0.0224869517789789</v>
      </c>
      <c r="R80" s="13">
        <f t="shared" si="6"/>
        <v>0.0268792190490278</v>
      </c>
      <c r="S80" s="13">
        <f t="shared" si="6"/>
        <v>0.0312383317446704</v>
      </c>
      <c r="T80" s="13">
        <f t="shared" si="6"/>
        <v>0.0549322863179262</v>
      </c>
      <c r="U80" s="13">
        <f t="shared" si="6"/>
        <v>0.032673549890554</v>
      </c>
      <c r="V80" s="13">
        <f t="shared" si="6"/>
        <v>0.0130009971175936</v>
      </c>
      <c r="W80" s="13">
        <f t="shared" si="6"/>
        <v>0.0159940995026074</v>
      </c>
      <c r="X80" s="13">
        <f t="shared" si="6"/>
        <v>0.0256090477734842</v>
      </c>
      <c r="Y80" s="13">
        <f t="shared" si="6"/>
        <v>0.0554283853649879</v>
      </c>
      <c r="Z80" s="13">
        <f t="shared" si="6"/>
        <v>0.020994198265919</v>
      </c>
      <c r="AA80" s="13">
        <f t="shared" si="6"/>
        <v>0.014175207187835</v>
      </c>
      <c r="AB80" s="13">
        <f t="shared" si="6"/>
        <v>0.0140763097214195</v>
      </c>
      <c r="AC80" s="13">
        <f t="shared" si="6"/>
        <v>0.0143792014643952</v>
      </c>
      <c r="AD80" s="13">
        <f t="shared" si="6"/>
        <v>0.126216308179075</v>
      </c>
      <c r="AE80" s="13">
        <f t="shared" si="6"/>
        <v>0.0158122149482557</v>
      </c>
      <c r="AF80" s="13">
        <f t="shared" si="6"/>
        <v>0.0240778580104812</v>
      </c>
      <c r="AG80" s="13">
        <f t="shared" si="6"/>
        <v>0.035407297343133</v>
      </c>
      <c r="AH80" s="13">
        <f t="shared" si="6"/>
        <v>0.0274263098865757</v>
      </c>
    </row>
    <row r="81" spans="3:34">
      <c r="C81" s="13" t="s">
        <v>7</v>
      </c>
      <c r="D81" s="13">
        <f t="shared" ref="D81:AH81" si="7">0.5*D9+0.5*D46</f>
        <v>0.0228324581911737</v>
      </c>
      <c r="E81" s="13">
        <f t="shared" si="7"/>
        <v>0.0232129433269181</v>
      </c>
      <c r="F81" s="13">
        <f t="shared" si="7"/>
        <v>0.029717425472502</v>
      </c>
      <c r="G81" s="13">
        <f t="shared" si="7"/>
        <v>0.0296519840157134</v>
      </c>
      <c r="H81" s="13">
        <f t="shared" si="7"/>
        <v>0.0189743753706255</v>
      </c>
      <c r="I81" s="13">
        <f t="shared" si="7"/>
        <v>0.048361508594461</v>
      </c>
      <c r="J81" s="13">
        <f t="shared" si="7"/>
        <v>0.10681267592057</v>
      </c>
      <c r="K81" s="13">
        <f t="shared" si="7"/>
        <v>0</v>
      </c>
      <c r="L81" s="13">
        <f t="shared" si="7"/>
        <v>0.0147143161147825</v>
      </c>
      <c r="M81" s="13">
        <f t="shared" si="7"/>
        <v>0.0150588500097111</v>
      </c>
      <c r="N81" s="13">
        <f t="shared" si="7"/>
        <v>0.0139670893184195</v>
      </c>
      <c r="O81" s="13">
        <f t="shared" si="7"/>
        <v>0.0230999501787476</v>
      </c>
      <c r="P81" s="13">
        <f t="shared" si="7"/>
        <v>0.0114660427740277</v>
      </c>
      <c r="Q81" s="13">
        <f t="shared" si="7"/>
        <v>0.0195238878063488</v>
      </c>
      <c r="R81" s="13">
        <f t="shared" si="7"/>
        <v>0.0198356717487175</v>
      </c>
      <c r="S81" s="13">
        <f t="shared" si="7"/>
        <v>0.296954299182422</v>
      </c>
      <c r="T81" s="13">
        <f t="shared" si="7"/>
        <v>0.0147691754500736</v>
      </c>
      <c r="U81" s="13">
        <f t="shared" si="7"/>
        <v>0.0267783632886824</v>
      </c>
      <c r="V81" s="13">
        <f t="shared" si="7"/>
        <v>0.00948382294296772</v>
      </c>
      <c r="W81" s="13">
        <f t="shared" si="7"/>
        <v>0.0118675000772483</v>
      </c>
      <c r="X81" s="13">
        <f t="shared" si="7"/>
        <v>0.0581744515542973</v>
      </c>
      <c r="Y81" s="13">
        <f t="shared" si="7"/>
        <v>0.0124766220291382</v>
      </c>
      <c r="Z81" s="13">
        <f t="shared" si="7"/>
        <v>0.019281733171257</v>
      </c>
      <c r="AA81" s="13">
        <f t="shared" si="7"/>
        <v>0.0107969392451257</v>
      </c>
      <c r="AB81" s="13">
        <f t="shared" si="7"/>
        <v>0.0103575231519932</v>
      </c>
      <c r="AC81" s="13">
        <f t="shared" si="7"/>
        <v>0.0104026456921268</v>
      </c>
      <c r="AD81" s="13">
        <f t="shared" si="7"/>
        <v>0.016726004693234</v>
      </c>
      <c r="AE81" s="13">
        <f t="shared" si="7"/>
        <v>0.0128675831710684</v>
      </c>
      <c r="AF81" s="13">
        <f t="shared" si="7"/>
        <v>0.0323979085109551</v>
      </c>
      <c r="AG81" s="13">
        <f t="shared" si="7"/>
        <v>0.0278312573939381</v>
      </c>
      <c r="AH81" s="13">
        <f t="shared" si="7"/>
        <v>0.0316049916027537</v>
      </c>
    </row>
    <row r="82" spans="3:34">
      <c r="C82" s="13" t="s">
        <v>8</v>
      </c>
      <c r="D82" s="13">
        <f t="shared" ref="D82:AH82" si="8">0.5*D10+0.5*D47</f>
        <v>0.168984484462819</v>
      </c>
      <c r="E82" s="13">
        <f t="shared" si="8"/>
        <v>0.053210822716023</v>
      </c>
      <c r="F82" s="13">
        <f t="shared" si="8"/>
        <v>0.0239679739317964</v>
      </c>
      <c r="G82" s="13">
        <f t="shared" si="8"/>
        <v>0.0222910882386101</v>
      </c>
      <c r="H82" s="13">
        <f t="shared" si="8"/>
        <v>0.0234905612088459</v>
      </c>
      <c r="I82" s="13">
        <f t="shared" si="8"/>
        <v>0.024236949673578</v>
      </c>
      <c r="J82" s="13">
        <f t="shared" si="8"/>
        <v>0.0203057878869794</v>
      </c>
      <c r="K82" s="13">
        <f t="shared" si="8"/>
        <v>0.0180751108924921</v>
      </c>
      <c r="L82" s="13">
        <f t="shared" si="8"/>
        <v>0</v>
      </c>
      <c r="M82" s="13">
        <f t="shared" si="8"/>
        <v>0.0711758594238187</v>
      </c>
      <c r="N82" s="13">
        <f t="shared" si="8"/>
        <v>0.108255563157097</v>
      </c>
      <c r="O82" s="13">
        <f t="shared" si="8"/>
        <v>0.04512017544509</v>
      </c>
      <c r="P82" s="13">
        <f t="shared" si="8"/>
        <v>0.0382012693439423</v>
      </c>
      <c r="Q82" s="13">
        <f t="shared" si="8"/>
        <v>0.0315192510733316</v>
      </c>
      <c r="R82" s="13">
        <f t="shared" si="8"/>
        <v>0.0329858926026759</v>
      </c>
      <c r="S82" s="13">
        <f t="shared" si="8"/>
        <v>0.0266467469693374</v>
      </c>
      <c r="T82" s="13">
        <f t="shared" si="8"/>
        <v>0.0313516693096201</v>
      </c>
      <c r="U82" s="13">
        <f t="shared" si="8"/>
        <v>0.0253179157321545</v>
      </c>
      <c r="V82" s="13">
        <f t="shared" si="8"/>
        <v>0.0267558941944881</v>
      </c>
      <c r="W82" s="13">
        <f t="shared" si="8"/>
        <v>0.0175548563683585</v>
      </c>
      <c r="X82" s="13">
        <f t="shared" si="8"/>
        <v>0.0180773082942848</v>
      </c>
      <c r="Y82" s="13">
        <f t="shared" si="8"/>
        <v>0.0206369425788126</v>
      </c>
      <c r="Z82" s="13">
        <f t="shared" si="8"/>
        <v>0.0177841331525134</v>
      </c>
      <c r="AA82" s="13">
        <f t="shared" si="8"/>
        <v>0.0174581553122157</v>
      </c>
      <c r="AB82" s="13">
        <f t="shared" si="8"/>
        <v>0.0156880676491187</v>
      </c>
      <c r="AC82" s="13">
        <f t="shared" si="8"/>
        <v>0.0136243267140888</v>
      </c>
      <c r="AD82" s="13">
        <f t="shared" si="8"/>
        <v>0.0216506904909614</v>
      </c>
      <c r="AE82" s="13">
        <f t="shared" si="8"/>
        <v>0.0163350324988445</v>
      </c>
      <c r="AF82" s="13">
        <f t="shared" si="8"/>
        <v>0.0167402166285393</v>
      </c>
      <c r="AG82" s="13">
        <f t="shared" si="8"/>
        <v>0.0185991653916962</v>
      </c>
      <c r="AH82" s="13">
        <f t="shared" si="8"/>
        <v>0.0139580886578663</v>
      </c>
    </row>
    <row r="83" spans="3:34">
      <c r="C83" s="13" t="s">
        <v>9</v>
      </c>
      <c r="D83" s="13">
        <f t="shared" ref="D83:AH83" si="9">0.5*D11+0.5*D48</f>
        <v>0.0300941531001551</v>
      </c>
      <c r="E83" s="13">
        <f t="shared" si="9"/>
        <v>0.0474683682778522</v>
      </c>
      <c r="F83" s="13">
        <f t="shared" si="9"/>
        <v>0.0269249914154616</v>
      </c>
      <c r="G83" s="13">
        <f t="shared" si="9"/>
        <v>0.0247124331165118</v>
      </c>
      <c r="H83" s="13">
        <f t="shared" si="9"/>
        <v>0.032162804526384</v>
      </c>
      <c r="I83" s="13">
        <f t="shared" si="9"/>
        <v>0.0281547534071415</v>
      </c>
      <c r="J83" s="13">
        <f t="shared" si="9"/>
        <v>0.0212659142514319</v>
      </c>
      <c r="K83" s="13">
        <f t="shared" si="9"/>
        <v>0.0182039334812121</v>
      </c>
      <c r="L83" s="13">
        <f t="shared" si="9"/>
        <v>0.0551224757514643</v>
      </c>
      <c r="M83" s="13">
        <f t="shared" si="9"/>
        <v>0</v>
      </c>
      <c r="N83" s="13">
        <f t="shared" si="9"/>
        <v>0.127876790648463</v>
      </c>
      <c r="O83" s="13">
        <f t="shared" si="9"/>
        <v>0.097406656952328</v>
      </c>
      <c r="P83" s="13">
        <f t="shared" si="9"/>
        <v>0.0474859894199936</v>
      </c>
      <c r="Q83" s="13">
        <f t="shared" si="9"/>
        <v>0.034176579249444</v>
      </c>
      <c r="R83" s="13">
        <f t="shared" si="9"/>
        <v>0.0443106960555453</v>
      </c>
      <c r="S83" s="13">
        <f t="shared" si="9"/>
        <v>0.0326049522642957</v>
      </c>
      <c r="T83" s="13">
        <f t="shared" si="9"/>
        <v>0.0399772703990772</v>
      </c>
      <c r="U83" s="13">
        <f t="shared" si="9"/>
        <v>0.0278850169515067</v>
      </c>
      <c r="V83" s="13">
        <f t="shared" si="9"/>
        <v>0.0423750002307663</v>
      </c>
      <c r="W83" s="13">
        <f t="shared" si="9"/>
        <v>0.017664919139462</v>
      </c>
      <c r="X83" s="13">
        <f t="shared" si="9"/>
        <v>0.0186516091971921</v>
      </c>
      <c r="Y83" s="13">
        <f t="shared" si="9"/>
        <v>0.0238465121196204</v>
      </c>
      <c r="Z83" s="13">
        <f t="shared" si="9"/>
        <v>0.0189294260666145</v>
      </c>
      <c r="AA83" s="13">
        <f t="shared" si="9"/>
        <v>0.0175977063200285</v>
      </c>
      <c r="AB83" s="13">
        <f t="shared" si="9"/>
        <v>0.0158501186654616</v>
      </c>
      <c r="AC83" s="13">
        <f t="shared" si="9"/>
        <v>0.0140408092889337</v>
      </c>
      <c r="AD83" s="13">
        <f t="shared" si="9"/>
        <v>0.0249348313081782</v>
      </c>
      <c r="AE83" s="13">
        <f t="shared" si="9"/>
        <v>0.0166631193223604</v>
      </c>
      <c r="AF83" s="13">
        <f t="shared" si="9"/>
        <v>0.0179539972952521</v>
      </c>
      <c r="AG83" s="13">
        <f t="shared" si="9"/>
        <v>0.0204084777736905</v>
      </c>
      <c r="AH83" s="13">
        <f t="shared" si="9"/>
        <v>0.0152496940041714</v>
      </c>
    </row>
    <row r="84" spans="3:34">
      <c r="C84" s="13" t="s">
        <v>10</v>
      </c>
      <c r="D84" s="13">
        <f t="shared" ref="D84:AH84" si="10">0.5*D12+0.5*D49</f>
        <v>0.0238295459278047</v>
      </c>
      <c r="E84" s="13">
        <f t="shared" si="10"/>
        <v>0.0330860662921709</v>
      </c>
      <c r="F84" s="13">
        <f t="shared" si="10"/>
        <v>0.0245745272267171</v>
      </c>
      <c r="G84" s="13">
        <f t="shared" si="10"/>
        <v>0.0225985543248868</v>
      </c>
      <c r="H84" s="13">
        <f t="shared" si="10"/>
        <v>0.0350485339667306</v>
      </c>
      <c r="I84" s="13">
        <f t="shared" si="10"/>
        <v>0.0298301573890535</v>
      </c>
      <c r="J84" s="13">
        <f t="shared" si="10"/>
        <v>0.021738659686892</v>
      </c>
      <c r="K84" s="13">
        <f t="shared" si="10"/>
        <v>0.0184081847916824</v>
      </c>
      <c r="L84" s="13">
        <f t="shared" si="10"/>
        <v>0.0940353020164169</v>
      </c>
      <c r="M84" s="13">
        <f t="shared" si="10"/>
        <v>0.122215827900536</v>
      </c>
      <c r="N84" s="13">
        <f t="shared" si="10"/>
        <v>0</v>
      </c>
      <c r="O84" s="13">
        <f t="shared" si="10"/>
        <v>0.0517241435149608</v>
      </c>
      <c r="P84" s="13">
        <f t="shared" si="10"/>
        <v>0.0688461176738756</v>
      </c>
      <c r="Q84" s="13">
        <f t="shared" si="10"/>
        <v>0.0374995041866157</v>
      </c>
      <c r="R84" s="13">
        <f t="shared" si="10"/>
        <v>0.0419819259481933</v>
      </c>
      <c r="S84" s="13">
        <f t="shared" si="10"/>
        <v>0.0276669290338313</v>
      </c>
      <c r="T84" s="13">
        <f t="shared" si="10"/>
        <v>0.0375438536117361</v>
      </c>
      <c r="U84" s="13">
        <f t="shared" si="10"/>
        <v>0.0287397854078599</v>
      </c>
      <c r="V84" s="13">
        <f t="shared" si="10"/>
        <v>0.0575079880091299</v>
      </c>
      <c r="W84" s="13">
        <f t="shared" si="10"/>
        <v>0.0184941805075766</v>
      </c>
      <c r="X84" s="13">
        <f t="shared" si="10"/>
        <v>0.0199332322676844</v>
      </c>
      <c r="Y84" s="13">
        <f t="shared" si="10"/>
        <v>0.0244180864780974</v>
      </c>
      <c r="Z84" s="13">
        <f t="shared" si="10"/>
        <v>0.018888517338834</v>
      </c>
      <c r="AA84" s="13">
        <f t="shared" si="10"/>
        <v>0.0178630488567247</v>
      </c>
      <c r="AB84" s="13">
        <f t="shared" si="10"/>
        <v>0.0160776614474458</v>
      </c>
      <c r="AC84" s="13">
        <f t="shared" si="10"/>
        <v>0.0140727041382759</v>
      </c>
      <c r="AD84" s="13">
        <f t="shared" si="10"/>
        <v>0.0241050655733985</v>
      </c>
      <c r="AE84" s="13">
        <f t="shared" si="10"/>
        <v>0.0161199976250824</v>
      </c>
      <c r="AF84" s="13">
        <f t="shared" si="10"/>
        <v>0.017786708008371</v>
      </c>
      <c r="AG84" s="13">
        <f t="shared" si="10"/>
        <v>0.0199572594826103</v>
      </c>
      <c r="AH84" s="13">
        <f t="shared" si="10"/>
        <v>0.0154079313668054</v>
      </c>
    </row>
    <row r="85" spans="3:34">
      <c r="C85" s="13" t="s">
        <v>11</v>
      </c>
      <c r="D85" s="13">
        <f t="shared" ref="D85:AH85" si="11">0.5*D13+0.5*D50</f>
        <v>0.0132032713656527</v>
      </c>
      <c r="E85" s="13">
        <f t="shared" si="11"/>
        <v>0.0142688192553314</v>
      </c>
      <c r="F85" s="13">
        <f t="shared" si="11"/>
        <v>0.0216792690916442</v>
      </c>
      <c r="G85" s="13">
        <f t="shared" si="11"/>
        <v>0.0566201629634768</v>
      </c>
      <c r="H85" s="13">
        <f t="shared" si="11"/>
        <v>0.0115649803173028</v>
      </c>
      <c r="I85" s="13">
        <f t="shared" si="11"/>
        <v>0.0110015617892338</v>
      </c>
      <c r="J85" s="13">
        <f t="shared" si="11"/>
        <v>0.0112267921256738</v>
      </c>
      <c r="K85" s="13">
        <f t="shared" si="11"/>
        <v>0.0190013135772858</v>
      </c>
      <c r="L85" s="13">
        <f t="shared" si="11"/>
        <v>0.0295036083448162</v>
      </c>
      <c r="M85" s="13">
        <f t="shared" si="11"/>
        <v>0.0858561749881709</v>
      </c>
      <c r="N85" s="13">
        <f t="shared" si="11"/>
        <v>0.0368244298535912</v>
      </c>
      <c r="O85" s="13">
        <f t="shared" si="11"/>
        <v>0</v>
      </c>
      <c r="P85" s="13">
        <f t="shared" si="11"/>
        <v>0.0190112319856774</v>
      </c>
      <c r="Q85" s="13">
        <f t="shared" si="11"/>
        <v>0.121825826058225</v>
      </c>
      <c r="R85" s="13">
        <f t="shared" si="11"/>
        <v>0.0224993871099022</v>
      </c>
      <c r="S85" s="13">
        <f t="shared" si="11"/>
        <v>0.0367024789995025</v>
      </c>
      <c r="T85" s="13">
        <f t="shared" si="11"/>
        <v>0.0392755246443377</v>
      </c>
      <c r="U85" s="13">
        <f t="shared" si="11"/>
        <v>0.0275638997625205</v>
      </c>
      <c r="V85" s="13">
        <f t="shared" si="11"/>
        <v>0.0122903755637489</v>
      </c>
      <c r="W85" s="13">
        <f t="shared" si="11"/>
        <v>0.0178592302284651</v>
      </c>
      <c r="X85" s="13">
        <f t="shared" si="11"/>
        <v>0.0183338456312514</v>
      </c>
      <c r="Y85" s="13">
        <f t="shared" si="11"/>
        <v>0.0138983465394886</v>
      </c>
      <c r="Z85" s="13">
        <f t="shared" si="11"/>
        <v>0.233951826337427</v>
      </c>
      <c r="AA85" s="13">
        <f t="shared" si="11"/>
        <v>0.0133891958710648</v>
      </c>
      <c r="AB85" s="13">
        <f t="shared" si="11"/>
        <v>0.0121833448279656</v>
      </c>
      <c r="AC85" s="13">
        <f t="shared" si="11"/>
        <v>0.0125950507963287</v>
      </c>
      <c r="AD85" s="13">
        <f t="shared" si="11"/>
        <v>0.0174668098318903</v>
      </c>
      <c r="AE85" s="13">
        <f t="shared" si="11"/>
        <v>0.0117172764290505</v>
      </c>
      <c r="AF85" s="13">
        <f t="shared" si="11"/>
        <v>0.0291147773135465</v>
      </c>
      <c r="AG85" s="13">
        <f t="shared" si="11"/>
        <v>0.016758030066886</v>
      </c>
      <c r="AH85" s="13">
        <f t="shared" si="11"/>
        <v>0.0128131583305416</v>
      </c>
    </row>
    <row r="86" spans="3:34">
      <c r="C86" s="13" t="s">
        <v>12</v>
      </c>
      <c r="D86" s="13">
        <f t="shared" ref="D86:AH86" si="12">0.5*D14+0.5*D51</f>
        <v>0.0164685036781611</v>
      </c>
      <c r="E86" s="13">
        <f t="shared" si="12"/>
        <v>0.0191885682871889</v>
      </c>
      <c r="F86" s="13">
        <f t="shared" si="12"/>
        <v>0.0210880543052001</v>
      </c>
      <c r="G86" s="13">
        <f t="shared" si="12"/>
        <v>0.0197405188365486</v>
      </c>
      <c r="H86" s="13">
        <f t="shared" si="12"/>
        <v>0.0447762046371063</v>
      </c>
      <c r="I86" s="13">
        <f t="shared" si="12"/>
        <v>0.0292518482126723</v>
      </c>
      <c r="J86" s="13">
        <f t="shared" si="12"/>
        <v>0.0188002264893829</v>
      </c>
      <c r="K86" s="13">
        <f t="shared" si="12"/>
        <v>0.0156089305931876</v>
      </c>
      <c r="L86" s="13">
        <f t="shared" si="12"/>
        <v>0.0342773052168759</v>
      </c>
      <c r="M86" s="13">
        <f t="shared" si="12"/>
        <v>0.0400367975970498</v>
      </c>
      <c r="N86" s="13">
        <f t="shared" si="12"/>
        <v>0.0591620689399611</v>
      </c>
      <c r="O86" s="13">
        <f t="shared" si="12"/>
        <v>0.0352833488055339</v>
      </c>
      <c r="P86" s="13">
        <f t="shared" si="12"/>
        <v>0</v>
      </c>
      <c r="Q86" s="13">
        <f t="shared" si="12"/>
        <v>0.047683182110805</v>
      </c>
      <c r="R86" s="13">
        <f t="shared" si="12"/>
        <v>0.0461492184314649</v>
      </c>
      <c r="S86" s="13">
        <f t="shared" si="12"/>
        <v>0.0242125275455916</v>
      </c>
      <c r="T86" s="13">
        <f t="shared" si="12"/>
        <v>0.037645193005318</v>
      </c>
      <c r="U86" s="13">
        <f t="shared" si="12"/>
        <v>0.0342237770010742</v>
      </c>
      <c r="V86" s="13">
        <f t="shared" si="12"/>
        <v>0.234218991330923</v>
      </c>
      <c r="W86" s="13">
        <f t="shared" si="12"/>
        <v>0.0215104057588072</v>
      </c>
      <c r="X86" s="13">
        <f t="shared" si="12"/>
        <v>0.0236413846548991</v>
      </c>
      <c r="Y86" s="13">
        <f t="shared" si="12"/>
        <v>0.024983089434399</v>
      </c>
      <c r="Z86" s="13">
        <f t="shared" si="12"/>
        <v>0.0185551975892973</v>
      </c>
      <c r="AA86" s="13">
        <f t="shared" si="12"/>
        <v>0.0195980031772459</v>
      </c>
      <c r="AB86" s="13">
        <f t="shared" si="12"/>
        <v>0.0164392327887314</v>
      </c>
      <c r="AC86" s="13">
        <f t="shared" si="12"/>
        <v>0.012577489886012</v>
      </c>
      <c r="AD86" s="13">
        <f t="shared" si="12"/>
        <v>0.0227200920382792</v>
      </c>
      <c r="AE86" s="13">
        <f t="shared" si="12"/>
        <v>0.0149372278342555</v>
      </c>
      <c r="AF86" s="13">
        <f t="shared" si="12"/>
        <v>0.0161714440594866</v>
      </c>
      <c r="AG86" s="13">
        <f t="shared" si="12"/>
        <v>0.0179664656440399</v>
      </c>
      <c r="AH86" s="13">
        <f t="shared" si="12"/>
        <v>0.0130847021105013</v>
      </c>
    </row>
    <row r="87" spans="3:34">
      <c r="C87" s="13" t="s">
        <v>13</v>
      </c>
      <c r="D87" s="13">
        <f t="shared" ref="D87:AH87" si="13">0.5*D15+0.5*D52</f>
        <v>0.0114137090514902</v>
      </c>
      <c r="E87" s="13">
        <f t="shared" si="13"/>
        <v>0.0120407413404776</v>
      </c>
      <c r="F87" s="13">
        <f t="shared" si="13"/>
        <v>0.0223146716342524</v>
      </c>
      <c r="G87" s="13">
        <f t="shared" si="13"/>
        <v>0.058133717590933</v>
      </c>
      <c r="H87" s="13">
        <f t="shared" si="13"/>
        <v>0.0116591070223841</v>
      </c>
      <c r="I87" s="13">
        <f t="shared" si="13"/>
        <v>0.0109036618731521</v>
      </c>
      <c r="J87" s="13">
        <f t="shared" si="13"/>
        <v>0.0125596107868387</v>
      </c>
      <c r="K87" s="13">
        <f t="shared" si="13"/>
        <v>0.0234834543771848</v>
      </c>
      <c r="L87" s="13">
        <f t="shared" si="13"/>
        <v>0.0217182118518269</v>
      </c>
      <c r="M87" s="13">
        <f t="shared" si="13"/>
        <v>0.0282462036727465</v>
      </c>
      <c r="N87" s="13">
        <f t="shared" si="13"/>
        <v>0.0288700892813639</v>
      </c>
      <c r="O87" s="13">
        <f t="shared" si="13"/>
        <v>0.179251526893563</v>
      </c>
      <c r="P87" s="13">
        <f t="shared" si="13"/>
        <v>0.0317073649785628</v>
      </c>
      <c r="Q87" s="13">
        <f t="shared" si="13"/>
        <v>0</v>
      </c>
      <c r="R87" s="13">
        <f t="shared" si="13"/>
        <v>0.0169834836133835</v>
      </c>
      <c r="S87" s="13">
        <f t="shared" si="13"/>
        <v>0.0366465331953467</v>
      </c>
      <c r="T87" s="13">
        <f t="shared" si="13"/>
        <v>0.0566387574961204</v>
      </c>
      <c r="U87" s="13">
        <f t="shared" si="13"/>
        <v>0.057090855114787</v>
      </c>
      <c r="V87" s="13">
        <f t="shared" si="13"/>
        <v>0.0224959289365713</v>
      </c>
      <c r="W87" s="13">
        <f t="shared" si="13"/>
        <v>0.0297835992196821</v>
      </c>
      <c r="X87" s="13">
        <f t="shared" si="13"/>
        <v>0.027135273410914</v>
      </c>
      <c r="Y87" s="13">
        <f t="shared" si="13"/>
        <v>0.0194371047692963</v>
      </c>
      <c r="Z87" s="13">
        <f t="shared" si="13"/>
        <v>0.114161756231605</v>
      </c>
      <c r="AA87" s="13">
        <f t="shared" si="13"/>
        <v>0.0205469141301825</v>
      </c>
      <c r="AB87" s="13">
        <f t="shared" si="13"/>
        <v>0.018284085694217</v>
      </c>
      <c r="AC87" s="13">
        <f t="shared" si="13"/>
        <v>0.0194239487928409</v>
      </c>
      <c r="AD87" s="13">
        <f t="shared" si="13"/>
        <v>0.020588109763817</v>
      </c>
      <c r="AE87" s="13">
        <f t="shared" si="13"/>
        <v>0.0147735675511846</v>
      </c>
      <c r="AF87" s="13">
        <f t="shared" si="13"/>
        <v>0.0359707978789972</v>
      </c>
      <c r="AG87" s="13">
        <f t="shared" si="13"/>
        <v>0.0205683133299657</v>
      </c>
      <c r="AH87" s="13">
        <f t="shared" si="13"/>
        <v>0.0171689005163133</v>
      </c>
    </row>
    <row r="88" spans="3:34">
      <c r="C88" s="13" t="s">
        <v>14</v>
      </c>
      <c r="D88" s="13">
        <f t="shared" ref="D88:AH88" si="14">0.5*D16+0.5*D53</f>
        <v>0.0391634805088836</v>
      </c>
      <c r="E88" s="13">
        <f t="shared" si="14"/>
        <v>0.0484032651085033</v>
      </c>
      <c r="F88" s="13">
        <f t="shared" si="14"/>
        <v>0.0517349450921493</v>
      </c>
      <c r="G88" s="13">
        <f t="shared" si="14"/>
        <v>0.0368494118240772</v>
      </c>
      <c r="H88" s="13">
        <f t="shared" si="14"/>
        <v>0.237064545101043</v>
      </c>
      <c r="I88" s="13">
        <f t="shared" si="14"/>
        <v>0.0554775066694443</v>
      </c>
      <c r="J88" s="13">
        <f t="shared" si="14"/>
        <v>0.0235568049937105</v>
      </c>
      <c r="K88" s="13">
        <f t="shared" si="14"/>
        <v>0.0179704103781735</v>
      </c>
      <c r="L88" s="13">
        <f t="shared" si="14"/>
        <v>0.0210590665099603</v>
      </c>
      <c r="M88" s="13">
        <f t="shared" si="14"/>
        <v>0.0326381879935699</v>
      </c>
      <c r="N88" s="13">
        <f t="shared" si="14"/>
        <v>0.0267038410711906</v>
      </c>
      <c r="O88" s="13">
        <f t="shared" si="14"/>
        <v>0.0306580273215766</v>
      </c>
      <c r="P88" s="13">
        <f t="shared" si="14"/>
        <v>0.0351564078770667</v>
      </c>
      <c r="Q88" s="13">
        <f t="shared" si="14"/>
        <v>0.0211656366555174</v>
      </c>
      <c r="R88" s="13">
        <f t="shared" si="14"/>
        <v>0</v>
      </c>
      <c r="S88" s="13">
        <f t="shared" si="14"/>
        <v>0.0407063539484211</v>
      </c>
      <c r="T88" s="13">
        <f t="shared" si="14"/>
        <v>0.0316301291581797</v>
      </c>
      <c r="U88" s="13">
        <f t="shared" si="14"/>
        <v>0.0212452918310763</v>
      </c>
      <c r="V88" s="13">
        <f t="shared" si="14"/>
        <v>0.0294825325568832</v>
      </c>
      <c r="W88" s="13">
        <f t="shared" si="14"/>
        <v>0.0133568760127234</v>
      </c>
      <c r="X88" s="13">
        <f t="shared" si="14"/>
        <v>0.0147122157114569</v>
      </c>
      <c r="Y88" s="13">
        <f t="shared" si="14"/>
        <v>0.0240622774746499</v>
      </c>
      <c r="Z88" s="13">
        <f t="shared" si="14"/>
        <v>0.0163910099934836</v>
      </c>
      <c r="AA88" s="13">
        <f t="shared" si="14"/>
        <v>0.0136640231986947</v>
      </c>
      <c r="AB88" s="13">
        <f t="shared" si="14"/>
        <v>0.0123248757312435</v>
      </c>
      <c r="AC88" s="13">
        <f t="shared" si="14"/>
        <v>0.0110299072975645</v>
      </c>
      <c r="AD88" s="13">
        <f t="shared" si="14"/>
        <v>0.0266538643768558</v>
      </c>
      <c r="AE88" s="13">
        <f t="shared" si="14"/>
        <v>0.0155149960982274</v>
      </c>
      <c r="AF88" s="13">
        <f t="shared" si="14"/>
        <v>0.0167390631169433</v>
      </c>
      <c r="AG88" s="13">
        <f t="shared" si="14"/>
        <v>0.0216895287772968</v>
      </c>
      <c r="AH88" s="13">
        <f t="shared" si="14"/>
        <v>0.0131955176114343</v>
      </c>
    </row>
    <row r="89" spans="3:34">
      <c r="C89" s="13" t="s">
        <v>15</v>
      </c>
      <c r="D89" s="13">
        <f t="shared" ref="D89:AH89" si="15">0.5*D17+0.5*D54</f>
        <v>0.0208772922279216</v>
      </c>
      <c r="E89" s="13">
        <f t="shared" si="15"/>
        <v>0.0214341171798729</v>
      </c>
      <c r="F89" s="13">
        <f t="shared" si="15"/>
        <v>0.0426019014672448</v>
      </c>
      <c r="G89" s="13">
        <f t="shared" si="15"/>
        <v>0.0500238242538118</v>
      </c>
      <c r="H89" s="13">
        <f t="shared" si="15"/>
        <v>0.0195582517843986</v>
      </c>
      <c r="I89" s="13">
        <f t="shared" si="15"/>
        <v>0.0124697902364375</v>
      </c>
      <c r="J89" s="13">
        <f t="shared" si="15"/>
        <v>0.0128221634741939</v>
      </c>
      <c r="K89" s="13">
        <f t="shared" si="15"/>
        <v>0.294970842070989</v>
      </c>
      <c r="L89" s="13">
        <f t="shared" si="15"/>
        <v>0.0157557279981072</v>
      </c>
      <c r="M89" s="13">
        <f t="shared" si="15"/>
        <v>0.0240253481799655</v>
      </c>
      <c r="N89" s="13">
        <f t="shared" si="15"/>
        <v>0.0167650939099101</v>
      </c>
      <c r="O89" s="13">
        <f t="shared" si="15"/>
        <v>0.0364372106090417</v>
      </c>
      <c r="P89" s="13">
        <f t="shared" si="15"/>
        <v>0.0126224659309074</v>
      </c>
      <c r="Q89" s="13">
        <f t="shared" si="15"/>
        <v>0.0267872388532771</v>
      </c>
      <c r="R89" s="13">
        <f t="shared" si="15"/>
        <v>0.0337480603634275</v>
      </c>
      <c r="S89" s="13">
        <f t="shared" si="15"/>
        <v>0</v>
      </c>
      <c r="T89" s="13">
        <f t="shared" si="15"/>
        <v>0.0303136650447149</v>
      </c>
      <c r="U89" s="13">
        <f t="shared" si="15"/>
        <v>0.0336452688087194</v>
      </c>
      <c r="V89" s="13">
        <f t="shared" si="15"/>
        <v>0.0109386140042045</v>
      </c>
      <c r="W89" s="13">
        <f t="shared" si="15"/>
        <v>0.0131023618578788</v>
      </c>
      <c r="X89" s="13">
        <f t="shared" si="15"/>
        <v>0.0515035201835437</v>
      </c>
      <c r="Y89" s="13">
        <f t="shared" si="15"/>
        <v>0.0179652403182827</v>
      </c>
      <c r="Z89" s="13">
        <f t="shared" si="15"/>
        <v>0.0234303963371384</v>
      </c>
      <c r="AA89" s="13">
        <f t="shared" si="15"/>
        <v>0.0135961199499249</v>
      </c>
      <c r="AB89" s="13">
        <f t="shared" si="15"/>
        <v>0.01136295330827</v>
      </c>
      <c r="AC89" s="13">
        <f t="shared" si="15"/>
        <v>0.00967466377067721</v>
      </c>
      <c r="AD89" s="13">
        <f t="shared" si="15"/>
        <v>0.0332244896524308</v>
      </c>
      <c r="AE89" s="13">
        <f t="shared" si="15"/>
        <v>0.0159270483245638</v>
      </c>
      <c r="AF89" s="13">
        <f t="shared" si="15"/>
        <v>0.0359498124499211</v>
      </c>
      <c r="AG89" s="13">
        <f t="shared" si="15"/>
        <v>0.0308882824012365</v>
      </c>
      <c r="AH89" s="13">
        <f t="shared" si="15"/>
        <v>0.0275782350489864</v>
      </c>
    </row>
    <row r="90" spans="3:34">
      <c r="C90" s="13" t="s">
        <v>16</v>
      </c>
      <c r="D90" s="13">
        <f t="shared" ref="D90:AH90" si="16">0.5*D18+0.5*D55</f>
        <v>0.0129117524952222</v>
      </c>
      <c r="E90" s="13">
        <f t="shared" si="16"/>
        <v>0.0136434444907267</v>
      </c>
      <c r="F90" s="13">
        <f t="shared" si="16"/>
        <v>0.023143525517957</v>
      </c>
      <c r="G90" s="13">
        <f t="shared" si="16"/>
        <v>0.0205813167500507</v>
      </c>
      <c r="H90" s="13">
        <f t="shared" si="16"/>
        <v>0.0153695743053429</v>
      </c>
      <c r="I90" s="13">
        <f t="shared" si="16"/>
        <v>0.0159084282550796</v>
      </c>
      <c r="J90" s="13">
        <f t="shared" si="16"/>
        <v>0.0295187119186001</v>
      </c>
      <c r="K90" s="13">
        <f t="shared" si="16"/>
        <v>0.0126907352253369</v>
      </c>
      <c r="L90" s="13">
        <f t="shared" si="16"/>
        <v>0.0190571090101401</v>
      </c>
      <c r="M90" s="13">
        <f t="shared" si="16"/>
        <v>0.0295055631154539</v>
      </c>
      <c r="N90" s="13">
        <f t="shared" si="16"/>
        <v>0.0239138696649051</v>
      </c>
      <c r="O90" s="13">
        <f t="shared" si="16"/>
        <v>0.0447085072879222</v>
      </c>
      <c r="P90" s="13">
        <f t="shared" si="16"/>
        <v>0.021313865541183</v>
      </c>
      <c r="Q90" s="13">
        <f t="shared" si="16"/>
        <v>0.0538618434863224</v>
      </c>
      <c r="R90" s="13">
        <f t="shared" si="16"/>
        <v>0.0221342483985155</v>
      </c>
      <c r="S90" s="13">
        <f t="shared" si="16"/>
        <v>0.0333514155188107</v>
      </c>
      <c r="T90" s="13">
        <f t="shared" si="16"/>
        <v>0</v>
      </c>
      <c r="U90" s="13">
        <f t="shared" si="16"/>
        <v>0.050606400256094</v>
      </c>
      <c r="V90" s="13">
        <f t="shared" si="16"/>
        <v>0.0182535232515956</v>
      </c>
      <c r="W90" s="13">
        <f t="shared" si="16"/>
        <v>0.0155931125749256</v>
      </c>
      <c r="X90" s="13">
        <f t="shared" si="16"/>
        <v>0.017049254066333</v>
      </c>
      <c r="Y90" s="13">
        <f t="shared" si="16"/>
        <v>0.356473506906271</v>
      </c>
      <c r="Z90" s="13">
        <f t="shared" si="16"/>
        <v>0.0178609617950688</v>
      </c>
      <c r="AA90" s="13">
        <f t="shared" si="16"/>
        <v>0.0170417648796171</v>
      </c>
      <c r="AB90" s="13">
        <f t="shared" si="16"/>
        <v>0.0127935189101256</v>
      </c>
      <c r="AC90" s="13">
        <f t="shared" si="16"/>
        <v>0.00926248823192953</v>
      </c>
      <c r="AD90" s="13">
        <f t="shared" si="16"/>
        <v>0.0347500724244082</v>
      </c>
      <c r="AE90" s="13">
        <f t="shared" si="16"/>
        <v>0.0132772804098</v>
      </c>
      <c r="AF90" s="13">
        <f t="shared" si="16"/>
        <v>0.0149042220929623</v>
      </c>
      <c r="AG90" s="13">
        <f t="shared" si="16"/>
        <v>0.0187716428368581</v>
      </c>
      <c r="AH90" s="13">
        <f t="shared" si="16"/>
        <v>0.0117483403824427</v>
      </c>
    </row>
    <row r="91" spans="3:34">
      <c r="C91" s="13" t="s">
        <v>17</v>
      </c>
      <c r="D91" s="13">
        <f t="shared" ref="D91:AH91" si="17">0.5*D19+0.5*D56</f>
        <v>0.0110856918575344</v>
      </c>
      <c r="E91" s="13">
        <f t="shared" si="17"/>
        <v>0.0114672292727513</v>
      </c>
      <c r="F91" s="13">
        <f t="shared" si="17"/>
        <v>0.0597136477810789</v>
      </c>
      <c r="G91" s="13">
        <f t="shared" si="17"/>
        <v>0.0226148983725612</v>
      </c>
      <c r="H91" s="13">
        <f t="shared" si="17"/>
        <v>0.0117284715708275</v>
      </c>
      <c r="I91" s="13">
        <f t="shared" si="17"/>
        <v>0.00999148269410149</v>
      </c>
      <c r="J91" s="13">
        <f t="shared" si="17"/>
        <v>0.0133285793698958</v>
      </c>
      <c r="K91" s="13">
        <f t="shared" si="17"/>
        <v>0.0267272371820726</v>
      </c>
      <c r="L91" s="13">
        <f t="shared" si="17"/>
        <v>0.0158733327914193</v>
      </c>
      <c r="M91" s="13">
        <f t="shared" si="17"/>
        <v>0.0203853467562075</v>
      </c>
      <c r="N91" s="13">
        <f t="shared" si="17"/>
        <v>0.0191921146662111</v>
      </c>
      <c r="O91" s="13">
        <f t="shared" si="17"/>
        <v>0.0316064553046954</v>
      </c>
      <c r="P91" s="13">
        <f t="shared" si="17"/>
        <v>0.021441810280232</v>
      </c>
      <c r="Q91" s="13">
        <f t="shared" si="17"/>
        <v>0.0549336714656021</v>
      </c>
      <c r="R91" s="13">
        <f t="shared" si="17"/>
        <v>0.0155021281568837</v>
      </c>
      <c r="S91" s="13">
        <f t="shared" si="17"/>
        <v>0.0391842011879729</v>
      </c>
      <c r="T91" s="13">
        <f t="shared" si="17"/>
        <v>0.0522645743057933</v>
      </c>
      <c r="U91" s="13">
        <f t="shared" si="17"/>
        <v>0</v>
      </c>
      <c r="V91" s="13">
        <f t="shared" si="17"/>
        <v>0.0260154391972478</v>
      </c>
      <c r="W91" s="13">
        <f t="shared" si="17"/>
        <v>0.0223251291573947</v>
      </c>
      <c r="X91" s="13">
        <f t="shared" si="17"/>
        <v>0.045363340670855</v>
      </c>
      <c r="Y91" s="13">
        <f t="shared" si="17"/>
        <v>0.0272533700699233</v>
      </c>
      <c r="Z91" s="13">
        <f t="shared" si="17"/>
        <v>0.0239514475559703</v>
      </c>
      <c r="AA91" s="13">
        <f t="shared" si="17"/>
        <v>0.0242834480303263</v>
      </c>
      <c r="AB91" s="13">
        <f t="shared" si="17"/>
        <v>0.0160679183824349</v>
      </c>
      <c r="AC91" s="13">
        <f t="shared" si="17"/>
        <v>0.0104796991225215</v>
      </c>
      <c r="AD91" s="13">
        <f t="shared" si="17"/>
        <v>0.0262050577166906</v>
      </c>
      <c r="AE91" s="13">
        <f t="shared" si="17"/>
        <v>0.0136262916652868</v>
      </c>
      <c r="AF91" s="13">
        <f t="shared" si="17"/>
        <v>0.0219036032365068</v>
      </c>
      <c r="AG91" s="13">
        <f t="shared" si="17"/>
        <v>0.235297017778998</v>
      </c>
      <c r="AH91" s="13">
        <f t="shared" si="17"/>
        <v>0.0701873644000031</v>
      </c>
    </row>
    <row r="92" spans="3:34">
      <c r="C92" s="13" t="s">
        <v>18</v>
      </c>
      <c r="D92" s="13">
        <f t="shared" ref="D92:AH92" si="18">0.5*D20+0.5*D57</f>
        <v>0.0149697774901781</v>
      </c>
      <c r="E92" s="13">
        <f t="shared" si="18"/>
        <v>0.0175298647020074</v>
      </c>
      <c r="F92" s="13">
        <f t="shared" si="18"/>
        <v>0.0194204348406934</v>
      </c>
      <c r="G92" s="13">
        <f t="shared" si="18"/>
        <v>0.0187244244383425</v>
      </c>
      <c r="H92" s="13">
        <f t="shared" si="18"/>
        <v>0.0400495784289484</v>
      </c>
      <c r="I92" s="13">
        <f t="shared" si="18"/>
        <v>0.0261710448864369</v>
      </c>
      <c r="J92" s="13">
        <f t="shared" si="18"/>
        <v>0.0170740412356142</v>
      </c>
      <c r="K92" s="13">
        <f t="shared" si="18"/>
        <v>0.0143038486045467</v>
      </c>
      <c r="L92" s="13">
        <f t="shared" si="18"/>
        <v>0.0199901565357345</v>
      </c>
      <c r="M92" s="13">
        <f t="shared" si="18"/>
        <v>0.030878041960459</v>
      </c>
      <c r="N92" s="13">
        <f t="shared" si="18"/>
        <v>0.0409647609533174</v>
      </c>
      <c r="O92" s="13">
        <f t="shared" si="18"/>
        <v>0.0253393734629831</v>
      </c>
      <c r="P92" s="13">
        <f t="shared" si="18"/>
        <v>0.240717780578273</v>
      </c>
      <c r="Q92" s="13">
        <f t="shared" si="18"/>
        <v>0.0362807224098565</v>
      </c>
      <c r="R92" s="13">
        <f t="shared" si="18"/>
        <v>0.0397531341067527</v>
      </c>
      <c r="S92" s="13">
        <f t="shared" si="18"/>
        <v>0.0223471362000474</v>
      </c>
      <c r="T92" s="13">
        <f t="shared" si="18"/>
        <v>0.0340144805391137</v>
      </c>
      <c r="U92" s="13">
        <f t="shared" si="18"/>
        <v>0.041387675439202</v>
      </c>
      <c r="V92" s="13">
        <f t="shared" si="18"/>
        <v>0</v>
      </c>
      <c r="W92" s="13">
        <f t="shared" si="18"/>
        <v>0.0429920735310562</v>
      </c>
      <c r="X92" s="13">
        <f t="shared" si="18"/>
        <v>0.0489393765137854</v>
      </c>
      <c r="Y92" s="13">
        <f t="shared" si="18"/>
        <v>0.0300674953013881</v>
      </c>
      <c r="Z92" s="13">
        <f t="shared" si="18"/>
        <v>0.0223861065499315</v>
      </c>
      <c r="AA92" s="13">
        <f t="shared" si="18"/>
        <v>0.0298459232786054</v>
      </c>
      <c r="AB92" s="13">
        <f t="shared" si="18"/>
        <v>0.0226546741177708</v>
      </c>
      <c r="AC92" s="13">
        <f t="shared" si="18"/>
        <v>0.0142255433648117</v>
      </c>
      <c r="AD92" s="13">
        <f t="shared" si="18"/>
        <v>0.0236056129077456</v>
      </c>
      <c r="AE92" s="13">
        <f t="shared" si="18"/>
        <v>0.0161764056902755</v>
      </c>
      <c r="AF92" s="13">
        <f t="shared" si="18"/>
        <v>0.01734796895292</v>
      </c>
      <c r="AG92" s="13">
        <f t="shared" si="18"/>
        <v>0.0183263147985557</v>
      </c>
      <c r="AH92" s="13">
        <f t="shared" si="18"/>
        <v>0.0135162281806478</v>
      </c>
    </row>
    <row r="93" spans="3:34">
      <c r="C93" s="13" t="s">
        <v>19</v>
      </c>
      <c r="D93" s="13">
        <f t="shared" ref="D93:AH93" si="19">0.5*D21+0.5*D58</f>
        <v>0.0105900682962396</v>
      </c>
      <c r="E93" s="13">
        <f t="shared" si="19"/>
        <v>0.0109514927744032</v>
      </c>
      <c r="F93" s="13">
        <f t="shared" si="19"/>
        <v>0.0218227662228477</v>
      </c>
      <c r="G93" s="13">
        <f t="shared" si="19"/>
        <v>0.0331306837736469</v>
      </c>
      <c r="H93" s="13">
        <f t="shared" si="19"/>
        <v>0.0129077817843717</v>
      </c>
      <c r="I93" s="13">
        <f t="shared" si="19"/>
        <v>0.0117329088960381</v>
      </c>
      <c r="J93" s="13">
        <f t="shared" si="19"/>
        <v>0.0143581285582423</v>
      </c>
      <c r="K93" s="13">
        <f t="shared" si="19"/>
        <v>0.0216337960343753</v>
      </c>
      <c r="L93" s="13">
        <f t="shared" si="19"/>
        <v>0.0130185737942161</v>
      </c>
      <c r="M93" s="13">
        <f t="shared" si="19"/>
        <v>0.0149904480034327</v>
      </c>
      <c r="N93" s="13">
        <f t="shared" si="19"/>
        <v>0.015302381803804</v>
      </c>
      <c r="O93" s="13">
        <f t="shared" si="19"/>
        <v>0.0411257033968233</v>
      </c>
      <c r="P93" s="13">
        <f t="shared" si="19"/>
        <v>0.0190572164732817</v>
      </c>
      <c r="Q93" s="13">
        <f t="shared" si="19"/>
        <v>0.0492536242724305</v>
      </c>
      <c r="R93" s="13">
        <f t="shared" si="19"/>
        <v>0.0143953960993448</v>
      </c>
      <c r="S93" s="13">
        <f t="shared" si="19"/>
        <v>0.029009141250561</v>
      </c>
      <c r="T93" s="13">
        <f t="shared" si="19"/>
        <v>0.0244219677141643</v>
      </c>
      <c r="U93" s="13">
        <f t="shared" si="19"/>
        <v>0.0373057209334385</v>
      </c>
      <c r="V93" s="13">
        <f t="shared" si="19"/>
        <v>0.0402585094961365</v>
      </c>
      <c r="W93" s="13">
        <f t="shared" si="19"/>
        <v>0</v>
      </c>
      <c r="X93" s="13">
        <f t="shared" si="19"/>
        <v>0.0700509788367097</v>
      </c>
      <c r="Y93" s="13">
        <f t="shared" si="19"/>
        <v>0.030123460796688</v>
      </c>
      <c r="Z93" s="13">
        <f t="shared" si="19"/>
        <v>0.0454880151049142</v>
      </c>
      <c r="AA93" s="13">
        <f t="shared" si="19"/>
        <v>0.0595688104832435</v>
      </c>
      <c r="AB93" s="13">
        <f t="shared" si="19"/>
        <v>0.0615445475862278</v>
      </c>
      <c r="AC93" s="13">
        <f t="shared" si="19"/>
        <v>0.175671796932974</v>
      </c>
      <c r="AD93" s="13">
        <f t="shared" si="19"/>
        <v>0.0229324572196407</v>
      </c>
      <c r="AE93" s="13">
        <f t="shared" si="19"/>
        <v>0.0267616341163583</v>
      </c>
      <c r="AF93" s="13">
        <f t="shared" si="19"/>
        <v>0.0302122684310992</v>
      </c>
      <c r="AG93" s="13">
        <f t="shared" si="19"/>
        <v>0.0229242840696476</v>
      </c>
      <c r="AH93" s="13">
        <f t="shared" si="19"/>
        <v>0.0194554368446994</v>
      </c>
    </row>
    <row r="94" spans="3:34">
      <c r="C94" s="13" t="s">
        <v>20</v>
      </c>
      <c r="D94" s="13">
        <f t="shared" ref="D94:AH94" si="20">0.5*D22+0.5*D59</f>
        <v>0.010407867241314</v>
      </c>
      <c r="E94" s="13">
        <f t="shared" si="20"/>
        <v>0.0107034304823489</v>
      </c>
      <c r="F94" s="13">
        <f t="shared" si="20"/>
        <v>0.0364676847233239</v>
      </c>
      <c r="G94" s="13">
        <f t="shared" si="20"/>
        <v>0.0297665975016271</v>
      </c>
      <c r="H94" s="13">
        <f t="shared" si="20"/>
        <v>0.0117559166592431</v>
      </c>
      <c r="I94" s="13">
        <f t="shared" si="20"/>
        <v>0.0109323092548535</v>
      </c>
      <c r="J94" s="13">
        <f t="shared" si="20"/>
        <v>0.0148825373651896</v>
      </c>
      <c r="K94" s="13">
        <f t="shared" si="20"/>
        <v>0.0956940705229854</v>
      </c>
      <c r="L94" s="13">
        <f t="shared" si="20"/>
        <v>0.0138294218036307</v>
      </c>
      <c r="M94" s="13">
        <f t="shared" si="20"/>
        <v>0.0150596298593967</v>
      </c>
      <c r="N94" s="13">
        <f t="shared" si="20"/>
        <v>0.0158253077863767</v>
      </c>
      <c r="O94" s="13">
        <f t="shared" si="20"/>
        <v>0.0290745160553754</v>
      </c>
      <c r="P94" s="13">
        <f t="shared" si="20"/>
        <v>0.0209959713056609</v>
      </c>
      <c r="Q94" s="13">
        <f t="shared" si="20"/>
        <v>0.0329515153404973</v>
      </c>
      <c r="R94" s="13">
        <f t="shared" si="20"/>
        <v>0.0135298987569493</v>
      </c>
      <c r="S94" s="13">
        <f t="shared" si="20"/>
        <v>0.0887352162846896</v>
      </c>
      <c r="T94" s="13">
        <f t="shared" si="20"/>
        <v>0.0233179769090239</v>
      </c>
      <c r="U94" s="13">
        <f t="shared" si="20"/>
        <v>0.0658237503528519</v>
      </c>
      <c r="V94" s="13">
        <f t="shared" si="20"/>
        <v>0.0498377914276537</v>
      </c>
      <c r="W94" s="13">
        <f t="shared" si="20"/>
        <v>0.0706341627267446</v>
      </c>
      <c r="X94" s="13">
        <f t="shared" si="20"/>
        <v>0</v>
      </c>
      <c r="Y94" s="13">
        <f t="shared" si="20"/>
        <v>0.0248654494764882</v>
      </c>
      <c r="Z94" s="13">
        <f t="shared" si="20"/>
        <v>0.0314478711835035</v>
      </c>
      <c r="AA94" s="13">
        <f t="shared" si="20"/>
        <v>0.0311435781521952</v>
      </c>
      <c r="AB94" s="13">
        <f t="shared" si="20"/>
        <v>0.0271626179297153</v>
      </c>
      <c r="AC94" s="13">
        <f t="shared" si="20"/>
        <v>0.0161111132664136</v>
      </c>
      <c r="AD94" s="13">
        <f t="shared" si="20"/>
        <v>0.0228336412325056</v>
      </c>
      <c r="AE94" s="13">
        <f t="shared" si="20"/>
        <v>0.0149380327832944</v>
      </c>
      <c r="AF94" s="13">
        <f t="shared" si="20"/>
        <v>0.0379238145085847</v>
      </c>
      <c r="AG94" s="13">
        <f t="shared" si="20"/>
        <v>0.0478366123661211</v>
      </c>
      <c r="AH94" s="13">
        <f t="shared" si="20"/>
        <v>0.0855116967414422</v>
      </c>
    </row>
    <row r="95" spans="3:34">
      <c r="C95" s="13" t="s">
        <v>21</v>
      </c>
      <c r="D95" s="13">
        <f t="shared" ref="D95:AH95" si="21">0.5*D23+0.5*D60</f>
        <v>0.0114858194263682</v>
      </c>
      <c r="E95" s="13">
        <f t="shared" si="21"/>
        <v>0.0116697119079716</v>
      </c>
      <c r="F95" s="13">
        <f t="shared" si="21"/>
        <v>0.0213872604913239</v>
      </c>
      <c r="G95" s="13">
        <f t="shared" si="21"/>
        <v>0.0198718892456011</v>
      </c>
      <c r="H95" s="13">
        <f t="shared" si="21"/>
        <v>0.0161019103589235</v>
      </c>
      <c r="I95" s="13">
        <f t="shared" si="21"/>
        <v>0.0147625366414375</v>
      </c>
      <c r="J95" s="13">
        <f t="shared" si="21"/>
        <v>0.030455960475023</v>
      </c>
      <c r="K95" s="13">
        <f t="shared" si="21"/>
        <v>0.0125541372273314</v>
      </c>
      <c r="L95" s="13">
        <f t="shared" si="21"/>
        <v>0.0113744765655908</v>
      </c>
      <c r="M95" s="13">
        <f t="shared" si="21"/>
        <v>0.0144763898392336</v>
      </c>
      <c r="N95" s="13">
        <f t="shared" si="21"/>
        <v>0.0134397479620277</v>
      </c>
      <c r="O95" s="13">
        <f t="shared" si="21"/>
        <v>0.0194209772705665</v>
      </c>
      <c r="P95" s="13">
        <f t="shared" si="21"/>
        <v>0.0145518021546167</v>
      </c>
      <c r="Q95" s="13">
        <f t="shared" si="21"/>
        <v>0.0217792291829295</v>
      </c>
      <c r="R95" s="13">
        <f t="shared" si="21"/>
        <v>0.0169037691061243</v>
      </c>
      <c r="S95" s="13">
        <f t="shared" si="21"/>
        <v>0.0242317542187088</v>
      </c>
      <c r="T95" s="13">
        <f t="shared" si="21"/>
        <v>0.357394455058447</v>
      </c>
      <c r="U95" s="13">
        <f t="shared" si="21"/>
        <v>0.032426738220388</v>
      </c>
      <c r="V95" s="13">
        <f t="shared" si="21"/>
        <v>0.0182401524913542</v>
      </c>
      <c r="W95" s="13">
        <f t="shared" si="21"/>
        <v>0.0224050490878101</v>
      </c>
      <c r="X95" s="13">
        <f t="shared" si="21"/>
        <v>0.0202005320288055</v>
      </c>
      <c r="Y95" s="13">
        <f t="shared" si="21"/>
        <v>0</v>
      </c>
      <c r="Z95" s="13">
        <f t="shared" si="21"/>
        <v>0.0635116615372501</v>
      </c>
      <c r="AA95" s="13">
        <f t="shared" si="21"/>
        <v>0.0445218033530679</v>
      </c>
      <c r="AB95" s="13">
        <f t="shared" si="21"/>
        <v>0.0263206354616943</v>
      </c>
      <c r="AC95" s="13">
        <f t="shared" si="21"/>
        <v>0.0137169674877743</v>
      </c>
      <c r="AD95" s="13">
        <f t="shared" si="21"/>
        <v>0.0445837076850038</v>
      </c>
      <c r="AE95" s="13">
        <f t="shared" si="21"/>
        <v>0.0221397294343444</v>
      </c>
      <c r="AF95" s="13">
        <f t="shared" si="21"/>
        <v>0.0226152206263482</v>
      </c>
      <c r="AG95" s="13">
        <f t="shared" si="21"/>
        <v>0.0235584665790077</v>
      </c>
      <c r="AH95" s="13">
        <f t="shared" si="21"/>
        <v>0.0138975088749264</v>
      </c>
    </row>
    <row r="96" spans="3:34">
      <c r="C96" s="13" t="s">
        <v>22</v>
      </c>
      <c r="D96" s="13">
        <f t="shared" ref="D96:AH96" si="22">0.5*D24+0.5*D61</f>
        <v>0.0113574208373312</v>
      </c>
      <c r="E96" s="13">
        <f t="shared" si="22"/>
        <v>0.0112829248938944</v>
      </c>
      <c r="F96" s="13">
        <f t="shared" si="22"/>
        <v>0.0201230187283588</v>
      </c>
      <c r="G96" s="13">
        <f t="shared" si="22"/>
        <v>0.0683587146379036</v>
      </c>
      <c r="H96" s="13">
        <f t="shared" si="22"/>
        <v>0.0139953967889302</v>
      </c>
      <c r="I96" s="13">
        <f t="shared" si="22"/>
        <v>0.00952691900501849</v>
      </c>
      <c r="J96" s="13">
        <f t="shared" si="22"/>
        <v>0.0107256950660472</v>
      </c>
      <c r="K96" s="13">
        <f t="shared" si="22"/>
        <v>0.0198782792161355</v>
      </c>
      <c r="L96" s="13">
        <f t="shared" si="22"/>
        <v>0.0103762900487035</v>
      </c>
      <c r="M96" s="13">
        <f t="shared" si="22"/>
        <v>0.0126048872119687</v>
      </c>
      <c r="N96" s="13">
        <f t="shared" si="22"/>
        <v>0.0114859161072606</v>
      </c>
      <c r="O96" s="13">
        <f t="shared" si="22"/>
        <v>0.243377763734629</v>
      </c>
      <c r="P96" s="13">
        <f t="shared" si="22"/>
        <v>0.0116522203389432</v>
      </c>
      <c r="Q96" s="13">
        <f t="shared" si="22"/>
        <v>0.0811771571580153</v>
      </c>
      <c r="R96" s="13">
        <f t="shared" si="22"/>
        <v>0.013395101421711</v>
      </c>
      <c r="S96" s="13">
        <f t="shared" si="22"/>
        <v>0.0305864945733321</v>
      </c>
      <c r="T96" s="13">
        <f t="shared" si="22"/>
        <v>0.019844385475458</v>
      </c>
      <c r="U96" s="13">
        <f t="shared" si="22"/>
        <v>0.0272820330866006</v>
      </c>
      <c r="V96" s="13">
        <f t="shared" si="22"/>
        <v>0.014591566657612</v>
      </c>
      <c r="W96" s="13">
        <f t="shared" si="22"/>
        <v>0.0260441206626401</v>
      </c>
      <c r="X96" s="13">
        <f t="shared" si="22"/>
        <v>0.0237816131205553</v>
      </c>
      <c r="Y96" s="13">
        <f t="shared" si="22"/>
        <v>0.066843309040209</v>
      </c>
      <c r="Z96" s="13">
        <f t="shared" si="22"/>
        <v>0</v>
      </c>
      <c r="AA96" s="13">
        <f t="shared" si="22"/>
        <v>0.0361921953453833</v>
      </c>
      <c r="AB96" s="13">
        <f t="shared" si="22"/>
        <v>0.031691040022572</v>
      </c>
      <c r="AC96" s="13">
        <f t="shared" si="22"/>
        <v>0.0210485217551152</v>
      </c>
      <c r="AD96" s="13">
        <f t="shared" si="22"/>
        <v>0.0317286604112662</v>
      </c>
      <c r="AE96" s="13">
        <f t="shared" si="22"/>
        <v>0.0294016663678859</v>
      </c>
      <c r="AF96" s="13">
        <f t="shared" si="22"/>
        <v>0.0478372283902256</v>
      </c>
      <c r="AG96" s="13">
        <f t="shared" si="22"/>
        <v>0.0263802389200601</v>
      </c>
      <c r="AH96" s="13">
        <f t="shared" si="22"/>
        <v>0.0174292209762345</v>
      </c>
    </row>
    <row r="97" spans="3:34">
      <c r="C97" s="13" t="s">
        <v>23</v>
      </c>
      <c r="D97" s="13">
        <f t="shared" ref="D97:AH97" si="23">0.5*D25+0.5*D62</f>
        <v>0.0115658584821111</v>
      </c>
      <c r="E97" s="13">
        <f t="shared" si="23"/>
        <v>0.0119659349735484</v>
      </c>
      <c r="F97" s="13">
        <f t="shared" si="23"/>
        <v>0.02286507861668</v>
      </c>
      <c r="G97" s="13">
        <f t="shared" si="23"/>
        <v>0.0289540554001512</v>
      </c>
      <c r="H97" s="13">
        <f t="shared" si="23"/>
        <v>0.0150311003949322</v>
      </c>
      <c r="I97" s="13">
        <f t="shared" si="23"/>
        <v>0.0129951211239472</v>
      </c>
      <c r="J97" s="13">
        <f t="shared" si="23"/>
        <v>0.0154620217773368</v>
      </c>
      <c r="K97" s="13">
        <f t="shared" si="23"/>
        <v>0.0199679548601236</v>
      </c>
      <c r="L97" s="13">
        <f t="shared" si="23"/>
        <v>0.0126276692404494</v>
      </c>
      <c r="M97" s="13">
        <f t="shared" si="23"/>
        <v>0.0154879434278675</v>
      </c>
      <c r="N97" s="13">
        <f t="shared" si="23"/>
        <v>0.0151367144809868</v>
      </c>
      <c r="O97" s="13">
        <f t="shared" si="23"/>
        <v>0.0321959090715845</v>
      </c>
      <c r="P97" s="13">
        <f t="shared" si="23"/>
        <v>0.0172140560331754</v>
      </c>
      <c r="Q97" s="13">
        <f t="shared" si="23"/>
        <v>0.0369531121700586</v>
      </c>
      <c r="R97" s="13">
        <f t="shared" si="23"/>
        <v>0.016076096011216</v>
      </c>
      <c r="S97" s="13">
        <f t="shared" si="23"/>
        <v>0.0289424958823219</v>
      </c>
      <c r="T97" s="13">
        <f t="shared" si="23"/>
        <v>0.0268411889108982</v>
      </c>
      <c r="U97" s="13">
        <f t="shared" si="23"/>
        <v>0.0383874147126909</v>
      </c>
      <c r="V97" s="13">
        <f t="shared" si="23"/>
        <v>0.0257115497443403</v>
      </c>
      <c r="W97" s="13">
        <f t="shared" si="23"/>
        <v>0.0665196221631746</v>
      </c>
      <c r="X97" s="13">
        <f t="shared" si="23"/>
        <v>0.0341925266400956</v>
      </c>
      <c r="Y97" s="13">
        <f t="shared" si="23"/>
        <v>0.0543128281807524</v>
      </c>
      <c r="Z97" s="13">
        <f t="shared" si="23"/>
        <v>0.0508924526796678</v>
      </c>
      <c r="AA97" s="13">
        <f t="shared" si="23"/>
        <v>0</v>
      </c>
      <c r="AB97" s="13">
        <f t="shared" si="23"/>
        <v>0.110719367384181</v>
      </c>
      <c r="AC97" s="13">
        <f t="shared" si="23"/>
        <v>0.0452653526254755</v>
      </c>
      <c r="AD97" s="13">
        <f t="shared" si="23"/>
        <v>0.0281546248479678</v>
      </c>
      <c r="AE97" s="13">
        <f t="shared" si="23"/>
        <v>0.132238594559727</v>
      </c>
      <c r="AF97" s="13">
        <f t="shared" si="23"/>
        <v>0.0293032378563366</v>
      </c>
      <c r="AG97" s="13">
        <f t="shared" si="23"/>
        <v>0.0247551631412568</v>
      </c>
      <c r="AH97" s="13">
        <f t="shared" si="23"/>
        <v>0.0192649546069446</v>
      </c>
    </row>
    <row r="98" spans="3:34">
      <c r="C98" s="13" t="s">
        <v>24</v>
      </c>
      <c r="D98" s="13">
        <f t="shared" ref="D98:AH98" si="24">0.5*D26+0.5*D63</f>
        <v>0.0120989618544691</v>
      </c>
      <c r="E98" s="13">
        <f t="shared" si="24"/>
        <v>0.0124287229315264</v>
      </c>
      <c r="F98" s="13">
        <f t="shared" si="24"/>
        <v>0.0246159793575809</v>
      </c>
      <c r="G98" s="13">
        <f t="shared" si="24"/>
        <v>0.0329400261927079</v>
      </c>
      <c r="H98" s="13">
        <f t="shared" si="24"/>
        <v>0.0159500602944091</v>
      </c>
      <c r="I98" s="13">
        <f t="shared" si="24"/>
        <v>0.0137541408979298</v>
      </c>
      <c r="J98" s="13">
        <f t="shared" si="24"/>
        <v>0.0167747880325804</v>
      </c>
      <c r="K98" s="13">
        <f t="shared" si="24"/>
        <v>0.0229138477074343</v>
      </c>
      <c r="L98" s="13">
        <f t="shared" si="24"/>
        <v>0.0125134453545116</v>
      </c>
      <c r="M98" s="13">
        <f t="shared" si="24"/>
        <v>0.0149789651123388</v>
      </c>
      <c r="N98" s="13">
        <f t="shared" si="24"/>
        <v>0.0147643310970969</v>
      </c>
      <c r="O98" s="13">
        <f t="shared" si="24"/>
        <v>0.0358752762706934</v>
      </c>
      <c r="P98" s="13">
        <f t="shared" si="24"/>
        <v>0.0166527628669943</v>
      </c>
      <c r="Q98" s="13">
        <f t="shared" si="24"/>
        <v>0.0397024258755942</v>
      </c>
      <c r="R98" s="13">
        <f t="shared" si="24"/>
        <v>0.016262318705763</v>
      </c>
      <c r="S98" s="13">
        <f t="shared" si="24"/>
        <v>0.030552650061553</v>
      </c>
      <c r="T98" s="13">
        <f t="shared" si="24"/>
        <v>0.0245459700919984</v>
      </c>
      <c r="U98" s="13">
        <f t="shared" si="24"/>
        <v>0.0337277549159601</v>
      </c>
      <c r="V98" s="13">
        <f t="shared" si="24"/>
        <v>0.0230924624436317</v>
      </c>
      <c r="W98" s="13">
        <f t="shared" si="24"/>
        <v>0.0824508059874239</v>
      </c>
      <c r="X98" s="13">
        <f t="shared" si="24"/>
        <v>0.0371181763120502</v>
      </c>
      <c r="Y98" s="13">
        <f t="shared" si="24"/>
        <v>0.0410174236656567</v>
      </c>
      <c r="Z98" s="13">
        <f t="shared" si="24"/>
        <v>0.056685577601324</v>
      </c>
      <c r="AA98" s="13">
        <f t="shared" si="24"/>
        <v>0.116470573347939</v>
      </c>
      <c r="AB98" s="13">
        <f t="shared" si="24"/>
        <v>0</v>
      </c>
      <c r="AC98" s="13">
        <f t="shared" si="24"/>
        <v>0.0792681963547253</v>
      </c>
      <c r="AD98" s="13">
        <f t="shared" si="24"/>
        <v>0.0282083967182435</v>
      </c>
      <c r="AE98" s="13">
        <f t="shared" si="24"/>
        <v>0.0586770492407468</v>
      </c>
      <c r="AF98" s="13">
        <f t="shared" si="24"/>
        <v>0.0352110630891702</v>
      </c>
      <c r="AG98" s="13">
        <f t="shared" si="24"/>
        <v>0.0276725476225829</v>
      </c>
      <c r="AH98" s="13">
        <f t="shared" si="24"/>
        <v>0.0230752999953644</v>
      </c>
    </row>
    <row r="99" spans="3:34">
      <c r="C99" s="13" t="s">
        <v>25</v>
      </c>
      <c r="D99" s="13">
        <f t="shared" ref="D99:AH99" si="25">0.5*D27+0.5*D64</f>
        <v>0.0145032779866061</v>
      </c>
      <c r="E99" s="13">
        <f t="shared" si="25"/>
        <v>0.014495583202292</v>
      </c>
      <c r="F99" s="13">
        <f t="shared" si="25"/>
        <v>0.0253479990849606</v>
      </c>
      <c r="G99" s="13">
        <f t="shared" si="25"/>
        <v>0.0356319020258207</v>
      </c>
      <c r="H99" s="13">
        <f t="shared" si="25"/>
        <v>0.0187574720567379</v>
      </c>
      <c r="I99" s="13">
        <f t="shared" si="25"/>
        <v>0.0148297065780403</v>
      </c>
      <c r="J99" s="13">
        <f t="shared" si="25"/>
        <v>0.0173925215208452</v>
      </c>
      <c r="K99" s="13">
        <f t="shared" si="25"/>
        <v>0.0239642913618236</v>
      </c>
      <c r="L99" s="13">
        <f t="shared" si="25"/>
        <v>0.0128610368771857</v>
      </c>
      <c r="M99" s="13">
        <f t="shared" si="25"/>
        <v>0.014853117306514</v>
      </c>
      <c r="N99" s="13">
        <f t="shared" si="25"/>
        <v>0.0143288396288816</v>
      </c>
      <c r="O99" s="13">
        <f t="shared" si="25"/>
        <v>0.0372514860875282</v>
      </c>
      <c r="P99" s="13">
        <f t="shared" si="25"/>
        <v>0.0150277360345498</v>
      </c>
      <c r="Q99" s="13">
        <f t="shared" si="25"/>
        <v>0.0402375022769293</v>
      </c>
      <c r="R99" s="13">
        <f t="shared" si="25"/>
        <v>0.0169378971464112</v>
      </c>
      <c r="S99" s="13">
        <f t="shared" si="25"/>
        <v>0.0302025282321611</v>
      </c>
      <c r="T99" s="13">
        <f t="shared" si="25"/>
        <v>0.0214622491981021</v>
      </c>
      <c r="U99" s="13">
        <f t="shared" si="25"/>
        <v>0.027914851833117</v>
      </c>
      <c r="V99" s="13">
        <f t="shared" si="25"/>
        <v>0.0174796705317302</v>
      </c>
      <c r="W99" s="13">
        <f t="shared" si="25"/>
        <v>0.188119457793494</v>
      </c>
      <c r="X99" s="13">
        <f t="shared" si="25"/>
        <v>0.0289136378624392</v>
      </c>
      <c r="Y99" s="13">
        <f t="shared" si="25"/>
        <v>0.0289840219752092</v>
      </c>
      <c r="Z99" s="13">
        <f t="shared" si="25"/>
        <v>0.0499903045776884</v>
      </c>
      <c r="AA99" s="13">
        <f t="shared" si="25"/>
        <v>0.0432110775422499</v>
      </c>
      <c r="AB99" s="13">
        <f t="shared" si="25"/>
        <v>0.0687530879486042</v>
      </c>
      <c r="AC99" s="13">
        <f t="shared" si="25"/>
        <v>0</v>
      </c>
      <c r="AD99" s="13">
        <f t="shared" si="25"/>
        <v>0.0275830860876815</v>
      </c>
      <c r="AE99" s="13">
        <f t="shared" si="25"/>
        <v>0.0411003679145489</v>
      </c>
      <c r="AF99" s="13">
        <f t="shared" si="25"/>
        <v>0.0446666780819449</v>
      </c>
      <c r="AG99" s="13">
        <f t="shared" si="25"/>
        <v>0.0314841339380116</v>
      </c>
      <c r="AH99" s="13">
        <f t="shared" si="25"/>
        <v>0.033714477307891</v>
      </c>
    </row>
    <row r="100" spans="3:34">
      <c r="C100" s="13" t="s">
        <v>26</v>
      </c>
      <c r="D100" s="13">
        <f t="shared" ref="D100:AH100" si="26">0.5*D28+0.5*D65</f>
        <v>0.0174273009228082</v>
      </c>
      <c r="E100" s="13">
        <f t="shared" si="26"/>
        <v>0.0174002580531704</v>
      </c>
      <c r="F100" s="13">
        <f t="shared" si="26"/>
        <v>0.054709050564463</v>
      </c>
      <c r="G100" s="13">
        <f t="shared" si="26"/>
        <v>0.043104348498447</v>
      </c>
      <c r="H100" s="13">
        <f t="shared" si="26"/>
        <v>0.0259245660679218</v>
      </c>
      <c r="I100" s="13">
        <f t="shared" si="26"/>
        <v>0.0190368949836957</v>
      </c>
      <c r="J100" s="13">
        <f t="shared" si="26"/>
        <v>0.119151487043973</v>
      </c>
      <c r="K100" s="13">
        <f t="shared" si="26"/>
        <v>0.0270532214703301</v>
      </c>
      <c r="L100" s="13">
        <f t="shared" si="26"/>
        <v>0.0130981447852655</v>
      </c>
      <c r="M100" s="13">
        <f t="shared" si="26"/>
        <v>0.0179040101488984</v>
      </c>
      <c r="N100" s="13">
        <f t="shared" si="26"/>
        <v>0.0155544641097799</v>
      </c>
      <c r="O100" s="13">
        <f t="shared" si="26"/>
        <v>0.030044712175417</v>
      </c>
      <c r="P100" s="13">
        <f t="shared" si="26"/>
        <v>0.0153884285252028</v>
      </c>
      <c r="Q100" s="13">
        <f t="shared" si="26"/>
        <v>0.0282615185552021</v>
      </c>
      <c r="R100" s="13">
        <f t="shared" si="26"/>
        <v>0.0248375253897344</v>
      </c>
      <c r="S100" s="13">
        <f t="shared" si="26"/>
        <v>0.0517199481494969</v>
      </c>
      <c r="T100" s="13">
        <f t="shared" si="26"/>
        <v>0.05171957948232</v>
      </c>
      <c r="U100" s="13">
        <f t="shared" si="26"/>
        <v>0.046085592041567</v>
      </c>
      <c r="V100" s="13">
        <f t="shared" si="26"/>
        <v>0.015584179416831</v>
      </c>
      <c r="W100" s="13">
        <f t="shared" si="26"/>
        <v>0.020263092628985</v>
      </c>
      <c r="X100" s="13">
        <f t="shared" si="26"/>
        <v>0.0307935115923332</v>
      </c>
      <c r="Y100" s="13">
        <f t="shared" si="26"/>
        <v>0.0584147005733132</v>
      </c>
      <c r="Z100" s="13">
        <f t="shared" si="26"/>
        <v>0.037542777993633</v>
      </c>
      <c r="AA100" s="13">
        <f t="shared" si="26"/>
        <v>0.0224566388518675</v>
      </c>
      <c r="AB100" s="13">
        <f t="shared" si="26"/>
        <v>0.0195660094829262</v>
      </c>
      <c r="AC100" s="13">
        <f t="shared" si="26"/>
        <v>0.0170801955655064</v>
      </c>
      <c r="AD100" s="13">
        <f t="shared" si="26"/>
        <v>0</v>
      </c>
      <c r="AE100" s="13">
        <f t="shared" si="26"/>
        <v>0.0343562593172531</v>
      </c>
      <c r="AF100" s="13">
        <f t="shared" si="26"/>
        <v>0.0371788086658482</v>
      </c>
      <c r="AG100" s="13">
        <f t="shared" si="26"/>
        <v>0.0570279435737059</v>
      </c>
      <c r="AH100" s="13">
        <f t="shared" si="26"/>
        <v>0.0313148313701046</v>
      </c>
    </row>
    <row r="101" spans="3:34">
      <c r="C101" s="13" t="s">
        <v>27</v>
      </c>
      <c r="D101" s="13">
        <f t="shared" ref="D101:AH101" si="27">0.5*D29+0.5*D66</f>
        <v>0.0153140568283324</v>
      </c>
      <c r="E101" s="13">
        <f t="shared" si="27"/>
        <v>0.0151052090500969</v>
      </c>
      <c r="F101" s="13">
        <f t="shared" si="27"/>
        <v>0.0280761988353349</v>
      </c>
      <c r="G101" s="13">
        <f t="shared" si="27"/>
        <v>0.0362237966994408</v>
      </c>
      <c r="H101" s="13">
        <f t="shared" si="27"/>
        <v>0.0237244198989974</v>
      </c>
      <c r="I101" s="13">
        <f t="shared" si="27"/>
        <v>0.0148237582989551</v>
      </c>
      <c r="J101" s="13">
        <f t="shared" si="27"/>
        <v>0.0172250044663068</v>
      </c>
      <c r="K101" s="13">
        <f t="shared" si="27"/>
        <v>0.0214541497691428</v>
      </c>
      <c r="L101" s="13">
        <f t="shared" si="27"/>
        <v>0.0110245000773723</v>
      </c>
      <c r="M101" s="13">
        <f t="shared" si="27"/>
        <v>0.0140172321496263</v>
      </c>
      <c r="N101" s="13">
        <f t="shared" si="27"/>
        <v>0.0129127050575256</v>
      </c>
      <c r="O101" s="13">
        <f t="shared" si="27"/>
        <v>0.0295702053618642</v>
      </c>
      <c r="P101" s="13">
        <f t="shared" si="27"/>
        <v>0.0129181538060815</v>
      </c>
      <c r="Q101" s="13">
        <f t="shared" si="27"/>
        <v>0.0297798397484182</v>
      </c>
      <c r="R101" s="13">
        <f t="shared" si="27"/>
        <v>0.0183284939368917</v>
      </c>
      <c r="S101" s="13">
        <f t="shared" si="27"/>
        <v>0.0314639961212931</v>
      </c>
      <c r="T101" s="13">
        <f t="shared" si="27"/>
        <v>0.0216749753481744</v>
      </c>
      <c r="U101" s="13">
        <f t="shared" si="27"/>
        <v>0.0254810936046804</v>
      </c>
      <c r="V101" s="13">
        <f t="shared" si="27"/>
        <v>0.0135109968037507</v>
      </c>
      <c r="W101" s="13">
        <f t="shared" si="27"/>
        <v>0.0377968842828568</v>
      </c>
      <c r="X101" s="13">
        <f t="shared" si="27"/>
        <v>0.0219856150245523</v>
      </c>
      <c r="Y101" s="13">
        <f t="shared" si="27"/>
        <v>0.0287106972178124</v>
      </c>
      <c r="Z101" s="13">
        <f t="shared" si="27"/>
        <v>0.0426302344465757</v>
      </c>
      <c r="AA101" s="13">
        <f t="shared" si="27"/>
        <v>0.148703020615537</v>
      </c>
      <c r="AB101" s="13">
        <f t="shared" si="27"/>
        <v>0.0637263760155685</v>
      </c>
      <c r="AC101" s="13">
        <f t="shared" si="27"/>
        <v>0.0419364821030743</v>
      </c>
      <c r="AD101" s="13">
        <f t="shared" si="27"/>
        <v>0.040938576609264</v>
      </c>
      <c r="AE101" s="13">
        <f t="shared" si="27"/>
        <v>0</v>
      </c>
      <c r="AF101" s="13">
        <f t="shared" si="27"/>
        <v>0.0996521239258165</v>
      </c>
      <c r="AG101" s="13">
        <f t="shared" si="27"/>
        <v>0.05835608621144</v>
      </c>
      <c r="AH101" s="13">
        <f t="shared" si="27"/>
        <v>0.0229351176852168</v>
      </c>
    </row>
    <row r="102" spans="3:34">
      <c r="C102" s="13" t="s">
        <v>28</v>
      </c>
      <c r="D102" s="13">
        <f t="shared" ref="D102:AH102" si="28">0.5*D30+0.5*D67</f>
        <v>0.013832370837621</v>
      </c>
      <c r="E102" s="13">
        <f t="shared" si="28"/>
        <v>0.0134100532319786</v>
      </c>
      <c r="F102" s="13">
        <f t="shared" si="28"/>
        <v>0.0324622379805655</v>
      </c>
      <c r="G102" s="13">
        <f t="shared" si="28"/>
        <v>0.0956716460533796</v>
      </c>
      <c r="H102" s="13">
        <f t="shared" si="28"/>
        <v>0.0204390488181068</v>
      </c>
      <c r="I102" s="13">
        <f t="shared" si="28"/>
        <v>0.0121691601770628</v>
      </c>
      <c r="J102" s="13">
        <f t="shared" si="28"/>
        <v>0.0157410601122156</v>
      </c>
      <c r="K102" s="13">
        <f t="shared" si="28"/>
        <v>0.058331254798583</v>
      </c>
      <c r="L102" s="13">
        <f t="shared" si="28"/>
        <v>0.00984817405507114</v>
      </c>
      <c r="M102" s="13">
        <f t="shared" si="28"/>
        <v>0.0119982144952378</v>
      </c>
      <c r="N102" s="13">
        <f t="shared" si="28"/>
        <v>0.0108768508277606</v>
      </c>
      <c r="O102" s="13">
        <f t="shared" si="28"/>
        <v>0.0492330658671734</v>
      </c>
      <c r="P102" s="13">
        <f t="shared" si="28"/>
        <v>0.0106100527191489</v>
      </c>
      <c r="Q102" s="13">
        <f t="shared" si="28"/>
        <v>0.0416557017038995</v>
      </c>
      <c r="R102" s="13">
        <f t="shared" si="28"/>
        <v>0.0152277206467581</v>
      </c>
      <c r="S102" s="13">
        <f t="shared" si="28"/>
        <v>0.0709575202958703</v>
      </c>
      <c r="T102" s="13">
        <f t="shared" si="28"/>
        <v>0.0186312623174698</v>
      </c>
      <c r="U102" s="13">
        <f t="shared" si="28"/>
        <v>0.0341600430833251</v>
      </c>
      <c r="V102" s="13">
        <f t="shared" si="28"/>
        <v>0.011363263131479</v>
      </c>
      <c r="W102" s="13">
        <f t="shared" si="28"/>
        <v>0.0218274092088881</v>
      </c>
      <c r="X102" s="13">
        <f t="shared" si="28"/>
        <v>0.0440595550012914</v>
      </c>
      <c r="Y102" s="13">
        <f t="shared" si="28"/>
        <v>0.0254621129818002</v>
      </c>
      <c r="Z102" s="13">
        <f t="shared" si="28"/>
        <v>0.066709260439488</v>
      </c>
      <c r="AA102" s="13">
        <f t="shared" si="28"/>
        <v>0.0200940999184056</v>
      </c>
      <c r="AB102" s="13">
        <f t="shared" si="28"/>
        <v>0.0210236758720057</v>
      </c>
      <c r="AC102" s="13">
        <f t="shared" si="28"/>
        <v>0.0243375077910888</v>
      </c>
      <c r="AD102" s="13">
        <f t="shared" si="28"/>
        <v>0.0341694996801367</v>
      </c>
      <c r="AE102" s="13">
        <f t="shared" si="28"/>
        <v>0.0989857435907077</v>
      </c>
      <c r="AF102" s="13">
        <f t="shared" si="28"/>
        <v>0</v>
      </c>
      <c r="AG102" s="13">
        <f t="shared" si="28"/>
        <v>0.0581743461475438</v>
      </c>
      <c r="AH102" s="13">
        <f t="shared" si="28"/>
        <v>0.0385380882159375</v>
      </c>
    </row>
    <row r="103" spans="3:34">
      <c r="C103" s="13" t="s">
        <v>29</v>
      </c>
      <c r="D103" s="13">
        <f t="shared" ref="D103:AH103" si="29">0.5*D31+0.5*D68</f>
        <v>0.0189349944260572</v>
      </c>
      <c r="E103" s="13">
        <f t="shared" si="29"/>
        <v>0.0176626008290339</v>
      </c>
      <c r="F103" s="13">
        <f t="shared" si="29"/>
        <v>0.08383903425546</v>
      </c>
      <c r="G103" s="13">
        <f t="shared" si="29"/>
        <v>0.0389074528801422</v>
      </c>
      <c r="H103" s="13">
        <f t="shared" si="29"/>
        <v>0.0334012477323037</v>
      </c>
      <c r="I103" s="13">
        <f t="shared" si="29"/>
        <v>0.0130553905746322</v>
      </c>
      <c r="J103" s="13">
        <f t="shared" si="29"/>
        <v>0.0164530350064225</v>
      </c>
      <c r="K103" s="13">
        <f t="shared" si="29"/>
        <v>0.0280849025060159</v>
      </c>
      <c r="L103" s="13">
        <f t="shared" si="29"/>
        <v>0.0106831200893169</v>
      </c>
      <c r="M103" s="13">
        <f t="shared" si="29"/>
        <v>0.0131881449300303</v>
      </c>
      <c r="N103" s="13">
        <f t="shared" si="29"/>
        <v>0.0113265730155345</v>
      </c>
      <c r="O103" s="13">
        <f t="shared" si="29"/>
        <v>0.0204846559951024</v>
      </c>
      <c r="P103" s="13">
        <f t="shared" si="29"/>
        <v>0.0101853047412747</v>
      </c>
      <c r="Q103" s="13">
        <f t="shared" si="29"/>
        <v>0.0185347745894792</v>
      </c>
      <c r="R103" s="13">
        <f t="shared" si="29"/>
        <v>0.0183441335860713</v>
      </c>
      <c r="S103" s="13">
        <f t="shared" si="29"/>
        <v>0.0393649882269003</v>
      </c>
      <c r="T103" s="13">
        <f t="shared" si="29"/>
        <v>0.0186796397079535</v>
      </c>
      <c r="U103" s="13">
        <f t="shared" si="29"/>
        <v>0.241807947478544</v>
      </c>
      <c r="V103" s="13">
        <f t="shared" si="29"/>
        <v>0.0101948051622668</v>
      </c>
      <c r="W103" s="13">
        <f t="shared" si="29"/>
        <v>0.0133408367813496</v>
      </c>
      <c r="X103" s="13">
        <f t="shared" si="29"/>
        <v>0.0352011815222609</v>
      </c>
      <c r="Y103" s="13">
        <f t="shared" si="29"/>
        <v>0.0214488928640861</v>
      </c>
      <c r="Z103" s="13">
        <f t="shared" si="29"/>
        <v>0.0259188582777751</v>
      </c>
      <c r="AA103" s="13">
        <f t="shared" si="29"/>
        <v>0.014788971437897</v>
      </c>
      <c r="AB103" s="13">
        <f t="shared" si="29"/>
        <v>0.0137720849591801</v>
      </c>
      <c r="AC103" s="13">
        <f t="shared" si="29"/>
        <v>0.013418992147216</v>
      </c>
      <c r="AD103" s="13">
        <f t="shared" si="29"/>
        <v>0.0409586612334415</v>
      </c>
      <c r="AE103" s="13">
        <f t="shared" si="29"/>
        <v>0.0500458286420928</v>
      </c>
      <c r="AF103" s="13">
        <f t="shared" si="29"/>
        <v>0.0466526289182878</v>
      </c>
      <c r="AG103" s="13">
        <f t="shared" si="29"/>
        <v>0</v>
      </c>
      <c r="AH103" s="13">
        <f t="shared" si="29"/>
        <v>0.0613203174838717</v>
      </c>
    </row>
    <row r="104" spans="3:34">
      <c r="C104" s="13" t="s">
        <v>30</v>
      </c>
      <c r="D104" s="13">
        <f t="shared" ref="D104:AH104" si="30">0.5*D32+0.5*D69</f>
        <v>0.0173787782937838</v>
      </c>
      <c r="E104" s="13">
        <f t="shared" si="30"/>
        <v>0.0169262428815935</v>
      </c>
      <c r="F104" s="13">
        <f t="shared" si="30"/>
        <v>0.0558417346718527</v>
      </c>
      <c r="G104" s="13">
        <f t="shared" si="30"/>
        <v>0.0336584271213618</v>
      </c>
      <c r="H104" s="13">
        <f t="shared" si="30"/>
        <v>0.0224554825527929</v>
      </c>
      <c r="I104" s="13">
        <f t="shared" si="30"/>
        <v>0.0167668112525524</v>
      </c>
      <c r="J104" s="13">
        <f t="shared" si="30"/>
        <v>0.0217794552921257</v>
      </c>
      <c r="K104" s="13">
        <f t="shared" si="30"/>
        <v>0.0554568631098053</v>
      </c>
      <c r="L104" s="13">
        <f t="shared" si="30"/>
        <v>0.0130435981797279</v>
      </c>
      <c r="M104" s="13">
        <f t="shared" si="30"/>
        <v>0.0146608690725396</v>
      </c>
      <c r="N104" s="13">
        <f t="shared" si="30"/>
        <v>0.0137853132289199</v>
      </c>
      <c r="O104" s="13">
        <f t="shared" si="30"/>
        <v>0.0259034994475758</v>
      </c>
      <c r="P104" s="13">
        <f t="shared" si="30"/>
        <v>0.0134544303824928</v>
      </c>
      <c r="Q104" s="13">
        <f t="shared" si="30"/>
        <v>0.0244159743031956</v>
      </c>
      <c r="R104" s="13">
        <f t="shared" si="30"/>
        <v>0.0177406297689697</v>
      </c>
      <c r="S104" s="13">
        <f t="shared" si="30"/>
        <v>0.0555406318020653</v>
      </c>
      <c r="T104" s="13">
        <f t="shared" si="30"/>
        <v>0.0203085516006069</v>
      </c>
      <c r="U104" s="13">
        <f t="shared" si="30"/>
        <v>0.105990716054519</v>
      </c>
      <c r="V104" s="13">
        <f t="shared" si="30"/>
        <v>0.0140663541146745</v>
      </c>
      <c r="W104" s="13">
        <f t="shared" si="30"/>
        <v>0.0196286182866464</v>
      </c>
      <c r="X104" s="13">
        <f t="shared" si="30"/>
        <v>0.091846296545075</v>
      </c>
      <c r="Y104" s="13">
        <f t="shared" si="30"/>
        <v>0.0235059037662038</v>
      </c>
      <c r="Z104" s="13">
        <f t="shared" si="30"/>
        <v>0.0321748745228684</v>
      </c>
      <c r="AA104" s="13">
        <f t="shared" si="30"/>
        <v>0.0194712143755462</v>
      </c>
      <c r="AB104" s="13">
        <f t="shared" si="30"/>
        <v>0.0208993500516138</v>
      </c>
      <c r="AC104" s="13">
        <f t="shared" si="30"/>
        <v>0.0312060390567695</v>
      </c>
      <c r="AD104" s="13">
        <f t="shared" si="30"/>
        <v>0.0295536369080774</v>
      </c>
      <c r="AE104" s="13">
        <f t="shared" si="30"/>
        <v>0.0286351842489477</v>
      </c>
      <c r="AF104" s="13">
        <f t="shared" si="30"/>
        <v>0.0486853437634177</v>
      </c>
      <c r="AG104" s="13">
        <f t="shared" si="30"/>
        <v>0.0952191753436794</v>
      </c>
      <c r="AH104" s="13">
        <f t="shared" si="30"/>
        <v>0</v>
      </c>
    </row>
  </sheetData>
  <sheetProtection formatCells="0" insertHyperlinks="0" autoFilter="0"/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100"/>
  <sheetViews>
    <sheetView workbookViewId="0">
      <selection activeCell="E44" sqref="E44"/>
    </sheetView>
  </sheetViews>
  <sheetFormatPr defaultColWidth="9" defaultRowHeight="14"/>
  <cols>
    <col min="1" max="1" width="11.25" style="12" customWidth="1"/>
    <col min="2" max="3" width="8.875" style="13"/>
    <col min="4" max="4" width="7.75" style="13" customWidth="1"/>
    <col min="5" max="5" width="7.375" style="13" customWidth="1"/>
    <col min="6" max="62" width="9" style="13"/>
  </cols>
  <sheetData>
    <row r="1" spans="1:35">
      <c r="A1" s="12" t="s">
        <v>31</v>
      </c>
      <c r="E1" s="14" t="s">
        <v>0</v>
      </c>
      <c r="F1" s="14" t="s">
        <v>1</v>
      </c>
      <c r="G1" s="14" t="s">
        <v>2</v>
      </c>
      <c r="H1" s="14" t="s">
        <v>3</v>
      </c>
      <c r="I1" s="14" t="s">
        <v>4</v>
      </c>
      <c r="J1" s="14" t="s">
        <v>5</v>
      </c>
      <c r="K1" s="14" t="s">
        <v>6</v>
      </c>
      <c r="L1" s="14" t="s">
        <v>7</v>
      </c>
      <c r="M1" s="14" t="s">
        <v>8</v>
      </c>
      <c r="N1" s="14" t="s">
        <v>9</v>
      </c>
      <c r="O1" s="14" t="s">
        <v>10</v>
      </c>
      <c r="P1" s="14" t="s">
        <v>11</v>
      </c>
      <c r="Q1" s="14" t="s">
        <v>12</v>
      </c>
      <c r="R1" s="14" t="s">
        <v>13</v>
      </c>
      <c r="S1" s="14" t="s">
        <v>14</v>
      </c>
      <c r="T1" s="14" t="s">
        <v>15</v>
      </c>
      <c r="U1" s="14" t="s">
        <v>16</v>
      </c>
      <c r="V1" s="14" t="s">
        <v>17</v>
      </c>
      <c r="W1" s="14" t="s">
        <v>18</v>
      </c>
      <c r="X1" s="14" t="s">
        <v>19</v>
      </c>
      <c r="Y1" s="14" t="s">
        <v>20</v>
      </c>
      <c r="Z1" s="14" t="s">
        <v>21</v>
      </c>
      <c r="AA1" s="14" t="s">
        <v>22</v>
      </c>
      <c r="AB1" s="14" t="s">
        <v>23</v>
      </c>
      <c r="AC1" s="14" t="s">
        <v>24</v>
      </c>
      <c r="AD1" s="14" t="s">
        <v>25</v>
      </c>
      <c r="AE1" s="14" t="s">
        <v>26</v>
      </c>
      <c r="AF1" s="14" t="s">
        <v>27</v>
      </c>
      <c r="AG1" s="14" t="s">
        <v>28</v>
      </c>
      <c r="AH1" s="14" t="s">
        <v>29</v>
      </c>
      <c r="AI1" s="14" t="s">
        <v>30</v>
      </c>
    </row>
    <row r="2" spans="5:35">
      <c r="E2" s="2">
        <v>8.07559547087986</v>
      </c>
      <c r="F2" s="2">
        <v>7.00520858104725</v>
      </c>
      <c r="G2" s="2">
        <v>2.84530651005488</v>
      </c>
      <c r="H2" s="2">
        <v>2.54392150004365</v>
      </c>
      <c r="I2" s="2">
        <v>4.27315250749414</v>
      </c>
      <c r="J2" s="2">
        <v>3.90719568157907</v>
      </c>
      <c r="K2" s="2">
        <v>3.15424370746676</v>
      </c>
      <c r="L2" s="2">
        <v>2.6824684277149</v>
      </c>
      <c r="M2" s="2">
        <v>8.42685826481529</v>
      </c>
      <c r="N2" s="2">
        <v>5.90957773279552</v>
      </c>
      <c r="O2" s="2">
        <v>5.47871631651732</v>
      </c>
      <c r="P2" s="2">
        <v>2.48644343810527</v>
      </c>
      <c r="Q2" s="2">
        <v>4.71871968206808</v>
      </c>
      <c r="R2" s="2">
        <v>2.45990302024444</v>
      </c>
      <c r="S2" s="2">
        <v>4.21751619118074</v>
      </c>
      <c r="T2" s="2">
        <v>2.67590948431165</v>
      </c>
      <c r="U2" s="2">
        <v>3.34241323769808</v>
      </c>
      <c r="V2" s="2">
        <v>2.79581682246655</v>
      </c>
      <c r="W2" s="2">
        <v>4.79249102585372</v>
      </c>
      <c r="X2" s="2">
        <v>2.22528319692003</v>
      </c>
      <c r="Y2" s="2">
        <v>2.71898909379949</v>
      </c>
      <c r="Z2" s="2">
        <v>3.32999237587743</v>
      </c>
      <c r="AA2" s="2">
        <v>2.49727045664446</v>
      </c>
      <c r="AB2" s="2">
        <v>1.84398767483154</v>
      </c>
      <c r="AC2" s="2">
        <v>2.00724175116922</v>
      </c>
      <c r="AD2" s="2">
        <v>2.18296513862508</v>
      </c>
      <c r="AE2" s="2">
        <v>3.08306478213604</v>
      </c>
      <c r="AF2" s="2">
        <v>1.74445616283952</v>
      </c>
      <c r="AG2" s="2">
        <v>2.59867121616487</v>
      </c>
      <c r="AH2" s="2">
        <v>2.80621471883819</v>
      </c>
      <c r="AI2" s="2">
        <v>2.76005861033457</v>
      </c>
    </row>
    <row r="3" spans="1:35">
      <c r="A3" s="15" t="s">
        <v>33</v>
      </c>
      <c r="B3" s="2">
        <v>8.07559547087986</v>
      </c>
      <c r="C3" s="15"/>
      <c r="D3" s="14" t="s">
        <v>0</v>
      </c>
      <c r="E3" s="13">
        <f>$B3-E$2</f>
        <v>0</v>
      </c>
      <c r="F3" s="13">
        <f t="shared" ref="F3:AI11" si="0">$B3-F$2</f>
        <v>1.07038688983261</v>
      </c>
      <c r="G3" s="13">
        <f t="shared" si="0"/>
        <v>5.23028896082498</v>
      </c>
      <c r="H3" s="13">
        <f t="shared" si="0"/>
        <v>5.53167397083621</v>
      </c>
      <c r="I3" s="13">
        <f t="shared" si="0"/>
        <v>3.80244296338572</v>
      </c>
      <c r="J3" s="13">
        <f t="shared" si="0"/>
        <v>4.16839978930079</v>
      </c>
      <c r="K3" s="13">
        <f t="shared" si="0"/>
        <v>4.9213517634131</v>
      </c>
      <c r="L3" s="13">
        <f t="shared" si="0"/>
        <v>5.39312704316496</v>
      </c>
      <c r="M3" s="13">
        <f t="shared" si="0"/>
        <v>-0.35126279393543</v>
      </c>
      <c r="N3" s="13">
        <f t="shared" si="0"/>
        <v>2.16601773808434</v>
      </c>
      <c r="O3" s="13">
        <f t="shared" si="0"/>
        <v>2.59687915436254</v>
      </c>
      <c r="P3" s="13">
        <f t="shared" si="0"/>
        <v>5.58915203277459</v>
      </c>
      <c r="Q3" s="13">
        <f t="shared" si="0"/>
        <v>3.35687578881179</v>
      </c>
      <c r="R3" s="13">
        <f t="shared" si="0"/>
        <v>5.61569245063542</v>
      </c>
      <c r="S3" s="13">
        <f t="shared" si="0"/>
        <v>3.85807927969912</v>
      </c>
      <c r="T3" s="13">
        <f t="shared" si="0"/>
        <v>5.39968598656821</v>
      </c>
      <c r="U3" s="13">
        <f t="shared" si="0"/>
        <v>4.73318223318178</v>
      </c>
      <c r="V3" s="13">
        <f t="shared" si="0"/>
        <v>5.27977864841332</v>
      </c>
      <c r="W3" s="13">
        <f t="shared" si="0"/>
        <v>3.28310444502615</v>
      </c>
      <c r="X3" s="13">
        <f t="shared" si="0"/>
        <v>5.85031227395983</v>
      </c>
      <c r="Y3" s="13">
        <f t="shared" si="0"/>
        <v>5.35660637708037</v>
      </c>
      <c r="Z3" s="13">
        <f t="shared" si="0"/>
        <v>4.74560309500243</v>
      </c>
      <c r="AA3" s="13">
        <f t="shared" si="0"/>
        <v>5.5783250142354</v>
      </c>
      <c r="AB3" s="13">
        <f t="shared" si="0"/>
        <v>6.23160779604832</v>
      </c>
      <c r="AC3" s="13">
        <f t="shared" si="0"/>
        <v>6.06835371971064</v>
      </c>
      <c r="AD3" s="13">
        <f t="shared" si="0"/>
        <v>5.89263033225478</v>
      </c>
      <c r="AE3" s="13">
        <f t="shared" si="0"/>
        <v>4.99253068874382</v>
      </c>
      <c r="AF3" s="13">
        <f t="shared" si="0"/>
        <v>6.33113930804034</v>
      </c>
      <c r="AG3" s="13">
        <f t="shared" si="0"/>
        <v>5.476924254715</v>
      </c>
      <c r="AH3" s="13">
        <f t="shared" si="0"/>
        <v>5.26938075204167</v>
      </c>
      <c r="AI3" s="13">
        <f t="shared" si="0"/>
        <v>5.3155368605453</v>
      </c>
    </row>
    <row r="4" spans="1:35">
      <c r="A4" s="15" t="s">
        <v>33</v>
      </c>
      <c r="B4" s="2">
        <v>7.00520858104725</v>
      </c>
      <c r="C4" s="15"/>
      <c r="D4" s="14" t="s">
        <v>1</v>
      </c>
      <c r="E4" s="13">
        <f t="shared" ref="E4:T26" si="1">$B4-E$2</f>
        <v>-1.07038688983261</v>
      </c>
      <c r="F4" s="21">
        <f t="shared" si="1"/>
        <v>0</v>
      </c>
      <c r="G4" s="13">
        <f t="shared" si="1"/>
        <v>4.15990207099237</v>
      </c>
      <c r="H4" s="13">
        <f t="shared" si="1"/>
        <v>4.46128708100361</v>
      </c>
      <c r="I4" s="13">
        <f t="shared" si="1"/>
        <v>2.73205607355312</v>
      </c>
      <c r="J4" s="13">
        <f t="shared" si="1"/>
        <v>3.09801289946818</v>
      </c>
      <c r="K4" s="13">
        <f t="shared" si="1"/>
        <v>3.85096487358049</v>
      </c>
      <c r="L4" s="13">
        <f t="shared" si="1"/>
        <v>4.32274015333236</v>
      </c>
      <c r="M4" s="13">
        <f t="shared" si="1"/>
        <v>-1.42164968376804</v>
      </c>
      <c r="N4" s="13">
        <f t="shared" si="1"/>
        <v>1.09563084825173</v>
      </c>
      <c r="O4" s="13">
        <f t="shared" si="1"/>
        <v>1.52649226452993</v>
      </c>
      <c r="P4" s="13">
        <f t="shared" si="1"/>
        <v>4.51876514294198</v>
      </c>
      <c r="Q4" s="13">
        <f t="shared" si="1"/>
        <v>2.28648889897918</v>
      </c>
      <c r="R4" s="13">
        <f t="shared" si="1"/>
        <v>4.54530556080281</v>
      </c>
      <c r="S4" s="13">
        <f t="shared" si="1"/>
        <v>2.78769238986651</v>
      </c>
      <c r="T4" s="13">
        <f t="shared" si="1"/>
        <v>4.32929909673561</v>
      </c>
      <c r="U4" s="13">
        <f t="shared" si="0"/>
        <v>3.66279534334917</v>
      </c>
      <c r="V4" s="13">
        <f t="shared" si="0"/>
        <v>4.20939175858071</v>
      </c>
      <c r="W4" s="13">
        <f t="shared" si="0"/>
        <v>2.21271755519354</v>
      </c>
      <c r="X4" s="13">
        <f t="shared" si="0"/>
        <v>4.77992538412722</v>
      </c>
      <c r="Y4" s="13">
        <f t="shared" si="0"/>
        <v>4.28621948724776</v>
      </c>
      <c r="Z4" s="13">
        <f t="shared" si="0"/>
        <v>3.67521620516982</v>
      </c>
      <c r="AA4" s="13">
        <f t="shared" si="0"/>
        <v>4.50793812440279</v>
      </c>
      <c r="AB4" s="13">
        <f t="shared" si="0"/>
        <v>5.16122090621571</v>
      </c>
      <c r="AC4" s="13">
        <f t="shared" si="0"/>
        <v>4.99796682987804</v>
      </c>
      <c r="AD4" s="13">
        <f t="shared" si="0"/>
        <v>4.82224344242218</v>
      </c>
      <c r="AE4" s="13">
        <f t="shared" si="0"/>
        <v>3.92214379891122</v>
      </c>
      <c r="AF4" s="13">
        <f t="shared" si="0"/>
        <v>5.26075241820774</v>
      </c>
      <c r="AG4" s="13">
        <f t="shared" si="0"/>
        <v>4.40653736488239</v>
      </c>
      <c r="AH4" s="13">
        <f t="shared" si="0"/>
        <v>4.19899386220906</v>
      </c>
      <c r="AI4" s="13">
        <f t="shared" si="0"/>
        <v>4.24514997071269</v>
      </c>
    </row>
    <row r="5" spans="1:35">
      <c r="A5" s="15" t="s">
        <v>33</v>
      </c>
      <c r="B5" s="2">
        <v>2.84530651005488</v>
      </c>
      <c r="C5" s="15"/>
      <c r="D5" s="14" t="s">
        <v>2</v>
      </c>
      <c r="E5" s="13">
        <f t="shared" si="1"/>
        <v>-5.23028896082498</v>
      </c>
      <c r="F5" s="13">
        <f t="shared" si="0"/>
        <v>-4.15990207099237</v>
      </c>
      <c r="G5" s="13">
        <f t="shared" si="0"/>
        <v>0</v>
      </c>
      <c r="H5" s="13">
        <f t="shared" si="0"/>
        <v>0.301385010011238</v>
      </c>
      <c r="I5" s="13">
        <f t="shared" si="0"/>
        <v>-1.42784599743925</v>
      </c>
      <c r="J5" s="13">
        <f t="shared" si="0"/>
        <v>-1.06188917152419</v>
      </c>
      <c r="K5" s="13">
        <f t="shared" si="0"/>
        <v>-0.308937197411876</v>
      </c>
      <c r="L5" s="13">
        <f t="shared" si="0"/>
        <v>0.162838082339986</v>
      </c>
      <c r="M5" s="13">
        <f t="shared" si="0"/>
        <v>-5.58155175476041</v>
      </c>
      <c r="N5" s="13">
        <f t="shared" si="0"/>
        <v>-3.06427122274064</v>
      </c>
      <c r="O5" s="13">
        <f t="shared" si="0"/>
        <v>-2.63340980646244</v>
      </c>
      <c r="P5" s="13">
        <f t="shared" si="0"/>
        <v>0.358863071949613</v>
      </c>
      <c r="Q5" s="13">
        <f t="shared" si="0"/>
        <v>-1.87341317201319</v>
      </c>
      <c r="R5" s="13">
        <f t="shared" si="0"/>
        <v>0.38540348981044</v>
      </c>
      <c r="S5" s="13">
        <f t="shared" si="0"/>
        <v>-1.37220968112586</v>
      </c>
      <c r="T5" s="13">
        <f t="shared" si="0"/>
        <v>0.169397025743237</v>
      </c>
      <c r="U5" s="13">
        <f t="shared" si="0"/>
        <v>-0.497106727643197</v>
      </c>
      <c r="V5" s="13">
        <f t="shared" si="0"/>
        <v>0.0494896875883382</v>
      </c>
      <c r="W5" s="13">
        <f t="shared" si="0"/>
        <v>-1.94718451579883</v>
      </c>
      <c r="X5" s="13">
        <f t="shared" si="0"/>
        <v>0.620023313134855</v>
      </c>
      <c r="Y5" s="13">
        <f t="shared" si="0"/>
        <v>0.126317416255391</v>
      </c>
      <c r="Z5" s="13">
        <f t="shared" si="0"/>
        <v>-0.484685865822547</v>
      </c>
      <c r="AA5" s="13">
        <f t="shared" si="0"/>
        <v>0.34803605341042</v>
      </c>
      <c r="AB5" s="13">
        <f t="shared" si="0"/>
        <v>1.00131883522334</v>
      </c>
      <c r="AC5" s="13">
        <f t="shared" si="0"/>
        <v>0.838064758885666</v>
      </c>
      <c r="AD5" s="13">
        <f t="shared" si="0"/>
        <v>0.662341371429806</v>
      </c>
      <c r="AE5" s="13">
        <f t="shared" si="0"/>
        <v>-0.237758272081153</v>
      </c>
      <c r="AF5" s="13">
        <f t="shared" si="0"/>
        <v>1.10085034721537</v>
      </c>
      <c r="AG5" s="13">
        <f t="shared" si="0"/>
        <v>0.246635293890018</v>
      </c>
      <c r="AH5" s="13">
        <f t="shared" si="0"/>
        <v>0.0390917912166895</v>
      </c>
      <c r="AI5" s="13">
        <f t="shared" si="0"/>
        <v>0.0852478997203185</v>
      </c>
    </row>
    <row r="6" spans="1:35">
      <c r="A6" s="15" t="s">
        <v>33</v>
      </c>
      <c r="B6" s="2">
        <v>2.54392150004365</v>
      </c>
      <c r="C6" s="15"/>
      <c r="D6" s="14" t="s">
        <v>3</v>
      </c>
      <c r="E6" s="13">
        <f t="shared" si="1"/>
        <v>-5.53167397083621</v>
      </c>
      <c r="F6" s="13">
        <f t="shared" si="0"/>
        <v>-4.46128708100361</v>
      </c>
      <c r="G6" s="13">
        <f t="shared" si="0"/>
        <v>-0.301385010011238</v>
      </c>
      <c r="H6" s="13">
        <f t="shared" si="0"/>
        <v>0</v>
      </c>
      <c r="I6" s="13">
        <f t="shared" si="0"/>
        <v>-1.72923100745049</v>
      </c>
      <c r="J6" s="13">
        <f t="shared" si="0"/>
        <v>-1.36327418153543</v>
      </c>
      <c r="K6" s="13">
        <f t="shared" si="0"/>
        <v>-0.610322207423113</v>
      </c>
      <c r="L6" s="13">
        <f t="shared" si="0"/>
        <v>-0.138546927671252</v>
      </c>
      <c r="M6" s="13">
        <f t="shared" si="0"/>
        <v>-5.88293676477164</v>
      </c>
      <c r="N6" s="13">
        <f t="shared" si="0"/>
        <v>-3.36565623275188</v>
      </c>
      <c r="O6" s="13">
        <f t="shared" si="0"/>
        <v>-2.93479481647367</v>
      </c>
      <c r="P6" s="13">
        <f t="shared" si="0"/>
        <v>0.0574780619383755</v>
      </c>
      <c r="Q6" s="13">
        <f t="shared" si="0"/>
        <v>-2.17479818202443</v>
      </c>
      <c r="R6" s="13">
        <f t="shared" si="0"/>
        <v>0.0840184797992025</v>
      </c>
      <c r="S6" s="13">
        <f t="shared" si="0"/>
        <v>-1.67359469113709</v>
      </c>
      <c r="T6" s="13">
        <f t="shared" si="0"/>
        <v>-0.131987984268001</v>
      </c>
      <c r="U6" s="13">
        <f t="shared" si="0"/>
        <v>-0.798491737654435</v>
      </c>
      <c r="V6" s="13">
        <f t="shared" si="0"/>
        <v>-0.2518953224229</v>
      </c>
      <c r="W6" s="13">
        <f t="shared" si="0"/>
        <v>-2.24856952581007</v>
      </c>
      <c r="X6" s="13">
        <f t="shared" si="0"/>
        <v>0.318638303123617</v>
      </c>
      <c r="Y6" s="13">
        <f t="shared" si="0"/>
        <v>-0.175067593755847</v>
      </c>
      <c r="Z6" s="13">
        <f t="shared" si="0"/>
        <v>-0.786070875833785</v>
      </c>
      <c r="AA6" s="13">
        <f t="shared" si="0"/>
        <v>0.0466510433991822</v>
      </c>
      <c r="AB6" s="13">
        <f t="shared" si="0"/>
        <v>0.699933825212104</v>
      </c>
      <c r="AC6" s="13">
        <f t="shared" si="0"/>
        <v>0.536679748874429</v>
      </c>
      <c r="AD6" s="13">
        <f t="shared" si="0"/>
        <v>0.360956361418568</v>
      </c>
      <c r="AE6" s="13">
        <f t="shared" si="0"/>
        <v>-0.53914328209239</v>
      </c>
      <c r="AF6" s="13">
        <f t="shared" si="0"/>
        <v>0.799465337204129</v>
      </c>
      <c r="AG6" s="13">
        <f t="shared" si="0"/>
        <v>-0.0547497161212198</v>
      </c>
      <c r="AH6" s="13">
        <f t="shared" si="0"/>
        <v>-0.262293218794548</v>
      </c>
      <c r="AI6" s="13">
        <f t="shared" si="0"/>
        <v>-0.216137110290919</v>
      </c>
    </row>
    <row r="7" spans="1:35">
      <c r="A7" s="15" t="s">
        <v>33</v>
      </c>
      <c r="B7" s="2">
        <v>4.27315250749414</v>
      </c>
      <c r="C7" s="15"/>
      <c r="D7" s="14" t="s">
        <v>4</v>
      </c>
      <c r="E7" s="13">
        <f t="shared" si="1"/>
        <v>-3.80244296338572</v>
      </c>
      <c r="F7" s="13">
        <f t="shared" si="0"/>
        <v>-2.73205607355312</v>
      </c>
      <c r="G7" s="13">
        <f t="shared" si="0"/>
        <v>1.42784599743925</v>
      </c>
      <c r="H7" s="13">
        <f t="shared" si="0"/>
        <v>1.72923100745049</v>
      </c>
      <c r="I7" s="13">
        <f t="shared" si="0"/>
        <v>0</v>
      </c>
      <c r="J7" s="13">
        <f t="shared" si="0"/>
        <v>0.365956825915065</v>
      </c>
      <c r="K7" s="13">
        <f t="shared" si="0"/>
        <v>1.11890880002738</v>
      </c>
      <c r="L7" s="13">
        <f t="shared" si="0"/>
        <v>1.59068407977924</v>
      </c>
      <c r="M7" s="13">
        <f t="shared" si="0"/>
        <v>-4.15370575732115</v>
      </c>
      <c r="N7" s="13">
        <f t="shared" si="0"/>
        <v>-1.63642522530138</v>
      </c>
      <c r="O7" s="13">
        <f t="shared" si="0"/>
        <v>-1.20556380902318</v>
      </c>
      <c r="P7" s="13">
        <f t="shared" si="0"/>
        <v>1.78670906938887</v>
      </c>
      <c r="Q7" s="13">
        <f t="shared" si="0"/>
        <v>-0.445567174573937</v>
      </c>
      <c r="R7" s="13">
        <f t="shared" si="0"/>
        <v>1.81324948724969</v>
      </c>
      <c r="S7" s="13">
        <f t="shared" si="0"/>
        <v>0.0556363163133975</v>
      </c>
      <c r="T7" s="13">
        <f t="shared" si="0"/>
        <v>1.59724302318249</v>
      </c>
      <c r="U7" s="13">
        <f t="shared" si="0"/>
        <v>0.930739269796057</v>
      </c>
      <c r="V7" s="13">
        <f t="shared" si="0"/>
        <v>1.47733568502759</v>
      </c>
      <c r="W7" s="13">
        <f t="shared" si="0"/>
        <v>-0.519338518359578</v>
      </c>
      <c r="X7" s="13">
        <f t="shared" si="0"/>
        <v>2.04786931057411</v>
      </c>
      <c r="Y7" s="13">
        <f t="shared" si="0"/>
        <v>1.55416341369464</v>
      </c>
      <c r="Z7" s="13">
        <f t="shared" si="0"/>
        <v>0.943160131616707</v>
      </c>
      <c r="AA7" s="13">
        <f t="shared" si="0"/>
        <v>1.77588205084967</v>
      </c>
      <c r="AB7" s="13">
        <f t="shared" si="0"/>
        <v>2.4291648326626</v>
      </c>
      <c r="AC7" s="13">
        <f t="shared" si="0"/>
        <v>2.26591075632492</v>
      </c>
      <c r="AD7" s="13">
        <f t="shared" si="0"/>
        <v>2.09018736886906</v>
      </c>
      <c r="AE7" s="13">
        <f t="shared" si="0"/>
        <v>1.1900877253581</v>
      </c>
      <c r="AF7" s="13">
        <f t="shared" si="0"/>
        <v>2.52869634465462</v>
      </c>
      <c r="AG7" s="13">
        <f t="shared" si="0"/>
        <v>1.67448129132927</v>
      </c>
      <c r="AH7" s="13">
        <f t="shared" si="0"/>
        <v>1.46693778865594</v>
      </c>
      <c r="AI7" s="13">
        <f t="shared" si="0"/>
        <v>1.51309389715957</v>
      </c>
    </row>
    <row r="8" spans="1:35">
      <c r="A8" s="15" t="s">
        <v>33</v>
      </c>
      <c r="B8" s="2">
        <v>3.90719568157907</v>
      </c>
      <c r="C8" s="15"/>
      <c r="D8" s="14" t="s">
        <v>5</v>
      </c>
      <c r="E8" s="13">
        <f t="shared" si="1"/>
        <v>-4.16839978930079</v>
      </c>
      <c r="F8" s="13">
        <f t="shared" si="0"/>
        <v>-3.09801289946818</v>
      </c>
      <c r="G8" s="13">
        <f t="shared" si="0"/>
        <v>1.06188917152419</v>
      </c>
      <c r="H8" s="13">
        <f t="shared" si="0"/>
        <v>1.36327418153543</v>
      </c>
      <c r="I8" s="13">
        <f t="shared" si="0"/>
        <v>-0.365956825915065</v>
      </c>
      <c r="J8" s="13">
        <f t="shared" si="0"/>
        <v>0</v>
      </c>
      <c r="K8" s="13">
        <f t="shared" si="0"/>
        <v>0.752951974112313</v>
      </c>
      <c r="L8" s="13">
        <f t="shared" si="0"/>
        <v>1.22472725386417</v>
      </c>
      <c r="M8" s="13">
        <f t="shared" si="0"/>
        <v>-4.51966258323622</v>
      </c>
      <c r="N8" s="13">
        <f t="shared" si="0"/>
        <v>-2.00238205121645</v>
      </c>
      <c r="O8" s="13">
        <f t="shared" si="0"/>
        <v>-1.57152063493825</v>
      </c>
      <c r="P8" s="13">
        <f t="shared" si="0"/>
        <v>1.4207522434738</v>
      </c>
      <c r="Q8" s="13">
        <f t="shared" si="0"/>
        <v>-0.811524000489003</v>
      </c>
      <c r="R8" s="13">
        <f t="shared" si="0"/>
        <v>1.44729266133463</v>
      </c>
      <c r="S8" s="13">
        <f t="shared" si="0"/>
        <v>-0.310320509601668</v>
      </c>
      <c r="T8" s="13">
        <f t="shared" si="0"/>
        <v>1.23128619726743</v>
      </c>
      <c r="U8" s="13">
        <f t="shared" si="0"/>
        <v>0.564782443880991</v>
      </c>
      <c r="V8" s="13">
        <f t="shared" si="0"/>
        <v>1.11137885911253</v>
      </c>
      <c r="W8" s="13">
        <f t="shared" si="0"/>
        <v>-0.885295344274643</v>
      </c>
      <c r="X8" s="13">
        <f t="shared" si="0"/>
        <v>1.68191248465904</v>
      </c>
      <c r="Y8" s="13">
        <f t="shared" si="0"/>
        <v>1.18820658777958</v>
      </c>
      <c r="Z8" s="13">
        <f t="shared" si="0"/>
        <v>0.577203305701641</v>
      </c>
      <c r="AA8" s="13">
        <f t="shared" si="0"/>
        <v>1.40992522493461</v>
      </c>
      <c r="AB8" s="13">
        <f t="shared" si="0"/>
        <v>2.06320800674753</v>
      </c>
      <c r="AC8" s="13">
        <f t="shared" si="0"/>
        <v>1.89995393040985</v>
      </c>
      <c r="AD8" s="13">
        <f t="shared" si="0"/>
        <v>1.72423054295399</v>
      </c>
      <c r="AE8" s="13">
        <f t="shared" si="0"/>
        <v>0.824130899443036</v>
      </c>
      <c r="AF8" s="13">
        <f t="shared" si="0"/>
        <v>2.16273951873956</v>
      </c>
      <c r="AG8" s="13">
        <f t="shared" si="0"/>
        <v>1.30852446541421</v>
      </c>
      <c r="AH8" s="13">
        <f t="shared" si="0"/>
        <v>1.10098096274088</v>
      </c>
      <c r="AI8" s="13">
        <f t="shared" si="0"/>
        <v>1.14713707124451</v>
      </c>
    </row>
    <row r="9" spans="1:35">
      <c r="A9" s="15" t="s">
        <v>33</v>
      </c>
      <c r="B9" s="2">
        <v>3.15424370746676</v>
      </c>
      <c r="C9" s="15"/>
      <c r="D9" s="14" t="s">
        <v>6</v>
      </c>
      <c r="E9" s="13">
        <f t="shared" si="1"/>
        <v>-4.9213517634131</v>
      </c>
      <c r="F9" s="13">
        <f t="shared" si="0"/>
        <v>-3.85096487358049</v>
      </c>
      <c r="G9" s="13">
        <f t="shared" si="0"/>
        <v>0.308937197411876</v>
      </c>
      <c r="H9" s="13">
        <f t="shared" si="0"/>
        <v>0.610322207423113</v>
      </c>
      <c r="I9" s="13">
        <f t="shared" si="0"/>
        <v>-1.11890880002738</v>
      </c>
      <c r="J9" s="13">
        <f t="shared" si="0"/>
        <v>-0.752951974112313</v>
      </c>
      <c r="K9" s="13">
        <f t="shared" si="0"/>
        <v>0</v>
      </c>
      <c r="L9" s="13">
        <f t="shared" si="0"/>
        <v>0.471775279751862</v>
      </c>
      <c r="M9" s="13">
        <f t="shared" si="0"/>
        <v>-5.27261455734853</v>
      </c>
      <c r="N9" s="13">
        <f t="shared" si="0"/>
        <v>-2.75533402532876</v>
      </c>
      <c r="O9" s="13">
        <f t="shared" si="0"/>
        <v>-2.32447260905056</v>
      </c>
      <c r="P9" s="13">
        <f t="shared" si="0"/>
        <v>0.667800269361489</v>
      </c>
      <c r="Q9" s="13">
        <f t="shared" si="0"/>
        <v>-1.56447597460132</v>
      </c>
      <c r="R9" s="13">
        <f t="shared" si="0"/>
        <v>0.694340687222316</v>
      </c>
      <c r="S9" s="13">
        <f t="shared" si="0"/>
        <v>-1.06327248371398</v>
      </c>
      <c r="T9" s="13">
        <f t="shared" si="0"/>
        <v>0.478334223155113</v>
      </c>
      <c r="U9" s="13">
        <f t="shared" si="0"/>
        <v>-0.188169530231322</v>
      </c>
      <c r="V9" s="13">
        <f t="shared" si="0"/>
        <v>0.358426885000214</v>
      </c>
      <c r="W9" s="13">
        <f t="shared" si="0"/>
        <v>-1.63824731838696</v>
      </c>
      <c r="X9" s="13">
        <f t="shared" si="0"/>
        <v>0.92896051054673</v>
      </c>
      <c r="Y9" s="13">
        <f t="shared" si="0"/>
        <v>0.435254613667266</v>
      </c>
      <c r="Z9" s="13">
        <f t="shared" si="0"/>
        <v>-0.175748668410672</v>
      </c>
      <c r="AA9" s="13">
        <f t="shared" si="0"/>
        <v>0.656973250822296</v>
      </c>
      <c r="AB9" s="13">
        <f t="shared" si="0"/>
        <v>1.31025603263522</v>
      </c>
      <c r="AC9" s="13">
        <f t="shared" si="0"/>
        <v>1.14700195629754</v>
      </c>
      <c r="AD9" s="13">
        <f t="shared" si="0"/>
        <v>0.971278568841682</v>
      </c>
      <c r="AE9" s="13">
        <f t="shared" si="0"/>
        <v>0.0711789253307229</v>
      </c>
      <c r="AF9" s="13">
        <f t="shared" si="0"/>
        <v>1.40978754462724</v>
      </c>
      <c r="AG9" s="13">
        <f t="shared" si="0"/>
        <v>0.555572491301894</v>
      </c>
      <c r="AH9" s="13">
        <f t="shared" si="0"/>
        <v>0.348028988628565</v>
      </c>
      <c r="AI9" s="13">
        <f t="shared" si="0"/>
        <v>0.394185097132194</v>
      </c>
    </row>
    <row r="10" spans="1:35">
      <c r="A10" s="15" t="s">
        <v>33</v>
      </c>
      <c r="B10" s="2">
        <v>2.6824684277149</v>
      </c>
      <c r="C10" s="15"/>
      <c r="D10" s="14" t="s">
        <v>7</v>
      </c>
      <c r="E10" s="13">
        <f t="shared" si="1"/>
        <v>-5.39312704316496</v>
      </c>
      <c r="F10" s="13">
        <f t="shared" si="0"/>
        <v>-4.32274015333236</v>
      </c>
      <c r="G10" s="13">
        <f t="shared" si="0"/>
        <v>-0.162838082339986</v>
      </c>
      <c r="H10" s="13">
        <f t="shared" si="0"/>
        <v>0.138546927671252</v>
      </c>
      <c r="I10" s="13">
        <f t="shared" si="0"/>
        <v>-1.59068407977924</v>
      </c>
      <c r="J10" s="13">
        <f t="shared" si="0"/>
        <v>-1.22472725386417</v>
      </c>
      <c r="K10" s="13">
        <f t="shared" si="0"/>
        <v>-0.471775279751862</v>
      </c>
      <c r="L10" s="13">
        <f t="shared" si="0"/>
        <v>0</v>
      </c>
      <c r="M10" s="13">
        <f t="shared" si="0"/>
        <v>-5.74438983710039</v>
      </c>
      <c r="N10" s="13">
        <f t="shared" si="0"/>
        <v>-3.22710930508062</v>
      </c>
      <c r="O10" s="13">
        <f t="shared" si="0"/>
        <v>-2.79624788880242</v>
      </c>
      <c r="P10" s="13">
        <f t="shared" si="0"/>
        <v>0.196024989609627</v>
      </c>
      <c r="Q10" s="13">
        <f t="shared" si="0"/>
        <v>-2.03625125435318</v>
      </c>
      <c r="R10" s="13">
        <f t="shared" si="0"/>
        <v>0.222565407470454</v>
      </c>
      <c r="S10" s="13">
        <f t="shared" si="0"/>
        <v>-1.53504776346584</v>
      </c>
      <c r="T10" s="13">
        <f t="shared" si="0"/>
        <v>0.00655894340325114</v>
      </c>
      <c r="U10" s="13">
        <f t="shared" si="0"/>
        <v>-0.659944809983183</v>
      </c>
      <c r="V10" s="13">
        <f t="shared" si="0"/>
        <v>-0.113348394751648</v>
      </c>
      <c r="W10" s="13">
        <f t="shared" si="0"/>
        <v>-2.11002259813882</v>
      </c>
      <c r="X10" s="13">
        <f t="shared" si="0"/>
        <v>0.457185230794869</v>
      </c>
      <c r="Y10" s="13">
        <f t="shared" si="0"/>
        <v>-0.0365206660845954</v>
      </c>
      <c r="Z10" s="13">
        <f t="shared" si="0"/>
        <v>-0.647523948162533</v>
      </c>
      <c r="AA10" s="13">
        <f t="shared" si="0"/>
        <v>0.185197971070434</v>
      </c>
      <c r="AB10" s="13">
        <f t="shared" si="0"/>
        <v>0.838480752883356</v>
      </c>
      <c r="AC10" s="13">
        <f t="shared" si="0"/>
        <v>0.67522667654568</v>
      </c>
      <c r="AD10" s="13">
        <f t="shared" si="0"/>
        <v>0.49950328908982</v>
      </c>
      <c r="AE10" s="13">
        <f t="shared" si="0"/>
        <v>-0.400596354421139</v>
      </c>
      <c r="AF10" s="13">
        <f t="shared" si="0"/>
        <v>0.938012264875381</v>
      </c>
      <c r="AG10" s="13">
        <f t="shared" si="0"/>
        <v>0.0837972115500318</v>
      </c>
      <c r="AH10" s="13">
        <f t="shared" si="0"/>
        <v>-0.123746291123297</v>
      </c>
      <c r="AI10" s="13">
        <f t="shared" si="0"/>
        <v>-0.0775901826196677</v>
      </c>
    </row>
    <row r="11" spans="1:35">
      <c r="A11" s="15" t="s">
        <v>33</v>
      </c>
      <c r="B11" s="2">
        <v>8.42685826481529</v>
      </c>
      <c r="C11" s="15"/>
      <c r="D11" s="14" t="s">
        <v>8</v>
      </c>
      <c r="E11" s="13">
        <f t="shared" si="1"/>
        <v>0.35126279393543</v>
      </c>
      <c r="F11" s="13">
        <f t="shared" si="0"/>
        <v>1.42164968376804</v>
      </c>
      <c r="G11" s="13">
        <f t="shared" si="0"/>
        <v>5.58155175476041</v>
      </c>
      <c r="H11" s="13">
        <f t="shared" si="0"/>
        <v>5.88293676477164</v>
      </c>
      <c r="I11" s="13">
        <f t="shared" si="0"/>
        <v>4.15370575732115</v>
      </c>
      <c r="J11" s="13">
        <f t="shared" si="0"/>
        <v>4.51966258323622</v>
      </c>
      <c r="K11" s="13">
        <f t="shared" si="0"/>
        <v>5.27261455734853</v>
      </c>
      <c r="L11" s="13">
        <f t="shared" si="0"/>
        <v>5.74438983710039</v>
      </c>
      <c r="M11" s="13">
        <f t="shared" si="0"/>
        <v>0</v>
      </c>
      <c r="N11" s="13">
        <f t="shared" si="0"/>
        <v>2.51728053201977</v>
      </c>
      <c r="O11" s="13">
        <f t="shared" si="0"/>
        <v>2.94814194829797</v>
      </c>
      <c r="P11" s="13">
        <f t="shared" si="0"/>
        <v>5.94041482671002</v>
      </c>
      <c r="Q11" s="13">
        <f t="shared" si="0"/>
        <v>3.70813858274722</v>
      </c>
      <c r="R11" s="13">
        <f t="shared" si="0"/>
        <v>5.96695524457085</v>
      </c>
      <c r="S11" s="13">
        <f t="shared" si="0"/>
        <v>4.20934207363455</v>
      </c>
      <c r="T11" s="13">
        <f t="shared" si="0"/>
        <v>5.75094878050364</v>
      </c>
      <c r="U11" s="13">
        <f t="shared" si="0"/>
        <v>5.08444502711721</v>
      </c>
      <c r="V11" s="13">
        <f t="shared" si="0"/>
        <v>5.63104144234874</v>
      </c>
      <c r="W11" s="13">
        <f t="shared" si="0"/>
        <v>3.63436723896157</v>
      </c>
      <c r="X11" s="13">
        <f t="shared" si="0"/>
        <v>6.20157506789526</v>
      </c>
      <c r="Y11" s="13">
        <f t="shared" si="0"/>
        <v>5.7078691710158</v>
      </c>
      <c r="Z11" s="13">
        <f t="shared" si="0"/>
        <v>5.09686588893786</v>
      </c>
      <c r="AA11" s="13">
        <f t="shared" si="0"/>
        <v>5.92958780817083</v>
      </c>
      <c r="AB11" s="13">
        <f t="shared" si="0"/>
        <v>6.58287058998375</v>
      </c>
      <c r="AC11" s="13">
        <f t="shared" si="0"/>
        <v>6.41961651364607</v>
      </c>
      <c r="AD11" s="13">
        <f t="shared" si="0"/>
        <v>6.24389312619021</v>
      </c>
      <c r="AE11" s="13">
        <f t="shared" si="0"/>
        <v>5.34379348267925</v>
      </c>
      <c r="AF11" s="13">
        <f t="shared" si="0"/>
        <v>6.68240210197577</v>
      </c>
      <c r="AG11" s="13">
        <f t="shared" si="0"/>
        <v>5.82818704865042</v>
      </c>
      <c r="AH11" s="13">
        <f t="shared" si="0"/>
        <v>5.6206435459771</v>
      </c>
      <c r="AI11" s="13">
        <f t="shared" si="0"/>
        <v>5.66679965448072</v>
      </c>
    </row>
    <row r="12" spans="1:35">
      <c r="A12" s="15" t="s">
        <v>33</v>
      </c>
      <c r="B12" s="2">
        <v>5.90957773279552</v>
      </c>
      <c r="C12" s="15"/>
      <c r="D12" s="14" t="s">
        <v>9</v>
      </c>
      <c r="E12" s="13">
        <f t="shared" si="1"/>
        <v>-2.16601773808434</v>
      </c>
      <c r="F12" s="13">
        <f t="shared" si="1"/>
        <v>-1.09563084825173</v>
      </c>
      <c r="G12" s="13">
        <f t="shared" si="1"/>
        <v>3.06427122274064</v>
      </c>
      <c r="H12" s="13">
        <f t="shared" si="1"/>
        <v>3.36565623275188</v>
      </c>
      <c r="I12" s="13">
        <f t="shared" si="1"/>
        <v>1.63642522530138</v>
      </c>
      <c r="J12" s="13">
        <f t="shared" si="1"/>
        <v>2.00238205121645</v>
      </c>
      <c r="K12" s="13">
        <f t="shared" si="1"/>
        <v>2.75533402532876</v>
      </c>
      <c r="L12" s="13">
        <f t="shared" si="1"/>
        <v>3.22710930508062</v>
      </c>
      <c r="M12" s="13">
        <f t="shared" si="1"/>
        <v>-2.51728053201977</v>
      </c>
      <c r="N12" s="13">
        <f t="shared" si="1"/>
        <v>0</v>
      </c>
      <c r="O12" s="13">
        <f t="shared" si="1"/>
        <v>0.430861416278201</v>
      </c>
      <c r="P12" s="13">
        <f t="shared" si="1"/>
        <v>3.42313429469025</v>
      </c>
      <c r="Q12" s="13">
        <f t="shared" si="1"/>
        <v>1.19085805072745</v>
      </c>
      <c r="R12" s="13">
        <f t="shared" si="1"/>
        <v>3.44967471255108</v>
      </c>
      <c r="S12" s="13">
        <f t="shared" si="1"/>
        <v>1.69206154161478</v>
      </c>
      <c r="T12" s="13">
        <f t="shared" si="1"/>
        <v>3.23366824848387</v>
      </c>
      <c r="U12" s="13">
        <f t="shared" ref="U12:AI27" si="2">$B12-U$2</f>
        <v>2.56716449509744</v>
      </c>
      <c r="V12" s="13">
        <f t="shared" si="2"/>
        <v>3.11376091032898</v>
      </c>
      <c r="W12" s="13">
        <f t="shared" si="2"/>
        <v>1.11708670694181</v>
      </c>
      <c r="X12" s="13">
        <f t="shared" si="2"/>
        <v>3.68429453587549</v>
      </c>
      <c r="Y12" s="13">
        <f t="shared" si="2"/>
        <v>3.19058863899603</v>
      </c>
      <c r="Z12" s="13">
        <f t="shared" si="2"/>
        <v>2.57958535691809</v>
      </c>
      <c r="AA12" s="13">
        <f t="shared" si="2"/>
        <v>3.41230727615106</v>
      </c>
      <c r="AB12" s="13">
        <f t="shared" si="2"/>
        <v>4.06559005796398</v>
      </c>
      <c r="AC12" s="13">
        <f t="shared" si="2"/>
        <v>3.9023359816263</v>
      </c>
      <c r="AD12" s="13">
        <f t="shared" si="2"/>
        <v>3.72661259417044</v>
      </c>
      <c r="AE12" s="13">
        <f t="shared" si="2"/>
        <v>2.82651295065948</v>
      </c>
      <c r="AF12" s="13">
        <f t="shared" si="2"/>
        <v>4.16512156995601</v>
      </c>
      <c r="AG12" s="13">
        <f t="shared" si="2"/>
        <v>3.31090651663066</v>
      </c>
      <c r="AH12" s="13">
        <f t="shared" si="2"/>
        <v>3.10336301395733</v>
      </c>
      <c r="AI12" s="13">
        <f t="shared" si="2"/>
        <v>3.14951912246096</v>
      </c>
    </row>
    <row r="13" spans="1:35">
      <c r="A13" s="15" t="s">
        <v>33</v>
      </c>
      <c r="B13" s="2">
        <v>5.47871631651732</v>
      </c>
      <c r="C13" s="15"/>
      <c r="D13" s="14" t="s">
        <v>10</v>
      </c>
      <c r="E13" s="13">
        <f t="shared" si="1"/>
        <v>-2.59687915436254</v>
      </c>
      <c r="F13" s="13">
        <f t="shared" si="1"/>
        <v>-1.52649226452993</v>
      </c>
      <c r="G13" s="13">
        <f t="shared" si="1"/>
        <v>2.63340980646244</v>
      </c>
      <c r="H13" s="13">
        <f t="shared" si="1"/>
        <v>2.93479481647367</v>
      </c>
      <c r="I13" s="13">
        <f t="shared" si="1"/>
        <v>1.20556380902318</v>
      </c>
      <c r="J13" s="13">
        <f t="shared" si="1"/>
        <v>1.57152063493825</v>
      </c>
      <c r="K13" s="13">
        <f t="shared" si="1"/>
        <v>2.32447260905056</v>
      </c>
      <c r="L13" s="13">
        <f t="shared" si="1"/>
        <v>2.79624788880242</v>
      </c>
      <c r="M13" s="13">
        <f t="shared" si="1"/>
        <v>-2.94814194829797</v>
      </c>
      <c r="N13" s="13">
        <f t="shared" si="1"/>
        <v>-0.430861416278201</v>
      </c>
      <c r="O13" s="13">
        <f t="shared" si="1"/>
        <v>0</v>
      </c>
      <c r="P13" s="13">
        <f t="shared" si="1"/>
        <v>2.99227287841205</v>
      </c>
      <c r="Q13" s="13">
        <f t="shared" si="1"/>
        <v>0.759996634449245</v>
      </c>
      <c r="R13" s="13">
        <f t="shared" si="1"/>
        <v>3.01881329627288</v>
      </c>
      <c r="S13" s="13">
        <f t="shared" si="1"/>
        <v>1.26120012533658</v>
      </c>
      <c r="T13" s="13">
        <f t="shared" si="1"/>
        <v>2.80280683220567</v>
      </c>
      <c r="U13" s="13">
        <f t="shared" si="2"/>
        <v>2.13630307881924</v>
      </c>
      <c r="V13" s="13">
        <f t="shared" si="2"/>
        <v>2.68289949405077</v>
      </c>
      <c r="W13" s="13">
        <f t="shared" si="2"/>
        <v>0.686225290663605</v>
      </c>
      <c r="X13" s="13">
        <f t="shared" si="2"/>
        <v>3.25343311959729</v>
      </c>
      <c r="Y13" s="13">
        <f t="shared" si="2"/>
        <v>2.75972722271783</v>
      </c>
      <c r="Z13" s="13">
        <f t="shared" si="2"/>
        <v>2.14872394063989</v>
      </c>
      <c r="AA13" s="13">
        <f t="shared" si="2"/>
        <v>2.98144585987286</v>
      </c>
      <c r="AB13" s="13">
        <f t="shared" si="2"/>
        <v>3.63472864168578</v>
      </c>
      <c r="AC13" s="13">
        <f t="shared" si="2"/>
        <v>3.4714745653481</v>
      </c>
      <c r="AD13" s="13">
        <f t="shared" si="2"/>
        <v>3.29575117789224</v>
      </c>
      <c r="AE13" s="13">
        <f t="shared" si="2"/>
        <v>2.39565153438128</v>
      </c>
      <c r="AF13" s="13">
        <f t="shared" si="2"/>
        <v>3.7342601536778</v>
      </c>
      <c r="AG13" s="13">
        <f t="shared" si="2"/>
        <v>2.88004510035245</v>
      </c>
      <c r="AH13" s="13">
        <f t="shared" si="2"/>
        <v>2.67250159767913</v>
      </c>
      <c r="AI13" s="13">
        <f t="shared" si="2"/>
        <v>2.71865770618275</v>
      </c>
    </row>
    <row r="14" spans="1:35">
      <c r="A14" s="15" t="s">
        <v>33</v>
      </c>
      <c r="B14" s="2">
        <v>2.48644343810527</v>
      </c>
      <c r="C14" s="15"/>
      <c r="D14" s="14" t="s">
        <v>11</v>
      </c>
      <c r="E14" s="13">
        <f t="shared" si="1"/>
        <v>-5.58915203277459</v>
      </c>
      <c r="F14" s="13">
        <f t="shared" si="1"/>
        <v>-4.51876514294198</v>
      </c>
      <c r="G14" s="13">
        <f t="shared" si="1"/>
        <v>-0.358863071949613</v>
      </c>
      <c r="H14" s="13">
        <f t="shared" si="1"/>
        <v>-0.0574780619383755</v>
      </c>
      <c r="I14" s="13">
        <f t="shared" si="1"/>
        <v>-1.78670906938887</v>
      </c>
      <c r="J14" s="13">
        <f t="shared" si="1"/>
        <v>-1.4207522434738</v>
      </c>
      <c r="K14" s="13">
        <f t="shared" si="1"/>
        <v>-0.667800269361489</v>
      </c>
      <c r="L14" s="13">
        <f t="shared" si="1"/>
        <v>-0.196024989609627</v>
      </c>
      <c r="M14" s="13">
        <f t="shared" si="1"/>
        <v>-5.94041482671002</v>
      </c>
      <c r="N14" s="13">
        <f t="shared" si="1"/>
        <v>-3.42313429469025</v>
      </c>
      <c r="O14" s="13">
        <f t="shared" si="1"/>
        <v>-2.99227287841205</v>
      </c>
      <c r="P14" s="13">
        <f t="shared" si="1"/>
        <v>0</v>
      </c>
      <c r="Q14" s="13">
        <f t="shared" si="1"/>
        <v>-2.2322762439628</v>
      </c>
      <c r="R14" s="13">
        <f t="shared" si="1"/>
        <v>0.0265404178608271</v>
      </c>
      <c r="S14" s="13">
        <f t="shared" si="1"/>
        <v>-1.73107275307547</v>
      </c>
      <c r="T14" s="13">
        <f t="shared" si="1"/>
        <v>-0.189466046206376</v>
      </c>
      <c r="U14" s="13">
        <f t="shared" si="2"/>
        <v>-0.855969799592811</v>
      </c>
      <c r="V14" s="13">
        <f t="shared" si="2"/>
        <v>-0.309373384361275</v>
      </c>
      <c r="W14" s="13">
        <f t="shared" si="2"/>
        <v>-2.30604758774844</v>
      </c>
      <c r="X14" s="13">
        <f t="shared" si="2"/>
        <v>0.261160241185241</v>
      </c>
      <c r="Y14" s="13">
        <f t="shared" si="2"/>
        <v>-0.232545655694222</v>
      </c>
      <c r="Z14" s="13">
        <f t="shared" si="2"/>
        <v>-0.843548937772161</v>
      </c>
      <c r="AA14" s="13">
        <f t="shared" si="2"/>
        <v>-0.0108270185391932</v>
      </c>
      <c r="AB14" s="13">
        <f t="shared" si="2"/>
        <v>0.642455763273728</v>
      </c>
      <c r="AC14" s="13">
        <f t="shared" si="2"/>
        <v>0.479201686936053</v>
      </c>
      <c r="AD14" s="13">
        <f t="shared" si="2"/>
        <v>0.303478299480193</v>
      </c>
      <c r="AE14" s="13">
        <f t="shared" si="2"/>
        <v>-0.596621344030766</v>
      </c>
      <c r="AF14" s="13">
        <f t="shared" si="2"/>
        <v>0.741987275265754</v>
      </c>
      <c r="AG14" s="13">
        <f t="shared" si="2"/>
        <v>-0.112227778059595</v>
      </c>
      <c r="AH14" s="13">
        <f t="shared" si="2"/>
        <v>-0.319771280732924</v>
      </c>
      <c r="AI14" s="13">
        <f t="shared" si="2"/>
        <v>-0.273615172229295</v>
      </c>
    </row>
    <row r="15" spans="1:35">
      <c r="A15" s="15" t="s">
        <v>33</v>
      </c>
      <c r="B15" s="2">
        <v>4.71871968206808</v>
      </c>
      <c r="C15" s="15"/>
      <c r="D15" s="14" t="s">
        <v>12</v>
      </c>
      <c r="E15" s="13">
        <f t="shared" si="1"/>
        <v>-3.35687578881179</v>
      </c>
      <c r="F15" s="13">
        <f t="shared" si="1"/>
        <v>-2.28648889897918</v>
      </c>
      <c r="G15" s="13">
        <f t="shared" si="1"/>
        <v>1.87341317201319</v>
      </c>
      <c r="H15" s="13">
        <f t="shared" si="1"/>
        <v>2.17479818202443</v>
      </c>
      <c r="I15" s="13">
        <f t="shared" si="1"/>
        <v>0.445567174573937</v>
      </c>
      <c r="J15" s="13">
        <f t="shared" si="1"/>
        <v>0.811524000489003</v>
      </c>
      <c r="K15" s="13">
        <f t="shared" si="1"/>
        <v>1.56447597460132</v>
      </c>
      <c r="L15" s="13">
        <f t="shared" si="1"/>
        <v>2.03625125435318</v>
      </c>
      <c r="M15" s="13">
        <f t="shared" si="1"/>
        <v>-3.70813858274722</v>
      </c>
      <c r="N15" s="13">
        <f t="shared" si="1"/>
        <v>-1.19085805072745</v>
      </c>
      <c r="O15" s="13">
        <f t="shared" si="1"/>
        <v>-0.759996634449245</v>
      </c>
      <c r="P15" s="13">
        <f t="shared" si="1"/>
        <v>2.2322762439628</v>
      </c>
      <c r="Q15" s="13">
        <f t="shared" si="1"/>
        <v>0</v>
      </c>
      <c r="R15" s="13">
        <f t="shared" si="1"/>
        <v>2.25881666182363</v>
      </c>
      <c r="S15" s="13">
        <f t="shared" si="1"/>
        <v>0.501203490887335</v>
      </c>
      <c r="T15" s="13">
        <f t="shared" si="1"/>
        <v>2.04281019775643</v>
      </c>
      <c r="U15" s="13">
        <f t="shared" si="2"/>
        <v>1.37630644436999</v>
      </c>
      <c r="V15" s="13">
        <f t="shared" si="2"/>
        <v>1.92290285960153</v>
      </c>
      <c r="W15" s="13">
        <f t="shared" si="2"/>
        <v>-0.0737713437856407</v>
      </c>
      <c r="X15" s="13">
        <f t="shared" si="2"/>
        <v>2.49343648514805</v>
      </c>
      <c r="Y15" s="13">
        <f t="shared" si="2"/>
        <v>1.99973058826858</v>
      </c>
      <c r="Z15" s="13">
        <f t="shared" si="2"/>
        <v>1.38872730619064</v>
      </c>
      <c r="AA15" s="13">
        <f t="shared" si="2"/>
        <v>2.22144922542361</v>
      </c>
      <c r="AB15" s="13">
        <f t="shared" si="2"/>
        <v>2.87473200723653</v>
      </c>
      <c r="AC15" s="13">
        <f t="shared" si="2"/>
        <v>2.71147793089886</v>
      </c>
      <c r="AD15" s="13">
        <f t="shared" si="2"/>
        <v>2.535754543443</v>
      </c>
      <c r="AE15" s="13">
        <f t="shared" si="2"/>
        <v>1.63565489993204</v>
      </c>
      <c r="AF15" s="13">
        <f t="shared" si="2"/>
        <v>2.97426351922856</v>
      </c>
      <c r="AG15" s="13">
        <f t="shared" si="2"/>
        <v>2.12004846590321</v>
      </c>
      <c r="AH15" s="13">
        <f t="shared" si="2"/>
        <v>1.91250496322988</v>
      </c>
      <c r="AI15" s="13">
        <f t="shared" si="2"/>
        <v>1.95866107173351</v>
      </c>
    </row>
    <row r="16" spans="1:35">
      <c r="A16" s="15" t="s">
        <v>33</v>
      </c>
      <c r="B16" s="2">
        <v>2.45990302024444</v>
      </c>
      <c r="C16" s="15"/>
      <c r="D16" s="14" t="s">
        <v>13</v>
      </c>
      <c r="E16" s="13">
        <f t="shared" si="1"/>
        <v>-5.61569245063542</v>
      </c>
      <c r="F16" s="13">
        <f t="shared" si="1"/>
        <v>-4.54530556080281</v>
      </c>
      <c r="G16" s="13">
        <f t="shared" si="1"/>
        <v>-0.38540348981044</v>
      </c>
      <c r="H16" s="13">
        <f t="shared" si="1"/>
        <v>-0.0840184797992025</v>
      </c>
      <c r="I16" s="13">
        <f t="shared" si="1"/>
        <v>-1.81324948724969</v>
      </c>
      <c r="J16" s="13">
        <f t="shared" si="1"/>
        <v>-1.44729266133463</v>
      </c>
      <c r="K16" s="13">
        <f t="shared" si="1"/>
        <v>-0.694340687222316</v>
      </c>
      <c r="L16" s="13">
        <f t="shared" si="1"/>
        <v>-0.222565407470454</v>
      </c>
      <c r="M16" s="13">
        <f t="shared" si="1"/>
        <v>-5.96695524457085</v>
      </c>
      <c r="N16" s="13">
        <f t="shared" si="1"/>
        <v>-3.44967471255108</v>
      </c>
      <c r="O16" s="13">
        <f t="shared" si="1"/>
        <v>-3.01881329627288</v>
      </c>
      <c r="P16" s="13">
        <f t="shared" si="1"/>
        <v>-0.0265404178608271</v>
      </c>
      <c r="Q16" s="13">
        <f t="shared" si="1"/>
        <v>-2.25881666182363</v>
      </c>
      <c r="R16" s="13">
        <f t="shared" si="1"/>
        <v>0</v>
      </c>
      <c r="S16" s="13">
        <f t="shared" si="1"/>
        <v>-1.7576131709363</v>
      </c>
      <c r="T16" s="13">
        <f t="shared" si="1"/>
        <v>-0.216006464067203</v>
      </c>
      <c r="U16" s="13">
        <f t="shared" si="2"/>
        <v>-0.882510217453638</v>
      </c>
      <c r="V16" s="13">
        <f t="shared" si="2"/>
        <v>-0.335913802222102</v>
      </c>
      <c r="W16" s="13">
        <f t="shared" si="2"/>
        <v>-2.33258800560927</v>
      </c>
      <c r="X16" s="13">
        <f t="shared" si="2"/>
        <v>0.234619823324414</v>
      </c>
      <c r="Y16" s="13">
        <f t="shared" si="2"/>
        <v>-0.25908607355505</v>
      </c>
      <c r="Z16" s="13">
        <f t="shared" si="2"/>
        <v>-0.870089355632988</v>
      </c>
      <c r="AA16" s="13">
        <f t="shared" si="2"/>
        <v>-0.0373674364000203</v>
      </c>
      <c r="AB16" s="13">
        <f t="shared" si="2"/>
        <v>0.615915345412901</v>
      </c>
      <c r="AC16" s="13">
        <f t="shared" si="2"/>
        <v>0.452661269075226</v>
      </c>
      <c r="AD16" s="13">
        <f t="shared" si="2"/>
        <v>0.276937881619366</v>
      </c>
      <c r="AE16" s="13">
        <f t="shared" si="2"/>
        <v>-0.623161761891593</v>
      </c>
      <c r="AF16" s="13">
        <f t="shared" si="2"/>
        <v>0.715446857404927</v>
      </c>
      <c r="AG16" s="13">
        <f t="shared" si="2"/>
        <v>-0.138768195920422</v>
      </c>
      <c r="AH16" s="13">
        <f t="shared" si="2"/>
        <v>-0.346311698593751</v>
      </c>
      <c r="AI16" s="13">
        <f t="shared" si="2"/>
        <v>-0.300155590090122</v>
      </c>
    </row>
    <row r="17" spans="1:35">
      <c r="A17" s="15" t="s">
        <v>33</v>
      </c>
      <c r="B17" s="2">
        <v>4.21751619118074</v>
      </c>
      <c r="C17" s="15"/>
      <c r="D17" s="14" t="s">
        <v>14</v>
      </c>
      <c r="E17" s="13">
        <f t="shared" si="1"/>
        <v>-3.85807927969912</v>
      </c>
      <c r="F17" s="13">
        <f t="shared" si="1"/>
        <v>-2.78769238986651</v>
      </c>
      <c r="G17" s="13">
        <f t="shared" si="1"/>
        <v>1.37220968112586</v>
      </c>
      <c r="H17" s="13">
        <f t="shared" si="1"/>
        <v>1.67359469113709</v>
      </c>
      <c r="I17" s="13">
        <f t="shared" si="1"/>
        <v>-0.0556363163133975</v>
      </c>
      <c r="J17" s="13">
        <f t="shared" si="1"/>
        <v>0.310320509601668</v>
      </c>
      <c r="K17" s="13">
        <f t="shared" si="1"/>
        <v>1.06327248371398</v>
      </c>
      <c r="L17" s="13">
        <f t="shared" si="1"/>
        <v>1.53504776346584</v>
      </c>
      <c r="M17" s="13">
        <f t="shared" si="1"/>
        <v>-4.20934207363455</v>
      </c>
      <c r="N17" s="13">
        <f t="shared" si="1"/>
        <v>-1.69206154161478</v>
      </c>
      <c r="O17" s="13">
        <f t="shared" si="1"/>
        <v>-1.26120012533658</v>
      </c>
      <c r="P17" s="13">
        <f t="shared" si="1"/>
        <v>1.73107275307547</v>
      </c>
      <c r="Q17" s="13">
        <f t="shared" si="1"/>
        <v>-0.501203490887335</v>
      </c>
      <c r="R17" s="13">
        <f t="shared" si="1"/>
        <v>1.7576131709363</v>
      </c>
      <c r="S17" s="13">
        <f t="shared" si="1"/>
        <v>0</v>
      </c>
      <c r="T17" s="13">
        <f t="shared" si="1"/>
        <v>1.54160670686909</v>
      </c>
      <c r="U17" s="13">
        <f t="shared" si="2"/>
        <v>0.875102953482659</v>
      </c>
      <c r="V17" s="13">
        <f t="shared" si="2"/>
        <v>1.42169936871419</v>
      </c>
      <c r="W17" s="13">
        <f t="shared" si="2"/>
        <v>-0.574974834672975</v>
      </c>
      <c r="X17" s="13">
        <f t="shared" si="2"/>
        <v>1.99223299426071</v>
      </c>
      <c r="Y17" s="13">
        <f t="shared" si="2"/>
        <v>1.49852709738125</v>
      </c>
      <c r="Z17" s="13">
        <f t="shared" si="2"/>
        <v>0.887523815303309</v>
      </c>
      <c r="AA17" s="13">
        <f t="shared" si="2"/>
        <v>1.72024573453628</v>
      </c>
      <c r="AB17" s="13">
        <f t="shared" si="2"/>
        <v>2.3735285163492</v>
      </c>
      <c r="AC17" s="13">
        <f t="shared" si="2"/>
        <v>2.21027444001152</v>
      </c>
      <c r="AD17" s="13">
        <f t="shared" si="2"/>
        <v>2.03455105255566</v>
      </c>
      <c r="AE17" s="13">
        <f t="shared" si="2"/>
        <v>1.1344514090447</v>
      </c>
      <c r="AF17" s="13">
        <f t="shared" si="2"/>
        <v>2.47306002834122</v>
      </c>
      <c r="AG17" s="13">
        <f t="shared" si="2"/>
        <v>1.61884497501587</v>
      </c>
      <c r="AH17" s="13">
        <f t="shared" si="2"/>
        <v>1.41130147234255</v>
      </c>
      <c r="AI17" s="13">
        <f t="shared" si="2"/>
        <v>1.45745758084617</v>
      </c>
    </row>
    <row r="18" spans="1:35">
      <c r="A18" s="15" t="s">
        <v>33</v>
      </c>
      <c r="B18" s="2">
        <v>2.67590948431165</v>
      </c>
      <c r="C18" s="15"/>
      <c r="D18" s="14" t="s">
        <v>15</v>
      </c>
      <c r="E18" s="13">
        <f t="shared" si="1"/>
        <v>-5.39968598656821</v>
      </c>
      <c r="F18" s="13">
        <f t="shared" si="1"/>
        <v>-4.32929909673561</v>
      </c>
      <c r="G18" s="13">
        <f t="shared" si="1"/>
        <v>-0.169397025743237</v>
      </c>
      <c r="H18" s="13">
        <f t="shared" si="1"/>
        <v>0.131987984268001</v>
      </c>
      <c r="I18" s="13">
        <f t="shared" si="1"/>
        <v>-1.59724302318249</v>
      </c>
      <c r="J18" s="13">
        <f t="shared" si="1"/>
        <v>-1.23128619726743</v>
      </c>
      <c r="K18" s="13">
        <f t="shared" si="1"/>
        <v>-0.478334223155113</v>
      </c>
      <c r="L18" s="13">
        <f t="shared" si="1"/>
        <v>-0.00655894340325114</v>
      </c>
      <c r="M18" s="13">
        <f t="shared" si="1"/>
        <v>-5.75094878050364</v>
      </c>
      <c r="N18" s="13">
        <f t="shared" si="1"/>
        <v>-3.23366824848387</v>
      </c>
      <c r="O18" s="13">
        <f t="shared" si="1"/>
        <v>-2.80280683220567</v>
      </c>
      <c r="P18" s="13">
        <f t="shared" si="1"/>
        <v>0.189466046206376</v>
      </c>
      <c r="Q18" s="13">
        <f t="shared" si="1"/>
        <v>-2.04281019775643</v>
      </c>
      <c r="R18" s="13">
        <f t="shared" si="1"/>
        <v>0.216006464067203</v>
      </c>
      <c r="S18" s="13">
        <f t="shared" si="1"/>
        <v>-1.54160670686909</v>
      </c>
      <c r="T18" s="13">
        <f t="shared" si="1"/>
        <v>0</v>
      </c>
      <c r="U18" s="13">
        <f t="shared" si="2"/>
        <v>-0.666503753386435</v>
      </c>
      <c r="V18" s="13">
        <f t="shared" si="2"/>
        <v>-0.119907338154899</v>
      </c>
      <c r="W18" s="13">
        <f t="shared" si="2"/>
        <v>-2.11658154154207</v>
      </c>
      <c r="X18" s="13">
        <f t="shared" si="2"/>
        <v>0.450626287391617</v>
      </c>
      <c r="Y18" s="13">
        <f t="shared" si="2"/>
        <v>-0.0430796094878465</v>
      </c>
      <c r="Z18" s="13">
        <f t="shared" si="2"/>
        <v>-0.654082891565785</v>
      </c>
      <c r="AA18" s="13">
        <f t="shared" si="2"/>
        <v>0.178639027667183</v>
      </c>
      <c r="AB18" s="13">
        <f t="shared" si="2"/>
        <v>0.831921809480104</v>
      </c>
      <c r="AC18" s="13">
        <f t="shared" si="2"/>
        <v>0.668667733142429</v>
      </c>
      <c r="AD18" s="13">
        <f t="shared" si="2"/>
        <v>0.492944345686569</v>
      </c>
      <c r="AE18" s="13">
        <f t="shared" si="2"/>
        <v>-0.40715529782439</v>
      </c>
      <c r="AF18" s="13">
        <f t="shared" si="2"/>
        <v>0.93145332147213</v>
      </c>
      <c r="AG18" s="13">
        <f t="shared" si="2"/>
        <v>0.0772382681467807</v>
      </c>
      <c r="AH18" s="13">
        <f t="shared" si="2"/>
        <v>-0.130305234526548</v>
      </c>
      <c r="AI18" s="13">
        <f t="shared" si="2"/>
        <v>-0.0841491260229188</v>
      </c>
    </row>
    <row r="19" spans="1:35">
      <c r="A19" s="15" t="s">
        <v>33</v>
      </c>
      <c r="B19" s="2">
        <v>3.34241323769808</v>
      </c>
      <c r="C19" s="15"/>
      <c r="D19" s="14" t="s">
        <v>16</v>
      </c>
      <c r="E19" s="13">
        <f t="shared" si="1"/>
        <v>-4.73318223318178</v>
      </c>
      <c r="F19" s="13">
        <f t="shared" si="1"/>
        <v>-3.66279534334917</v>
      </c>
      <c r="G19" s="13">
        <f t="shared" si="1"/>
        <v>0.497106727643197</v>
      </c>
      <c r="H19" s="13">
        <f t="shared" si="1"/>
        <v>0.798491737654435</v>
      </c>
      <c r="I19" s="13">
        <f t="shared" si="1"/>
        <v>-0.930739269796057</v>
      </c>
      <c r="J19" s="13">
        <f t="shared" si="1"/>
        <v>-0.564782443880991</v>
      </c>
      <c r="K19" s="13">
        <f t="shared" si="1"/>
        <v>0.188169530231322</v>
      </c>
      <c r="L19" s="13">
        <f t="shared" si="1"/>
        <v>0.659944809983183</v>
      </c>
      <c r="M19" s="13">
        <f t="shared" si="1"/>
        <v>-5.08444502711721</v>
      </c>
      <c r="N19" s="13">
        <f t="shared" si="1"/>
        <v>-2.56716449509744</v>
      </c>
      <c r="O19" s="13">
        <f t="shared" si="1"/>
        <v>-2.13630307881924</v>
      </c>
      <c r="P19" s="13">
        <f t="shared" si="1"/>
        <v>0.855969799592811</v>
      </c>
      <c r="Q19" s="13">
        <f t="shared" si="1"/>
        <v>-1.37630644436999</v>
      </c>
      <c r="R19" s="13">
        <f t="shared" si="1"/>
        <v>0.882510217453638</v>
      </c>
      <c r="S19" s="13">
        <f t="shared" si="1"/>
        <v>-0.875102953482659</v>
      </c>
      <c r="T19" s="13">
        <f t="shared" si="1"/>
        <v>0.666503753386435</v>
      </c>
      <c r="U19" s="13">
        <f t="shared" si="2"/>
        <v>0</v>
      </c>
      <c r="V19" s="13">
        <f t="shared" si="2"/>
        <v>0.546596415231535</v>
      </c>
      <c r="W19" s="13">
        <f t="shared" si="2"/>
        <v>-1.45007778815563</v>
      </c>
      <c r="X19" s="13">
        <f t="shared" si="2"/>
        <v>1.11713004077805</v>
      </c>
      <c r="Y19" s="13">
        <f t="shared" si="2"/>
        <v>0.623424143898588</v>
      </c>
      <c r="Z19" s="13">
        <f t="shared" si="2"/>
        <v>0.0124208618206501</v>
      </c>
      <c r="AA19" s="13">
        <f t="shared" si="2"/>
        <v>0.845142781053617</v>
      </c>
      <c r="AB19" s="13">
        <f t="shared" si="2"/>
        <v>1.49842556286654</v>
      </c>
      <c r="AC19" s="13">
        <f t="shared" si="2"/>
        <v>1.33517148652886</v>
      </c>
      <c r="AD19" s="13">
        <f t="shared" si="2"/>
        <v>1.159448099073</v>
      </c>
      <c r="AE19" s="13">
        <f t="shared" si="2"/>
        <v>0.259348455562045</v>
      </c>
      <c r="AF19" s="13">
        <f t="shared" si="2"/>
        <v>1.59795707485856</v>
      </c>
      <c r="AG19" s="13">
        <f t="shared" si="2"/>
        <v>0.743742021533215</v>
      </c>
      <c r="AH19" s="13">
        <f t="shared" si="2"/>
        <v>0.536198518859887</v>
      </c>
      <c r="AI19" s="13">
        <f t="shared" si="2"/>
        <v>0.582354627363516</v>
      </c>
    </row>
    <row r="20" spans="1:35">
      <c r="A20" s="15" t="s">
        <v>33</v>
      </c>
      <c r="B20" s="2">
        <v>2.79581682246655</v>
      </c>
      <c r="C20" s="15"/>
      <c r="D20" s="14" t="s">
        <v>17</v>
      </c>
      <c r="E20" s="13">
        <f t="shared" si="1"/>
        <v>-5.27977864841332</v>
      </c>
      <c r="F20" s="13">
        <f t="shared" si="1"/>
        <v>-4.20939175858071</v>
      </c>
      <c r="G20" s="13">
        <f t="shared" si="1"/>
        <v>-0.0494896875883382</v>
      </c>
      <c r="H20" s="13">
        <f t="shared" si="1"/>
        <v>0.2518953224229</v>
      </c>
      <c r="I20" s="13">
        <f t="shared" si="1"/>
        <v>-1.47733568502759</v>
      </c>
      <c r="J20" s="13">
        <f t="shared" si="1"/>
        <v>-1.11137885911253</v>
      </c>
      <c r="K20" s="13">
        <f t="shared" si="1"/>
        <v>-0.358426885000214</v>
      </c>
      <c r="L20" s="13">
        <f t="shared" si="1"/>
        <v>0.113348394751648</v>
      </c>
      <c r="M20" s="13">
        <f t="shared" si="1"/>
        <v>-5.63104144234874</v>
      </c>
      <c r="N20" s="13">
        <f t="shared" si="1"/>
        <v>-3.11376091032898</v>
      </c>
      <c r="O20" s="13">
        <f t="shared" si="1"/>
        <v>-2.68289949405077</v>
      </c>
      <c r="P20" s="13">
        <f t="shared" si="1"/>
        <v>0.309373384361275</v>
      </c>
      <c r="Q20" s="13">
        <f t="shared" si="1"/>
        <v>-1.92290285960153</v>
      </c>
      <c r="R20" s="13">
        <f t="shared" si="1"/>
        <v>0.335913802222102</v>
      </c>
      <c r="S20" s="13">
        <f t="shared" si="1"/>
        <v>-1.42169936871419</v>
      </c>
      <c r="T20" s="13">
        <f t="shared" si="1"/>
        <v>0.119907338154899</v>
      </c>
      <c r="U20" s="13">
        <f t="shared" si="2"/>
        <v>-0.546596415231535</v>
      </c>
      <c r="V20" s="13">
        <f t="shared" si="2"/>
        <v>0</v>
      </c>
      <c r="W20" s="13">
        <f t="shared" si="2"/>
        <v>-1.99667420338717</v>
      </c>
      <c r="X20" s="13">
        <f t="shared" si="2"/>
        <v>0.570533625546517</v>
      </c>
      <c r="Y20" s="13">
        <f t="shared" si="2"/>
        <v>0.0768277286670527</v>
      </c>
      <c r="Z20" s="13">
        <f t="shared" si="2"/>
        <v>-0.534175553410885</v>
      </c>
      <c r="AA20" s="13">
        <f t="shared" si="2"/>
        <v>0.298546365822082</v>
      </c>
      <c r="AB20" s="13">
        <f t="shared" si="2"/>
        <v>0.951829147635004</v>
      </c>
      <c r="AC20" s="13">
        <f t="shared" si="2"/>
        <v>0.788575071297328</v>
      </c>
      <c r="AD20" s="13">
        <f t="shared" si="2"/>
        <v>0.612851683841468</v>
      </c>
      <c r="AE20" s="13">
        <f t="shared" si="2"/>
        <v>-0.287247959669491</v>
      </c>
      <c r="AF20" s="13">
        <f t="shared" si="2"/>
        <v>1.05136065962703</v>
      </c>
      <c r="AG20" s="13">
        <f t="shared" si="2"/>
        <v>0.19714560630168</v>
      </c>
      <c r="AH20" s="13">
        <f t="shared" si="2"/>
        <v>-0.0103978963716487</v>
      </c>
      <c r="AI20" s="13">
        <f t="shared" si="2"/>
        <v>0.0357582121319804</v>
      </c>
    </row>
    <row r="21" spans="1:35">
      <c r="A21" s="15" t="s">
        <v>33</v>
      </c>
      <c r="B21" s="2">
        <v>4.79249102585372</v>
      </c>
      <c r="C21" s="15"/>
      <c r="D21" s="14" t="s">
        <v>18</v>
      </c>
      <c r="E21" s="13">
        <f t="shared" si="1"/>
        <v>-3.28310444502615</v>
      </c>
      <c r="F21" s="13">
        <f t="shared" si="1"/>
        <v>-2.21271755519354</v>
      </c>
      <c r="G21" s="13">
        <f t="shared" si="1"/>
        <v>1.94718451579883</v>
      </c>
      <c r="H21" s="13">
        <f t="shared" si="1"/>
        <v>2.24856952581007</v>
      </c>
      <c r="I21" s="13">
        <f t="shared" si="1"/>
        <v>0.519338518359578</v>
      </c>
      <c r="J21" s="13">
        <f t="shared" si="1"/>
        <v>0.885295344274643</v>
      </c>
      <c r="K21" s="13">
        <f t="shared" si="1"/>
        <v>1.63824731838696</v>
      </c>
      <c r="L21" s="13">
        <f t="shared" si="1"/>
        <v>2.11002259813882</v>
      </c>
      <c r="M21" s="13">
        <f t="shared" si="1"/>
        <v>-3.63436723896157</v>
      </c>
      <c r="N21" s="13">
        <f t="shared" si="1"/>
        <v>-1.11708670694181</v>
      </c>
      <c r="O21" s="13">
        <f t="shared" si="1"/>
        <v>-0.686225290663605</v>
      </c>
      <c r="P21" s="13">
        <f t="shared" si="1"/>
        <v>2.30604758774844</v>
      </c>
      <c r="Q21" s="13">
        <f t="shared" si="1"/>
        <v>0.0737713437856407</v>
      </c>
      <c r="R21" s="13">
        <f t="shared" si="1"/>
        <v>2.33258800560927</v>
      </c>
      <c r="S21" s="13">
        <f t="shared" si="1"/>
        <v>0.574974834672975</v>
      </c>
      <c r="T21" s="13">
        <f t="shared" si="1"/>
        <v>2.11658154154207</v>
      </c>
      <c r="U21" s="13">
        <f t="shared" si="2"/>
        <v>1.45007778815563</v>
      </c>
      <c r="V21" s="13">
        <f t="shared" si="2"/>
        <v>1.99667420338717</v>
      </c>
      <c r="W21" s="13">
        <f t="shared" si="2"/>
        <v>0</v>
      </c>
      <c r="X21" s="13">
        <f t="shared" si="2"/>
        <v>2.56720782893369</v>
      </c>
      <c r="Y21" s="13">
        <f t="shared" si="2"/>
        <v>2.07350193205422</v>
      </c>
      <c r="Z21" s="13">
        <f t="shared" si="2"/>
        <v>1.46249864997628</v>
      </c>
      <c r="AA21" s="13">
        <f t="shared" si="2"/>
        <v>2.29522056920925</v>
      </c>
      <c r="AB21" s="13">
        <f t="shared" si="2"/>
        <v>2.94850335102217</v>
      </c>
      <c r="AC21" s="13">
        <f t="shared" si="2"/>
        <v>2.7852492746845</v>
      </c>
      <c r="AD21" s="13">
        <f t="shared" si="2"/>
        <v>2.60952588722864</v>
      </c>
      <c r="AE21" s="13">
        <f t="shared" si="2"/>
        <v>1.70942624371768</v>
      </c>
      <c r="AF21" s="13">
        <f t="shared" si="2"/>
        <v>3.0480348630142</v>
      </c>
      <c r="AG21" s="13">
        <f t="shared" si="2"/>
        <v>2.19381980968885</v>
      </c>
      <c r="AH21" s="13">
        <f t="shared" si="2"/>
        <v>1.98627630701552</v>
      </c>
      <c r="AI21" s="13">
        <f t="shared" si="2"/>
        <v>2.03243241551915</v>
      </c>
    </row>
    <row r="22" spans="1:35">
      <c r="A22" s="15" t="s">
        <v>33</v>
      </c>
      <c r="B22" s="2">
        <v>2.22528319692003</v>
      </c>
      <c r="C22" s="15"/>
      <c r="D22" s="14" t="s">
        <v>19</v>
      </c>
      <c r="E22" s="13">
        <f t="shared" si="1"/>
        <v>-5.85031227395983</v>
      </c>
      <c r="F22" s="13">
        <f t="shared" si="1"/>
        <v>-4.77992538412722</v>
      </c>
      <c r="G22" s="13">
        <f t="shared" si="1"/>
        <v>-0.620023313134855</v>
      </c>
      <c r="H22" s="13">
        <f t="shared" si="1"/>
        <v>-0.318638303123617</v>
      </c>
      <c r="I22" s="13">
        <f t="shared" si="1"/>
        <v>-2.04786931057411</v>
      </c>
      <c r="J22" s="13">
        <f t="shared" si="1"/>
        <v>-1.68191248465904</v>
      </c>
      <c r="K22" s="13">
        <f t="shared" si="1"/>
        <v>-0.92896051054673</v>
      </c>
      <c r="L22" s="13">
        <f t="shared" si="1"/>
        <v>-0.457185230794869</v>
      </c>
      <c r="M22" s="13">
        <f t="shared" si="1"/>
        <v>-6.20157506789526</v>
      </c>
      <c r="N22" s="13">
        <f t="shared" si="1"/>
        <v>-3.68429453587549</v>
      </c>
      <c r="O22" s="13">
        <f t="shared" si="1"/>
        <v>-3.25343311959729</v>
      </c>
      <c r="P22" s="13">
        <f t="shared" si="1"/>
        <v>-0.261160241185241</v>
      </c>
      <c r="Q22" s="13">
        <f t="shared" si="1"/>
        <v>-2.49343648514805</v>
      </c>
      <c r="R22" s="13">
        <f t="shared" si="1"/>
        <v>-0.234619823324414</v>
      </c>
      <c r="S22" s="13">
        <f t="shared" si="1"/>
        <v>-1.99223299426071</v>
      </c>
      <c r="T22" s="13">
        <f t="shared" si="1"/>
        <v>-0.450626287391617</v>
      </c>
      <c r="U22" s="13">
        <f t="shared" si="2"/>
        <v>-1.11713004077805</v>
      </c>
      <c r="V22" s="13">
        <f t="shared" si="2"/>
        <v>-0.570533625546517</v>
      </c>
      <c r="W22" s="13">
        <f t="shared" si="2"/>
        <v>-2.56720782893369</v>
      </c>
      <c r="X22" s="13">
        <f t="shared" si="2"/>
        <v>0</v>
      </c>
      <c r="Y22" s="13">
        <f t="shared" si="2"/>
        <v>-0.493705896879464</v>
      </c>
      <c r="Z22" s="13">
        <f t="shared" si="2"/>
        <v>-1.1047091789574</v>
      </c>
      <c r="AA22" s="13">
        <f t="shared" si="2"/>
        <v>-0.271987259724435</v>
      </c>
      <c r="AB22" s="13">
        <f t="shared" si="2"/>
        <v>0.381295522088487</v>
      </c>
      <c r="AC22" s="13">
        <f t="shared" si="2"/>
        <v>0.218041445750812</v>
      </c>
      <c r="AD22" s="13">
        <f t="shared" si="2"/>
        <v>0.0423180582949514</v>
      </c>
      <c r="AE22" s="13">
        <f t="shared" si="2"/>
        <v>-0.857781585216007</v>
      </c>
      <c r="AF22" s="13">
        <f t="shared" si="2"/>
        <v>0.480827034080513</v>
      </c>
      <c r="AG22" s="13">
        <f t="shared" si="2"/>
        <v>-0.373388019244837</v>
      </c>
      <c r="AH22" s="13">
        <f t="shared" si="2"/>
        <v>-0.580931521918165</v>
      </c>
      <c r="AI22" s="13">
        <f t="shared" si="2"/>
        <v>-0.534775413414536</v>
      </c>
    </row>
    <row r="23" spans="1:35">
      <c r="A23" s="15" t="s">
        <v>33</v>
      </c>
      <c r="B23" s="2">
        <v>2.71898909379949</v>
      </c>
      <c r="C23" s="15"/>
      <c r="D23" s="14" t="s">
        <v>20</v>
      </c>
      <c r="E23" s="13">
        <f t="shared" si="1"/>
        <v>-5.35660637708037</v>
      </c>
      <c r="F23" s="13">
        <f t="shared" si="1"/>
        <v>-4.28621948724776</v>
      </c>
      <c r="G23" s="13">
        <f t="shared" si="1"/>
        <v>-0.126317416255391</v>
      </c>
      <c r="H23" s="13">
        <f t="shared" si="1"/>
        <v>0.175067593755847</v>
      </c>
      <c r="I23" s="13">
        <f t="shared" si="1"/>
        <v>-1.55416341369464</v>
      </c>
      <c r="J23" s="13">
        <f t="shared" si="1"/>
        <v>-1.18820658777958</v>
      </c>
      <c r="K23" s="13">
        <f t="shared" si="1"/>
        <v>-0.435254613667266</v>
      </c>
      <c r="L23" s="13">
        <f t="shared" si="1"/>
        <v>0.0365206660845954</v>
      </c>
      <c r="M23" s="13">
        <f t="shared" si="1"/>
        <v>-5.7078691710158</v>
      </c>
      <c r="N23" s="13">
        <f t="shared" si="1"/>
        <v>-3.19058863899603</v>
      </c>
      <c r="O23" s="13">
        <f t="shared" si="1"/>
        <v>-2.75972722271783</v>
      </c>
      <c r="P23" s="13">
        <f t="shared" si="1"/>
        <v>0.232545655694222</v>
      </c>
      <c r="Q23" s="13">
        <f t="shared" si="1"/>
        <v>-1.99973058826858</v>
      </c>
      <c r="R23" s="13">
        <f t="shared" si="1"/>
        <v>0.25908607355505</v>
      </c>
      <c r="S23" s="13">
        <f t="shared" si="1"/>
        <v>-1.49852709738125</v>
      </c>
      <c r="T23" s="13">
        <f t="shared" si="1"/>
        <v>0.0430796094878465</v>
      </c>
      <c r="U23" s="13">
        <f t="shared" si="2"/>
        <v>-0.623424143898588</v>
      </c>
      <c r="V23" s="13">
        <f t="shared" si="2"/>
        <v>-0.0768277286670527</v>
      </c>
      <c r="W23" s="13">
        <f t="shared" si="2"/>
        <v>-2.07350193205422</v>
      </c>
      <c r="X23" s="13">
        <f t="shared" si="2"/>
        <v>0.493705896879464</v>
      </c>
      <c r="Y23" s="13">
        <f t="shared" si="2"/>
        <v>0</v>
      </c>
      <c r="Z23" s="13">
        <f t="shared" si="2"/>
        <v>-0.611003282077938</v>
      </c>
      <c r="AA23" s="13">
        <f t="shared" si="2"/>
        <v>0.221718637155029</v>
      </c>
      <c r="AB23" s="13">
        <f t="shared" si="2"/>
        <v>0.875001418967951</v>
      </c>
      <c r="AC23" s="13">
        <f t="shared" si="2"/>
        <v>0.711747342630276</v>
      </c>
      <c r="AD23" s="13">
        <f t="shared" si="2"/>
        <v>0.536023955174415</v>
      </c>
      <c r="AE23" s="13">
        <f t="shared" si="2"/>
        <v>-0.364075688336543</v>
      </c>
      <c r="AF23" s="13">
        <f t="shared" si="2"/>
        <v>0.974532930959976</v>
      </c>
      <c r="AG23" s="13">
        <f t="shared" si="2"/>
        <v>0.120317877634627</v>
      </c>
      <c r="AH23" s="13">
        <f t="shared" si="2"/>
        <v>-0.0872256250387013</v>
      </c>
      <c r="AI23" s="13">
        <f t="shared" si="2"/>
        <v>-0.0410695165350723</v>
      </c>
    </row>
    <row r="24" spans="1:35">
      <c r="A24" s="15" t="s">
        <v>33</v>
      </c>
      <c r="B24" s="2">
        <v>3.32999237587743</v>
      </c>
      <c r="C24" s="15"/>
      <c r="D24" s="14" t="s">
        <v>21</v>
      </c>
      <c r="E24" s="13">
        <f t="shared" si="1"/>
        <v>-4.74560309500243</v>
      </c>
      <c r="F24" s="13">
        <f t="shared" si="1"/>
        <v>-3.67521620516982</v>
      </c>
      <c r="G24" s="13">
        <f t="shared" si="1"/>
        <v>0.484685865822547</v>
      </c>
      <c r="H24" s="13">
        <f t="shared" si="1"/>
        <v>0.786070875833785</v>
      </c>
      <c r="I24" s="13">
        <f t="shared" si="1"/>
        <v>-0.943160131616707</v>
      </c>
      <c r="J24" s="13">
        <f t="shared" si="1"/>
        <v>-0.577203305701641</v>
      </c>
      <c r="K24" s="13">
        <f t="shared" si="1"/>
        <v>0.175748668410672</v>
      </c>
      <c r="L24" s="13">
        <f t="shared" si="1"/>
        <v>0.647523948162533</v>
      </c>
      <c r="M24" s="13">
        <f t="shared" si="1"/>
        <v>-5.09686588893786</v>
      </c>
      <c r="N24" s="13">
        <f t="shared" si="1"/>
        <v>-2.57958535691809</v>
      </c>
      <c r="O24" s="13">
        <f t="shared" si="1"/>
        <v>-2.14872394063989</v>
      </c>
      <c r="P24" s="13">
        <f t="shared" si="1"/>
        <v>0.843548937772161</v>
      </c>
      <c r="Q24" s="13">
        <f t="shared" si="1"/>
        <v>-1.38872730619064</v>
      </c>
      <c r="R24" s="13">
        <f t="shared" si="1"/>
        <v>0.870089355632988</v>
      </c>
      <c r="S24" s="13">
        <f t="shared" si="1"/>
        <v>-0.887523815303309</v>
      </c>
      <c r="T24" s="13">
        <f t="shared" si="1"/>
        <v>0.654082891565785</v>
      </c>
      <c r="U24" s="13">
        <f t="shared" si="2"/>
        <v>-0.0124208618206501</v>
      </c>
      <c r="V24" s="13">
        <f t="shared" si="2"/>
        <v>0.534175553410885</v>
      </c>
      <c r="W24" s="13">
        <f t="shared" si="2"/>
        <v>-1.46249864997628</v>
      </c>
      <c r="X24" s="13">
        <f t="shared" si="2"/>
        <v>1.1047091789574</v>
      </c>
      <c r="Y24" s="13">
        <f t="shared" si="2"/>
        <v>0.611003282077938</v>
      </c>
      <c r="Z24" s="13">
        <f t="shared" si="2"/>
        <v>0</v>
      </c>
      <c r="AA24" s="13">
        <f t="shared" si="2"/>
        <v>0.832721919232967</v>
      </c>
      <c r="AB24" s="13">
        <f t="shared" si="2"/>
        <v>1.48600470104589</v>
      </c>
      <c r="AC24" s="13">
        <f t="shared" si="2"/>
        <v>1.32275062470821</v>
      </c>
      <c r="AD24" s="13">
        <f t="shared" si="2"/>
        <v>1.14702723725235</v>
      </c>
      <c r="AE24" s="13">
        <f t="shared" si="2"/>
        <v>0.246927593741395</v>
      </c>
      <c r="AF24" s="13">
        <f t="shared" si="2"/>
        <v>1.58553621303791</v>
      </c>
      <c r="AG24" s="13">
        <f t="shared" si="2"/>
        <v>0.731321159712565</v>
      </c>
      <c r="AH24" s="13">
        <f t="shared" si="2"/>
        <v>0.523777657039237</v>
      </c>
      <c r="AI24" s="13">
        <f t="shared" si="2"/>
        <v>0.569933765542866</v>
      </c>
    </row>
    <row r="25" spans="1:35">
      <c r="A25" s="15" t="s">
        <v>33</v>
      </c>
      <c r="B25" s="2">
        <v>2.49727045664446</v>
      </c>
      <c r="C25" s="15"/>
      <c r="D25" s="14" t="s">
        <v>22</v>
      </c>
      <c r="E25" s="13">
        <f t="shared" si="1"/>
        <v>-5.5783250142354</v>
      </c>
      <c r="F25" s="13">
        <f t="shared" si="1"/>
        <v>-4.50793812440279</v>
      </c>
      <c r="G25" s="13">
        <f t="shared" si="1"/>
        <v>-0.34803605341042</v>
      </c>
      <c r="H25" s="13">
        <f t="shared" si="1"/>
        <v>-0.0466510433991822</v>
      </c>
      <c r="I25" s="13">
        <f t="shared" si="1"/>
        <v>-1.77588205084967</v>
      </c>
      <c r="J25" s="13">
        <f t="shared" si="1"/>
        <v>-1.40992522493461</v>
      </c>
      <c r="K25" s="13">
        <f t="shared" si="1"/>
        <v>-0.656973250822296</v>
      </c>
      <c r="L25" s="13">
        <f t="shared" si="1"/>
        <v>-0.185197971070434</v>
      </c>
      <c r="M25" s="13">
        <f t="shared" si="1"/>
        <v>-5.92958780817083</v>
      </c>
      <c r="N25" s="13">
        <f t="shared" si="1"/>
        <v>-3.41230727615106</v>
      </c>
      <c r="O25" s="13">
        <f t="shared" si="1"/>
        <v>-2.98144585987286</v>
      </c>
      <c r="P25" s="13">
        <f t="shared" si="1"/>
        <v>0.0108270185391932</v>
      </c>
      <c r="Q25" s="13">
        <f t="shared" si="1"/>
        <v>-2.22144922542361</v>
      </c>
      <c r="R25" s="13">
        <f t="shared" si="1"/>
        <v>0.0373674364000203</v>
      </c>
      <c r="S25" s="13">
        <f t="shared" si="1"/>
        <v>-1.72024573453628</v>
      </c>
      <c r="T25" s="13">
        <f t="shared" si="1"/>
        <v>-0.178639027667183</v>
      </c>
      <c r="U25" s="13">
        <f t="shared" si="2"/>
        <v>-0.845142781053617</v>
      </c>
      <c r="V25" s="13">
        <f t="shared" si="2"/>
        <v>-0.298546365822082</v>
      </c>
      <c r="W25" s="13">
        <f t="shared" si="2"/>
        <v>-2.29522056920925</v>
      </c>
      <c r="X25" s="13">
        <f t="shared" si="2"/>
        <v>0.271987259724435</v>
      </c>
      <c r="Y25" s="13">
        <f t="shared" si="2"/>
        <v>-0.221718637155029</v>
      </c>
      <c r="Z25" s="13">
        <f t="shared" si="2"/>
        <v>-0.832721919232967</v>
      </c>
      <c r="AA25" s="13">
        <f t="shared" si="2"/>
        <v>0</v>
      </c>
      <c r="AB25" s="13">
        <f t="shared" si="2"/>
        <v>0.653282781812922</v>
      </c>
      <c r="AC25" s="13">
        <f t="shared" si="2"/>
        <v>0.490028705475246</v>
      </c>
      <c r="AD25" s="13">
        <f t="shared" si="2"/>
        <v>0.314305318019386</v>
      </c>
      <c r="AE25" s="13">
        <f t="shared" si="2"/>
        <v>-0.585794325491573</v>
      </c>
      <c r="AF25" s="13">
        <f t="shared" si="2"/>
        <v>0.752814293804947</v>
      </c>
      <c r="AG25" s="13">
        <f t="shared" si="2"/>
        <v>-0.101400759520402</v>
      </c>
      <c r="AH25" s="13">
        <f t="shared" si="2"/>
        <v>-0.308944262193731</v>
      </c>
      <c r="AI25" s="13">
        <f t="shared" si="2"/>
        <v>-0.262788153690102</v>
      </c>
    </row>
    <row r="26" spans="1:35">
      <c r="A26" s="15" t="s">
        <v>33</v>
      </c>
      <c r="B26" s="2">
        <v>1.84398767483154</v>
      </c>
      <c r="C26" s="15"/>
      <c r="D26" s="14" t="s">
        <v>23</v>
      </c>
      <c r="E26" s="13">
        <f t="shared" si="1"/>
        <v>-6.23160779604832</v>
      </c>
      <c r="F26" s="13">
        <f t="shared" si="1"/>
        <v>-5.16122090621571</v>
      </c>
      <c r="G26" s="13">
        <f t="shared" si="1"/>
        <v>-1.00131883522334</v>
      </c>
      <c r="H26" s="13">
        <f t="shared" si="1"/>
        <v>-0.699933825212104</v>
      </c>
      <c r="I26" s="13">
        <f t="shared" si="1"/>
        <v>-2.4291648326626</v>
      </c>
      <c r="J26" s="13">
        <f t="shared" si="1"/>
        <v>-2.06320800674753</v>
      </c>
      <c r="K26" s="13">
        <f t="shared" si="1"/>
        <v>-1.31025603263522</v>
      </c>
      <c r="L26" s="13">
        <f t="shared" si="1"/>
        <v>-0.838480752883356</v>
      </c>
      <c r="M26" s="13">
        <f t="shared" ref="M26:T26" si="3">$B26-M$2</f>
        <v>-6.58287058998375</v>
      </c>
      <c r="N26" s="13">
        <f t="shared" si="3"/>
        <v>-4.06559005796398</v>
      </c>
      <c r="O26" s="13">
        <f t="shared" si="3"/>
        <v>-3.63472864168578</v>
      </c>
      <c r="P26" s="13">
        <f t="shared" si="3"/>
        <v>-0.642455763273728</v>
      </c>
      <c r="Q26" s="13">
        <f t="shared" si="3"/>
        <v>-2.87473200723653</v>
      </c>
      <c r="R26" s="13">
        <f t="shared" si="3"/>
        <v>-0.615915345412901</v>
      </c>
      <c r="S26" s="13">
        <f t="shared" si="3"/>
        <v>-2.3735285163492</v>
      </c>
      <c r="T26" s="13">
        <f t="shared" si="3"/>
        <v>-0.831921809480104</v>
      </c>
      <c r="U26" s="13">
        <f t="shared" si="2"/>
        <v>-1.49842556286654</v>
      </c>
      <c r="V26" s="13">
        <f t="shared" si="2"/>
        <v>-0.951829147635004</v>
      </c>
      <c r="W26" s="13">
        <f t="shared" si="2"/>
        <v>-2.94850335102217</v>
      </c>
      <c r="X26" s="13">
        <f t="shared" si="2"/>
        <v>-0.381295522088487</v>
      </c>
      <c r="Y26" s="13">
        <f t="shared" si="2"/>
        <v>-0.875001418967951</v>
      </c>
      <c r="Z26" s="13">
        <f t="shared" si="2"/>
        <v>-1.48600470104589</v>
      </c>
      <c r="AA26" s="13">
        <f t="shared" si="2"/>
        <v>-0.653282781812922</v>
      </c>
      <c r="AB26" s="13">
        <f t="shared" si="2"/>
        <v>0</v>
      </c>
      <c r="AC26" s="13">
        <f t="shared" si="2"/>
        <v>-0.163254076337675</v>
      </c>
      <c r="AD26" s="13">
        <f t="shared" si="2"/>
        <v>-0.338977463793536</v>
      </c>
      <c r="AE26" s="13">
        <f t="shared" si="2"/>
        <v>-1.23907710730449</v>
      </c>
      <c r="AF26" s="13">
        <f t="shared" si="2"/>
        <v>0.0995315119920255</v>
      </c>
      <c r="AG26" s="13">
        <f t="shared" si="2"/>
        <v>-0.754683541333324</v>
      </c>
      <c r="AH26" s="13">
        <f t="shared" si="2"/>
        <v>-0.962227044006652</v>
      </c>
      <c r="AI26" s="13">
        <f t="shared" si="2"/>
        <v>-0.916070935503023</v>
      </c>
    </row>
    <row r="27" spans="1:35">
      <c r="A27" s="15" t="s">
        <v>33</v>
      </c>
      <c r="B27" s="2">
        <v>2.00724175116922</v>
      </c>
      <c r="C27" s="15"/>
      <c r="D27" s="14" t="s">
        <v>24</v>
      </c>
      <c r="E27" s="13">
        <f t="shared" ref="E27:T33" si="4">$B27-E$2</f>
        <v>-6.06835371971064</v>
      </c>
      <c r="F27" s="13">
        <f t="shared" si="4"/>
        <v>-4.99796682987804</v>
      </c>
      <c r="G27" s="13">
        <f t="shared" si="4"/>
        <v>-0.838064758885666</v>
      </c>
      <c r="H27" s="13">
        <f t="shared" si="4"/>
        <v>-0.536679748874429</v>
      </c>
      <c r="I27" s="13">
        <f t="shared" si="4"/>
        <v>-2.26591075632492</v>
      </c>
      <c r="J27" s="13">
        <f t="shared" si="4"/>
        <v>-1.89995393040985</v>
      </c>
      <c r="K27" s="13">
        <f t="shared" si="4"/>
        <v>-1.14700195629754</v>
      </c>
      <c r="L27" s="13">
        <f t="shared" si="4"/>
        <v>-0.67522667654568</v>
      </c>
      <c r="M27" s="13">
        <f t="shared" si="4"/>
        <v>-6.41961651364607</v>
      </c>
      <c r="N27" s="13">
        <f t="shared" si="4"/>
        <v>-3.9023359816263</v>
      </c>
      <c r="O27" s="13">
        <f t="shared" si="4"/>
        <v>-3.4714745653481</v>
      </c>
      <c r="P27" s="13">
        <f t="shared" si="4"/>
        <v>-0.479201686936053</v>
      </c>
      <c r="Q27" s="13">
        <f t="shared" si="4"/>
        <v>-2.71147793089886</v>
      </c>
      <c r="R27" s="13">
        <f t="shared" si="4"/>
        <v>-0.452661269075226</v>
      </c>
      <c r="S27" s="13">
        <f t="shared" si="4"/>
        <v>-2.21027444001152</v>
      </c>
      <c r="T27" s="13">
        <f t="shared" si="4"/>
        <v>-0.668667733142429</v>
      </c>
      <c r="U27" s="13">
        <f t="shared" si="2"/>
        <v>-1.33517148652886</v>
      </c>
      <c r="V27" s="13">
        <f t="shared" si="2"/>
        <v>-0.788575071297328</v>
      </c>
      <c r="W27" s="13">
        <f t="shared" si="2"/>
        <v>-2.7852492746845</v>
      </c>
      <c r="X27" s="13">
        <f t="shared" si="2"/>
        <v>-0.218041445750812</v>
      </c>
      <c r="Y27" s="13">
        <f t="shared" si="2"/>
        <v>-0.711747342630276</v>
      </c>
      <c r="Z27" s="13">
        <f t="shared" si="2"/>
        <v>-1.32275062470821</v>
      </c>
      <c r="AA27" s="13">
        <f t="shared" si="2"/>
        <v>-0.490028705475246</v>
      </c>
      <c r="AB27" s="13">
        <f t="shared" si="2"/>
        <v>0.163254076337675</v>
      </c>
      <c r="AC27" s="13">
        <f t="shared" si="2"/>
        <v>0</v>
      </c>
      <c r="AD27" s="13">
        <f t="shared" si="2"/>
        <v>-0.17572338745586</v>
      </c>
      <c r="AE27" s="13">
        <f t="shared" si="2"/>
        <v>-1.07582303096682</v>
      </c>
      <c r="AF27" s="13">
        <f t="shared" si="2"/>
        <v>0.262785588329701</v>
      </c>
      <c r="AG27" s="13">
        <f t="shared" si="2"/>
        <v>-0.591429464995648</v>
      </c>
      <c r="AH27" s="13">
        <f t="shared" si="2"/>
        <v>-0.798972967668977</v>
      </c>
      <c r="AI27" s="13">
        <f t="shared" si="2"/>
        <v>-0.752816859165348</v>
      </c>
    </row>
    <row r="28" spans="1:35">
      <c r="A28" s="15" t="s">
        <v>33</v>
      </c>
      <c r="B28" s="2">
        <v>2.18296513862508</v>
      </c>
      <c r="C28" s="15"/>
      <c r="D28" s="14" t="s">
        <v>25</v>
      </c>
      <c r="E28" s="13">
        <f t="shared" si="4"/>
        <v>-5.89263033225478</v>
      </c>
      <c r="F28" s="13">
        <f t="shared" si="4"/>
        <v>-4.82224344242218</v>
      </c>
      <c r="G28" s="13">
        <f t="shared" si="4"/>
        <v>-0.662341371429806</v>
      </c>
      <c r="H28" s="13">
        <f t="shared" si="4"/>
        <v>-0.360956361418568</v>
      </c>
      <c r="I28" s="13">
        <f t="shared" si="4"/>
        <v>-2.09018736886906</v>
      </c>
      <c r="J28" s="13">
        <f t="shared" si="4"/>
        <v>-1.72423054295399</v>
      </c>
      <c r="K28" s="13">
        <f t="shared" si="4"/>
        <v>-0.971278568841682</v>
      </c>
      <c r="L28" s="13">
        <f t="shared" si="4"/>
        <v>-0.49950328908982</v>
      </c>
      <c r="M28" s="13">
        <f t="shared" si="4"/>
        <v>-6.24389312619021</v>
      </c>
      <c r="N28" s="13">
        <f t="shared" si="4"/>
        <v>-3.72661259417044</v>
      </c>
      <c r="O28" s="13">
        <f t="shared" si="4"/>
        <v>-3.29575117789224</v>
      </c>
      <c r="P28" s="13">
        <f t="shared" si="4"/>
        <v>-0.303478299480193</v>
      </c>
      <c r="Q28" s="13">
        <f t="shared" si="4"/>
        <v>-2.535754543443</v>
      </c>
      <c r="R28" s="13">
        <f t="shared" si="4"/>
        <v>-0.276937881619366</v>
      </c>
      <c r="S28" s="13">
        <f t="shared" si="4"/>
        <v>-2.03455105255566</v>
      </c>
      <c r="T28" s="13">
        <f t="shared" si="4"/>
        <v>-0.492944345686569</v>
      </c>
      <c r="U28" s="13">
        <f t="shared" ref="U28:AI33" si="5">$B28-U$2</f>
        <v>-1.159448099073</v>
      </c>
      <c r="V28" s="13">
        <f t="shared" si="5"/>
        <v>-0.612851683841468</v>
      </c>
      <c r="W28" s="13">
        <f t="shared" si="5"/>
        <v>-2.60952588722864</v>
      </c>
      <c r="X28" s="13">
        <f t="shared" si="5"/>
        <v>-0.0423180582949514</v>
      </c>
      <c r="Y28" s="13">
        <f t="shared" si="5"/>
        <v>-0.536023955174415</v>
      </c>
      <c r="Z28" s="13">
        <f t="shared" si="5"/>
        <v>-1.14702723725235</v>
      </c>
      <c r="AA28" s="13">
        <f t="shared" si="5"/>
        <v>-0.314305318019386</v>
      </c>
      <c r="AB28" s="13">
        <f t="shared" si="5"/>
        <v>0.338977463793536</v>
      </c>
      <c r="AC28" s="13">
        <f t="shared" si="5"/>
        <v>0.17572338745586</v>
      </c>
      <c r="AD28" s="13">
        <f t="shared" si="5"/>
        <v>0</v>
      </c>
      <c r="AE28" s="13">
        <f t="shared" si="5"/>
        <v>-0.900099643510959</v>
      </c>
      <c r="AF28" s="13">
        <f t="shared" si="5"/>
        <v>0.438508975785561</v>
      </c>
      <c r="AG28" s="13">
        <f t="shared" si="5"/>
        <v>-0.415706077539788</v>
      </c>
      <c r="AH28" s="13">
        <f t="shared" si="5"/>
        <v>-0.623249580213117</v>
      </c>
      <c r="AI28" s="13">
        <f t="shared" si="5"/>
        <v>-0.577093471709488</v>
      </c>
    </row>
    <row r="29" spans="1:35">
      <c r="A29" s="15" t="s">
        <v>33</v>
      </c>
      <c r="B29" s="2">
        <v>3.08306478213604</v>
      </c>
      <c r="C29" s="15"/>
      <c r="D29" s="14" t="s">
        <v>26</v>
      </c>
      <c r="E29" s="13">
        <f t="shared" si="4"/>
        <v>-4.99253068874382</v>
      </c>
      <c r="F29" s="13">
        <f t="shared" si="4"/>
        <v>-3.92214379891122</v>
      </c>
      <c r="G29" s="13">
        <f t="shared" si="4"/>
        <v>0.237758272081153</v>
      </c>
      <c r="H29" s="13">
        <f t="shared" si="4"/>
        <v>0.53914328209239</v>
      </c>
      <c r="I29" s="13">
        <f t="shared" si="4"/>
        <v>-1.1900877253581</v>
      </c>
      <c r="J29" s="13">
        <f t="shared" si="4"/>
        <v>-0.824130899443036</v>
      </c>
      <c r="K29" s="13">
        <f t="shared" si="4"/>
        <v>-0.0711789253307229</v>
      </c>
      <c r="L29" s="13">
        <f t="shared" si="4"/>
        <v>0.400596354421139</v>
      </c>
      <c r="M29" s="13">
        <f t="shared" si="4"/>
        <v>-5.34379348267925</v>
      </c>
      <c r="N29" s="13">
        <f t="shared" si="4"/>
        <v>-2.82651295065948</v>
      </c>
      <c r="O29" s="13">
        <f t="shared" si="4"/>
        <v>-2.39565153438128</v>
      </c>
      <c r="P29" s="13">
        <f t="shared" si="4"/>
        <v>0.596621344030766</v>
      </c>
      <c r="Q29" s="13">
        <f t="shared" si="4"/>
        <v>-1.63565489993204</v>
      </c>
      <c r="R29" s="13">
        <f t="shared" si="4"/>
        <v>0.623161761891593</v>
      </c>
      <c r="S29" s="13">
        <f t="shared" si="4"/>
        <v>-1.1344514090447</v>
      </c>
      <c r="T29" s="13">
        <f t="shared" si="4"/>
        <v>0.40715529782439</v>
      </c>
      <c r="U29" s="13">
        <f t="shared" si="5"/>
        <v>-0.259348455562045</v>
      </c>
      <c r="V29" s="13">
        <f t="shared" si="5"/>
        <v>0.287247959669491</v>
      </c>
      <c r="W29" s="13">
        <f t="shared" si="5"/>
        <v>-1.70942624371768</v>
      </c>
      <c r="X29" s="13">
        <f t="shared" si="5"/>
        <v>0.857781585216007</v>
      </c>
      <c r="Y29" s="13">
        <f t="shared" si="5"/>
        <v>0.364075688336543</v>
      </c>
      <c r="Z29" s="13">
        <f t="shared" si="5"/>
        <v>-0.246927593741395</v>
      </c>
      <c r="AA29" s="13">
        <f t="shared" si="5"/>
        <v>0.585794325491573</v>
      </c>
      <c r="AB29" s="13">
        <f t="shared" si="5"/>
        <v>1.23907710730449</v>
      </c>
      <c r="AC29" s="13">
        <f t="shared" si="5"/>
        <v>1.07582303096682</v>
      </c>
      <c r="AD29" s="13">
        <f t="shared" si="5"/>
        <v>0.900099643510959</v>
      </c>
      <c r="AE29" s="13">
        <f t="shared" si="5"/>
        <v>0</v>
      </c>
      <c r="AF29" s="13">
        <f t="shared" si="5"/>
        <v>1.33860861929652</v>
      </c>
      <c r="AG29" s="13">
        <f t="shared" si="5"/>
        <v>0.484393565971171</v>
      </c>
      <c r="AH29" s="13">
        <f t="shared" si="5"/>
        <v>0.276850063297842</v>
      </c>
      <c r="AI29" s="13">
        <f t="shared" si="5"/>
        <v>0.323006171801471</v>
      </c>
    </row>
    <row r="30" spans="1:35">
      <c r="A30" s="15" t="s">
        <v>33</v>
      </c>
      <c r="B30" s="2">
        <v>1.74445616283952</v>
      </c>
      <c r="C30" s="15"/>
      <c r="D30" s="14" t="s">
        <v>27</v>
      </c>
      <c r="E30" s="13">
        <f t="shared" si="4"/>
        <v>-6.33113930804034</v>
      </c>
      <c r="F30" s="13">
        <f t="shared" si="4"/>
        <v>-5.26075241820774</v>
      </c>
      <c r="G30" s="13">
        <f t="shared" si="4"/>
        <v>-1.10085034721537</v>
      </c>
      <c r="H30" s="13">
        <f t="shared" si="4"/>
        <v>-0.799465337204129</v>
      </c>
      <c r="I30" s="13">
        <f t="shared" si="4"/>
        <v>-2.52869634465462</v>
      </c>
      <c r="J30" s="13">
        <f t="shared" si="4"/>
        <v>-2.16273951873956</v>
      </c>
      <c r="K30" s="13">
        <f t="shared" si="4"/>
        <v>-1.40978754462724</v>
      </c>
      <c r="L30" s="13">
        <f t="shared" si="4"/>
        <v>-0.938012264875381</v>
      </c>
      <c r="M30" s="13">
        <f t="shared" si="4"/>
        <v>-6.68240210197577</v>
      </c>
      <c r="N30" s="13">
        <f t="shared" si="4"/>
        <v>-4.16512156995601</v>
      </c>
      <c r="O30" s="13">
        <f t="shared" si="4"/>
        <v>-3.7342601536778</v>
      </c>
      <c r="P30" s="13">
        <f t="shared" si="4"/>
        <v>-0.741987275265754</v>
      </c>
      <c r="Q30" s="13">
        <f t="shared" si="4"/>
        <v>-2.97426351922856</v>
      </c>
      <c r="R30" s="13">
        <f t="shared" si="4"/>
        <v>-0.715446857404927</v>
      </c>
      <c r="S30" s="13">
        <f t="shared" si="4"/>
        <v>-2.47306002834122</v>
      </c>
      <c r="T30" s="13">
        <f t="shared" si="4"/>
        <v>-0.93145332147213</v>
      </c>
      <c r="U30" s="13">
        <f t="shared" si="5"/>
        <v>-1.59795707485856</v>
      </c>
      <c r="V30" s="13">
        <f t="shared" si="5"/>
        <v>-1.05136065962703</v>
      </c>
      <c r="W30" s="13">
        <f t="shared" si="5"/>
        <v>-3.0480348630142</v>
      </c>
      <c r="X30" s="13">
        <f t="shared" si="5"/>
        <v>-0.480827034080513</v>
      </c>
      <c r="Y30" s="13">
        <f t="shared" si="5"/>
        <v>-0.974532930959976</v>
      </c>
      <c r="Z30" s="13">
        <f t="shared" si="5"/>
        <v>-1.58553621303791</v>
      </c>
      <c r="AA30" s="13">
        <f t="shared" si="5"/>
        <v>-0.752814293804947</v>
      </c>
      <c r="AB30" s="13">
        <f t="shared" si="5"/>
        <v>-0.0995315119920255</v>
      </c>
      <c r="AC30" s="13">
        <f t="shared" si="5"/>
        <v>-0.262785588329701</v>
      </c>
      <c r="AD30" s="13">
        <f t="shared" si="5"/>
        <v>-0.438508975785561</v>
      </c>
      <c r="AE30" s="13">
        <f t="shared" si="5"/>
        <v>-1.33860861929652</v>
      </c>
      <c r="AF30" s="13">
        <f t="shared" si="5"/>
        <v>0</v>
      </c>
      <c r="AG30" s="13">
        <f t="shared" si="5"/>
        <v>-0.854215053325349</v>
      </c>
      <c r="AH30" s="13">
        <f t="shared" si="5"/>
        <v>-1.06175855599868</v>
      </c>
      <c r="AI30" s="13">
        <f t="shared" si="5"/>
        <v>-1.01560244749505</v>
      </c>
    </row>
    <row r="31" spans="1:35">
      <c r="A31" s="15" t="s">
        <v>33</v>
      </c>
      <c r="B31" s="2">
        <v>2.59867121616487</v>
      </c>
      <c r="C31" s="15"/>
      <c r="D31" s="14" t="s">
        <v>28</v>
      </c>
      <c r="E31" s="13">
        <f t="shared" si="4"/>
        <v>-5.476924254715</v>
      </c>
      <c r="F31" s="13">
        <f t="shared" si="4"/>
        <v>-4.40653736488239</v>
      </c>
      <c r="G31" s="13">
        <f t="shared" si="4"/>
        <v>-0.246635293890018</v>
      </c>
      <c r="H31" s="13">
        <f t="shared" si="4"/>
        <v>0.0547497161212198</v>
      </c>
      <c r="I31" s="13">
        <f t="shared" si="4"/>
        <v>-1.67448129132927</v>
      </c>
      <c r="J31" s="13">
        <f t="shared" si="4"/>
        <v>-1.30852446541421</v>
      </c>
      <c r="K31" s="13">
        <f t="shared" si="4"/>
        <v>-0.555572491301894</v>
      </c>
      <c r="L31" s="13">
        <f t="shared" si="4"/>
        <v>-0.0837972115500318</v>
      </c>
      <c r="M31" s="13">
        <f t="shared" si="4"/>
        <v>-5.82818704865042</v>
      </c>
      <c r="N31" s="13">
        <f t="shared" si="4"/>
        <v>-3.31090651663066</v>
      </c>
      <c r="O31" s="13">
        <f t="shared" si="4"/>
        <v>-2.88004510035245</v>
      </c>
      <c r="P31" s="13">
        <f t="shared" si="4"/>
        <v>0.112227778059595</v>
      </c>
      <c r="Q31" s="13">
        <f t="shared" si="4"/>
        <v>-2.12004846590321</v>
      </c>
      <c r="R31" s="13">
        <f t="shared" si="4"/>
        <v>0.138768195920422</v>
      </c>
      <c r="S31" s="13">
        <f t="shared" si="4"/>
        <v>-1.61884497501587</v>
      </c>
      <c r="T31" s="13">
        <f t="shared" si="4"/>
        <v>-0.0772382681467807</v>
      </c>
      <c r="U31" s="13">
        <f t="shared" si="5"/>
        <v>-0.743742021533215</v>
      </c>
      <c r="V31" s="13">
        <f t="shared" si="5"/>
        <v>-0.19714560630168</v>
      </c>
      <c r="W31" s="13">
        <f t="shared" si="5"/>
        <v>-2.19381980968885</v>
      </c>
      <c r="X31" s="13">
        <f t="shared" si="5"/>
        <v>0.373388019244837</v>
      </c>
      <c r="Y31" s="13">
        <f t="shared" si="5"/>
        <v>-0.120317877634627</v>
      </c>
      <c r="Z31" s="13">
        <f t="shared" si="5"/>
        <v>-0.731321159712565</v>
      </c>
      <c r="AA31" s="13">
        <f t="shared" si="5"/>
        <v>0.101400759520402</v>
      </c>
      <c r="AB31" s="13">
        <f t="shared" si="5"/>
        <v>0.754683541333324</v>
      </c>
      <c r="AC31" s="13">
        <f t="shared" si="5"/>
        <v>0.591429464995648</v>
      </c>
      <c r="AD31" s="13">
        <f t="shared" si="5"/>
        <v>0.415706077539788</v>
      </c>
      <c r="AE31" s="13">
        <f t="shared" si="5"/>
        <v>-0.484393565971171</v>
      </c>
      <c r="AF31" s="13">
        <f t="shared" si="5"/>
        <v>0.854215053325349</v>
      </c>
      <c r="AG31" s="13">
        <f t="shared" si="5"/>
        <v>0</v>
      </c>
      <c r="AH31" s="13">
        <f t="shared" si="5"/>
        <v>-0.207543502673329</v>
      </c>
      <c r="AI31" s="13">
        <f t="shared" si="5"/>
        <v>-0.161387394169699</v>
      </c>
    </row>
    <row r="32" spans="1:35">
      <c r="A32" s="15" t="s">
        <v>33</v>
      </c>
      <c r="B32" s="2">
        <v>2.80621471883819</v>
      </c>
      <c r="C32" s="15"/>
      <c r="D32" s="14" t="s">
        <v>29</v>
      </c>
      <c r="E32" s="13">
        <f t="shared" si="4"/>
        <v>-5.26938075204167</v>
      </c>
      <c r="F32" s="13">
        <f t="shared" si="4"/>
        <v>-4.19899386220906</v>
      </c>
      <c r="G32" s="13">
        <f t="shared" si="4"/>
        <v>-0.0390917912166895</v>
      </c>
      <c r="H32" s="13">
        <f t="shared" si="4"/>
        <v>0.262293218794548</v>
      </c>
      <c r="I32" s="13">
        <f t="shared" si="4"/>
        <v>-1.46693778865594</v>
      </c>
      <c r="J32" s="13">
        <f t="shared" si="4"/>
        <v>-1.10098096274088</v>
      </c>
      <c r="K32" s="13">
        <f t="shared" si="4"/>
        <v>-0.348028988628565</v>
      </c>
      <c r="L32" s="13">
        <f t="shared" si="4"/>
        <v>0.123746291123297</v>
      </c>
      <c r="M32" s="13">
        <f t="shared" si="4"/>
        <v>-5.6206435459771</v>
      </c>
      <c r="N32" s="13">
        <f t="shared" si="4"/>
        <v>-3.10336301395733</v>
      </c>
      <c r="O32" s="13">
        <f t="shared" si="4"/>
        <v>-2.67250159767913</v>
      </c>
      <c r="P32" s="13">
        <f t="shared" si="4"/>
        <v>0.319771280732924</v>
      </c>
      <c r="Q32" s="13">
        <f t="shared" si="4"/>
        <v>-1.91250496322988</v>
      </c>
      <c r="R32" s="13">
        <f t="shared" si="4"/>
        <v>0.346311698593751</v>
      </c>
      <c r="S32" s="13">
        <f t="shared" si="4"/>
        <v>-1.41130147234255</v>
      </c>
      <c r="T32" s="13">
        <f t="shared" si="4"/>
        <v>0.130305234526548</v>
      </c>
      <c r="U32" s="13">
        <f t="shared" si="5"/>
        <v>-0.536198518859887</v>
      </c>
      <c r="V32" s="13">
        <f t="shared" si="5"/>
        <v>0.0103978963716487</v>
      </c>
      <c r="W32" s="13">
        <f t="shared" si="5"/>
        <v>-1.98627630701552</v>
      </c>
      <c r="X32" s="13">
        <f t="shared" si="5"/>
        <v>0.580931521918165</v>
      </c>
      <c r="Y32" s="13">
        <f t="shared" si="5"/>
        <v>0.0872256250387013</v>
      </c>
      <c r="Z32" s="13">
        <f t="shared" si="5"/>
        <v>-0.523777657039237</v>
      </c>
      <c r="AA32" s="13">
        <f t="shared" si="5"/>
        <v>0.308944262193731</v>
      </c>
      <c r="AB32" s="13">
        <f t="shared" si="5"/>
        <v>0.962227044006652</v>
      </c>
      <c r="AC32" s="13">
        <f t="shared" si="5"/>
        <v>0.798972967668977</v>
      </c>
      <c r="AD32" s="13">
        <f t="shared" si="5"/>
        <v>0.623249580213117</v>
      </c>
      <c r="AE32" s="13">
        <f t="shared" si="5"/>
        <v>-0.276850063297842</v>
      </c>
      <c r="AF32" s="13">
        <f t="shared" si="5"/>
        <v>1.06175855599868</v>
      </c>
      <c r="AG32" s="13">
        <f t="shared" si="5"/>
        <v>0.207543502673329</v>
      </c>
      <c r="AH32" s="13">
        <f t="shared" si="5"/>
        <v>0</v>
      </c>
      <c r="AI32" s="13">
        <f t="shared" si="5"/>
        <v>0.0461561085036291</v>
      </c>
    </row>
    <row r="33" spans="1:35">
      <c r="A33" s="15" t="s">
        <v>33</v>
      </c>
      <c r="B33" s="2">
        <v>2.76005861033457</v>
      </c>
      <c r="C33" s="15"/>
      <c r="D33" s="14" t="s">
        <v>30</v>
      </c>
      <c r="E33" s="13">
        <f t="shared" si="4"/>
        <v>-5.3155368605453</v>
      </c>
      <c r="F33" s="13">
        <f t="shared" si="4"/>
        <v>-4.24514997071269</v>
      </c>
      <c r="G33" s="13">
        <f t="shared" si="4"/>
        <v>-0.0852478997203185</v>
      </c>
      <c r="H33" s="13">
        <f t="shared" si="4"/>
        <v>0.216137110290919</v>
      </c>
      <c r="I33" s="13">
        <f t="shared" si="4"/>
        <v>-1.51309389715957</v>
      </c>
      <c r="J33" s="13">
        <f t="shared" si="4"/>
        <v>-1.14713707124451</v>
      </c>
      <c r="K33" s="13">
        <f t="shared" si="4"/>
        <v>-0.394185097132194</v>
      </c>
      <c r="L33" s="13">
        <f t="shared" si="4"/>
        <v>0.0775901826196677</v>
      </c>
      <c r="M33" s="13">
        <f t="shared" si="4"/>
        <v>-5.66679965448072</v>
      </c>
      <c r="N33" s="13">
        <f t="shared" si="4"/>
        <v>-3.14951912246096</v>
      </c>
      <c r="O33" s="13">
        <f t="shared" si="4"/>
        <v>-2.71865770618275</v>
      </c>
      <c r="P33" s="13">
        <f t="shared" si="4"/>
        <v>0.273615172229295</v>
      </c>
      <c r="Q33" s="13">
        <f t="shared" si="4"/>
        <v>-1.95866107173351</v>
      </c>
      <c r="R33" s="13">
        <f t="shared" si="4"/>
        <v>0.300155590090122</v>
      </c>
      <c r="S33" s="13">
        <f t="shared" si="4"/>
        <v>-1.45745758084617</v>
      </c>
      <c r="T33" s="13">
        <f t="shared" si="4"/>
        <v>0.0841491260229188</v>
      </c>
      <c r="U33" s="13">
        <f t="shared" si="5"/>
        <v>-0.582354627363516</v>
      </c>
      <c r="V33" s="13">
        <f t="shared" si="5"/>
        <v>-0.0357582121319804</v>
      </c>
      <c r="W33" s="13">
        <f t="shared" si="5"/>
        <v>-2.03243241551915</v>
      </c>
      <c r="X33" s="13">
        <f t="shared" si="5"/>
        <v>0.534775413414536</v>
      </c>
      <c r="Y33" s="13">
        <f t="shared" si="5"/>
        <v>0.0410695165350723</v>
      </c>
      <c r="Z33" s="13">
        <f t="shared" si="5"/>
        <v>-0.569933765542866</v>
      </c>
      <c r="AA33" s="13">
        <f t="shared" si="5"/>
        <v>0.262788153690102</v>
      </c>
      <c r="AB33" s="13">
        <f t="shared" si="5"/>
        <v>0.916070935503023</v>
      </c>
      <c r="AC33" s="13">
        <f t="shared" si="5"/>
        <v>0.752816859165348</v>
      </c>
      <c r="AD33" s="13">
        <f t="shared" si="5"/>
        <v>0.577093471709488</v>
      </c>
      <c r="AE33" s="13">
        <f t="shared" si="5"/>
        <v>-0.323006171801471</v>
      </c>
      <c r="AF33" s="13">
        <f t="shared" si="5"/>
        <v>1.01560244749505</v>
      </c>
      <c r="AG33" s="13">
        <f t="shared" si="5"/>
        <v>0.161387394169699</v>
      </c>
      <c r="AH33" s="13">
        <f t="shared" si="5"/>
        <v>-0.0461561085036291</v>
      </c>
      <c r="AI33" s="13">
        <f t="shared" si="5"/>
        <v>0</v>
      </c>
    </row>
    <row r="35" spans="2:35">
      <c r="B35" s="16" t="s">
        <v>34</v>
      </c>
      <c r="C35" s="16"/>
      <c r="E35" s="14" t="s">
        <v>0</v>
      </c>
      <c r="F35" s="14" t="s">
        <v>1</v>
      </c>
      <c r="G35" s="14" t="s">
        <v>2</v>
      </c>
      <c r="H35" s="14" t="s">
        <v>3</v>
      </c>
      <c r="I35" s="14" t="s">
        <v>4</v>
      </c>
      <c r="J35" s="14" t="s">
        <v>5</v>
      </c>
      <c r="K35" s="14" t="s">
        <v>6</v>
      </c>
      <c r="L35" s="14" t="s">
        <v>7</v>
      </c>
      <c r="M35" s="14" t="s">
        <v>8</v>
      </c>
      <c r="N35" s="14" t="s">
        <v>9</v>
      </c>
      <c r="O35" s="14" t="s">
        <v>10</v>
      </c>
      <c r="P35" s="14" t="s">
        <v>11</v>
      </c>
      <c r="Q35" s="14" t="s">
        <v>12</v>
      </c>
      <c r="R35" s="14" t="s">
        <v>13</v>
      </c>
      <c r="S35" s="14" t="s">
        <v>14</v>
      </c>
      <c r="T35" s="14" t="s">
        <v>15</v>
      </c>
      <c r="U35" s="14" t="s">
        <v>16</v>
      </c>
      <c r="V35" s="14" t="s">
        <v>17</v>
      </c>
      <c r="W35" s="14" t="s">
        <v>18</v>
      </c>
      <c r="X35" s="14" t="s">
        <v>19</v>
      </c>
      <c r="Y35" s="14" t="s">
        <v>20</v>
      </c>
      <c r="Z35" s="14" t="s">
        <v>21</v>
      </c>
      <c r="AA35" s="14" t="s">
        <v>22</v>
      </c>
      <c r="AB35" s="14" t="s">
        <v>23</v>
      </c>
      <c r="AC35" s="14" t="s">
        <v>24</v>
      </c>
      <c r="AD35" s="14" t="s">
        <v>25</v>
      </c>
      <c r="AE35" s="14" t="s">
        <v>26</v>
      </c>
      <c r="AF35" s="14" t="s">
        <v>27</v>
      </c>
      <c r="AG35" s="14" t="s">
        <v>28</v>
      </c>
      <c r="AH35" s="14" t="s">
        <v>29</v>
      </c>
      <c r="AI35" s="14" t="s">
        <v>30</v>
      </c>
    </row>
    <row r="36" spans="4:66">
      <c r="D36" s="14" t="s">
        <v>0</v>
      </c>
      <c r="E36" s="13">
        <v>0</v>
      </c>
      <c r="F36" s="13">
        <f t="shared" ref="F36:AC36" si="6">1/ABS(F3)</f>
        <v>0.93424163683132</v>
      </c>
      <c r="G36" s="13">
        <f t="shared" si="6"/>
        <v>0.191194025318683</v>
      </c>
      <c r="H36" s="13">
        <f t="shared" si="6"/>
        <v>0.180777103869849</v>
      </c>
      <c r="I36" s="13">
        <f t="shared" si="6"/>
        <v>0.262988823140582</v>
      </c>
      <c r="J36" s="13">
        <f t="shared" si="6"/>
        <v>0.239900213642353</v>
      </c>
      <c r="K36" s="13">
        <f t="shared" si="6"/>
        <v>0.203196204635141</v>
      </c>
      <c r="L36" s="13">
        <f t="shared" si="6"/>
        <v>0.185421183665117</v>
      </c>
      <c r="M36" s="13">
        <f t="shared" si="6"/>
        <v>2.84687139448029</v>
      </c>
      <c r="N36" s="13">
        <f t="shared" si="6"/>
        <v>0.461676736259979</v>
      </c>
      <c r="O36" s="13">
        <f t="shared" si="6"/>
        <v>0.385077602983598</v>
      </c>
      <c r="P36" s="13">
        <f t="shared" si="6"/>
        <v>0.178918017283487</v>
      </c>
      <c r="Q36" s="13">
        <f t="shared" si="6"/>
        <v>0.297896038731288</v>
      </c>
      <c r="R36" s="13">
        <f t="shared" si="6"/>
        <v>0.178072429854461</v>
      </c>
      <c r="S36" s="13">
        <f t="shared" si="6"/>
        <v>0.259196332553847</v>
      </c>
      <c r="T36" s="13">
        <f t="shared" si="6"/>
        <v>0.185195954447631</v>
      </c>
      <c r="U36" s="13">
        <f t="shared" si="6"/>
        <v>0.211274350053446</v>
      </c>
      <c r="V36" s="13">
        <f t="shared" si="6"/>
        <v>0.189401879622457</v>
      </c>
      <c r="W36" s="13">
        <f t="shared" si="6"/>
        <v>0.304589761533473</v>
      </c>
      <c r="X36" s="13">
        <f t="shared" si="6"/>
        <v>0.170931046612857</v>
      </c>
      <c r="Y36" s="13">
        <f t="shared" si="6"/>
        <v>0.186685361888594</v>
      </c>
      <c r="Z36" s="13">
        <f t="shared" si="6"/>
        <v>0.210721373022766</v>
      </c>
      <c r="AA36" s="13">
        <f t="shared" si="6"/>
        <v>0.179265280787349</v>
      </c>
      <c r="AB36" s="13">
        <f t="shared" si="6"/>
        <v>0.160472230077467</v>
      </c>
      <c r="AC36" s="13">
        <f t="shared" si="6"/>
        <v>0.164789339281904</v>
      </c>
      <c r="AD36" s="13">
        <f t="shared" ref="AD36:AF45" si="7">1/ABS(AD3)</f>
        <v>0.16970350142724</v>
      </c>
      <c r="AE36" s="13">
        <f t="shared" si="7"/>
        <v>0.200299219442878</v>
      </c>
      <c r="AF36" s="13">
        <f t="shared" si="7"/>
        <v>0.157949454489184</v>
      </c>
      <c r="AG36" s="13">
        <f t="shared" ref="AG36:AI45" si="8">1/ABS(AG3)</f>
        <v>0.182584230398862</v>
      </c>
      <c r="AH36" s="13">
        <f t="shared" si="8"/>
        <v>0.189775620145221</v>
      </c>
      <c r="AI36" s="13">
        <f t="shared" si="8"/>
        <v>0.188127751953434</v>
      </c>
      <c r="AJ36" s="13">
        <f>SUM(E36:AI36)</f>
        <v>9.85719409843476</v>
      </c>
      <c r="AK36" s="13">
        <f>$AJ36</f>
        <v>9.85719409843476</v>
      </c>
      <c r="AL36" s="13">
        <f t="shared" ref="AL36:BN44" si="9">$AJ36</f>
        <v>9.85719409843476</v>
      </c>
      <c r="AM36" s="13">
        <f t="shared" si="9"/>
        <v>9.85719409843476</v>
      </c>
      <c r="AN36" s="13">
        <f t="shared" si="9"/>
        <v>9.85719409843476</v>
      </c>
      <c r="AO36" s="13">
        <f t="shared" si="9"/>
        <v>9.85719409843476</v>
      </c>
      <c r="AP36" s="13">
        <f t="shared" si="9"/>
        <v>9.85719409843476</v>
      </c>
      <c r="AQ36" s="13">
        <f t="shared" si="9"/>
        <v>9.85719409843476</v>
      </c>
      <c r="AR36" s="13">
        <f t="shared" si="9"/>
        <v>9.85719409843476</v>
      </c>
      <c r="AS36" s="13">
        <f t="shared" si="9"/>
        <v>9.85719409843476</v>
      </c>
      <c r="AT36" s="13">
        <f t="shared" si="9"/>
        <v>9.85719409843476</v>
      </c>
      <c r="AU36" s="13">
        <f t="shared" si="9"/>
        <v>9.85719409843476</v>
      </c>
      <c r="AV36" s="13">
        <f t="shared" si="9"/>
        <v>9.85719409843476</v>
      </c>
      <c r="AW36" s="13">
        <f t="shared" si="9"/>
        <v>9.85719409843476</v>
      </c>
      <c r="AX36" s="13">
        <f t="shared" si="9"/>
        <v>9.85719409843476</v>
      </c>
      <c r="AY36" s="13">
        <f t="shared" si="9"/>
        <v>9.85719409843476</v>
      </c>
      <c r="AZ36" s="13">
        <f t="shared" si="9"/>
        <v>9.85719409843476</v>
      </c>
      <c r="BA36" s="13">
        <f t="shared" si="9"/>
        <v>9.85719409843476</v>
      </c>
      <c r="BB36" s="13">
        <f t="shared" si="9"/>
        <v>9.85719409843476</v>
      </c>
      <c r="BC36" s="13">
        <f t="shared" si="9"/>
        <v>9.85719409843476</v>
      </c>
      <c r="BD36" s="13">
        <f t="shared" si="9"/>
        <v>9.85719409843476</v>
      </c>
      <c r="BE36" s="13">
        <f t="shared" si="9"/>
        <v>9.85719409843476</v>
      </c>
      <c r="BF36" s="13">
        <f t="shared" si="9"/>
        <v>9.85719409843476</v>
      </c>
      <c r="BG36" s="13">
        <f t="shared" si="9"/>
        <v>9.85719409843476</v>
      </c>
      <c r="BH36" s="13">
        <f t="shared" si="9"/>
        <v>9.85719409843476</v>
      </c>
      <c r="BI36" s="13">
        <f t="shared" si="9"/>
        <v>9.85719409843476</v>
      </c>
      <c r="BJ36" s="13">
        <f t="shared" si="9"/>
        <v>9.85719409843476</v>
      </c>
      <c r="BK36" s="13">
        <f t="shared" si="9"/>
        <v>9.85719409843476</v>
      </c>
      <c r="BL36" s="13">
        <f t="shared" si="9"/>
        <v>9.85719409843476</v>
      </c>
      <c r="BM36" s="13">
        <f t="shared" si="9"/>
        <v>9.85719409843476</v>
      </c>
      <c r="BN36" s="13">
        <f t="shared" si="9"/>
        <v>9.85719409843476</v>
      </c>
    </row>
    <row r="37" spans="4:66">
      <c r="D37" s="14" t="s">
        <v>1</v>
      </c>
      <c r="E37" s="13">
        <f t="shared" ref="E37:E66" si="10">1/ABS(E4)</f>
        <v>0.93424163683132</v>
      </c>
      <c r="F37" s="13">
        <v>0</v>
      </c>
      <c r="G37" s="13">
        <f t="shared" ref="G37:AC37" si="11">1/ABS(G4)</f>
        <v>0.240390274322358</v>
      </c>
      <c r="H37" s="13">
        <f t="shared" si="11"/>
        <v>0.224150560554162</v>
      </c>
      <c r="I37" s="13">
        <f t="shared" si="11"/>
        <v>0.366024698277686</v>
      </c>
      <c r="J37" s="13">
        <f t="shared" si="11"/>
        <v>0.322787552037522</v>
      </c>
      <c r="K37" s="13">
        <f t="shared" si="11"/>
        <v>0.259675180851555</v>
      </c>
      <c r="L37" s="13">
        <f t="shared" si="11"/>
        <v>0.231334747065264</v>
      </c>
      <c r="M37" s="13">
        <f t="shared" si="11"/>
        <v>0.703408168283436</v>
      </c>
      <c r="N37" s="13">
        <f t="shared" si="11"/>
        <v>0.912716177712294</v>
      </c>
      <c r="O37" s="13">
        <f t="shared" si="11"/>
        <v>0.655096670475391</v>
      </c>
      <c r="P37" s="13">
        <f t="shared" si="11"/>
        <v>0.221299396708398</v>
      </c>
      <c r="Q37" s="13">
        <f t="shared" si="11"/>
        <v>0.437351784409038</v>
      </c>
      <c r="R37" s="13">
        <f t="shared" si="11"/>
        <v>0.220007211093499</v>
      </c>
      <c r="S37" s="13">
        <f t="shared" si="11"/>
        <v>0.358719636224958</v>
      </c>
      <c r="T37" s="13">
        <f t="shared" si="11"/>
        <v>0.230984271970034</v>
      </c>
      <c r="U37" s="13">
        <f t="shared" si="11"/>
        <v>0.273015526738555</v>
      </c>
      <c r="V37" s="13">
        <f t="shared" si="11"/>
        <v>0.237564013366428</v>
      </c>
      <c r="W37" s="13">
        <f t="shared" si="11"/>
        <v>0.451932962547736</v>
      </c>
      <c r="X37" s="13">
        <f t="shared" si="11"/>
        <v>0.209208286665042</v>
      </c>
      <c r="Y37" s="13">
        <f t="shared" si="11"/>
        <v>0.233305831158477</v>
      </c>
      <c r="Z37" s="13">
        <f t="shared" si="11"/>
        <v>0.272092835951618</v>
      </c>
      <c r="AA37" s="13">
        <f t="shared" si="11"/>
        <v>0.221830906370854</v>
      </c>
      <c r="AB37" s="13">
        <f t="shared" si="11"/>
        <v>0.193752605860309</v>
      </c>
      <c r="AC37" s="13">
        <f t="shared" si="11"/>
        <v>0.200081359888577</v>
      </c>
      <c r="AD37" s="13">
        <f t="shared" si="7"/>
        <v>0.207372359346858</v>
      </c>
      <c r="AE37" s="13">
        <f t="shared" ref="AE37:AF45" si="12">1/ABS(AE4)</f>
        <v>0.254962604960481</v>
      </c>
      <c r="AF37" s="13">
        <f t="shared" si="12"/>
        <v>0.190086877409199</v>
      </c>
      <c r="AG37" s="13">
        <f t="shared" si="8"/>
        <v>0.226935554426347</v>
      </c>
      <c r="AH37" s="13">
        <f t="shared" si="8"/>
        <v>0.238152289051908</v>
      </c>
      <c r="AI37" s="13">
        <f t="shared" si="8"/>
        <v>0.235562938152717</v>
      </c>
      <c r="AJ37" s="13">
        <f t="shared" ref="AJ37:AJ66" si="13">SUM(E37:AI37)</f>
        <v>9.96404491871202</v>
      </c>
      <c r="AK37" s="13">
        <f t="shared" ref="AK37:AZ60" si="14">$AJ37</f>
        <v>9.96404491871202</v>
      </c>
      <c r="AL37" s="13">
        <f t="shared" si="9"/>
        <v>9.96404491871202</v>
      </c>
      <c r="AM37" s="13">
        <f t="shared" si="9"/>
        <v>9.96404491871202</v>
      </c>
      <c r="AN37" s="13">
        <f t="shared" si="9"/>
        <v>9.96404491871202</v>
      </c>
      <c r="AO37" s="13">
        <f t="shared" si="9"/>
        <v>9.96404491871202</v>
      </c>
      <c r="AP37" s="13">
        <f t="shared" si="9"/>
        <v>9.96404491871202</v>
      </c>
      <c r="AQ37" s="13">
        <f t="shared" si="9"/>
        <v>9.96404491871202</v>
      </c>
      <c r="AR37" s="13">
        <f t="shared" si="9"/>
        <v>9.96404491871202</v>
      </c>
      <c r="AS37" s="13">
        <f t="shared" si="9"/>
        <v>9.96404491871202</v>
      </c>
      <c r="AT37" s="13">
        <f t="shared" si="9"/>
        <v>9.96404491871202</v>
      </c>
      <c r="AU37" s="13">
        <f t="shared" si="9"/>
        <v>9.96404491871202</v>
      </c>
      <c r="AV37" s="13">
        <f t="shared" si="9"/>
        <v>9.96404491871202</v>
      </c>
      <c r="AW37" s="13">
        <f t="shared" si="9"/>
        <v>9.96404491871202</v>
      </c>
      <c r="AX37" s="13">
        <f t="shared" si="9"/>
        <v>9.96404491871202</v>
      </c>
      <c r="AY37" s="13">
        <f t="shared" si="9"/>
        <v>9.96404491871202</v>
      </c>
      <c r="AZ37" s="13">
        <f t="shared" si="9"/>
        <v>9.96404491871202</v>
      </c>
      <c r="BA37" s="13">
        <f t="shared" si="9"/>
        <v>9.96404491871202</v>
      </c>
      <c r="BB37" s="13">
        <f t="shared" si="9"/>
        <v>9.96404491871202</v>
      </c>
      <c r="BC37" s="13">
        <f t="shared" si="9"/>
        <v>9.96404491871202</v>
      </c>
      <c r="BD37" s="13">
        <f t="shared" si="9"/>
        <v>9.96404491871202</v>
      </c>
      <c r="BE37" s="13">
        <f t="shared" si="9"/>
        <v>9.96404491871202</v>
      </c>
      <c r="BF37" s="13">
        <f t="shared" si="9"/>
        <v>9.96404491871202</v>
      </c>
      <c r="BG37" s="13">
        <f t="shared" si="9"/>
        <v>9.96404491871202</v>
      </c>
      <c r="BH37" s="13">
        <f t="shared" si="9"/>
        <v>9.96404491871202</v>
      </c>
      <c r="BI37" s="13">
        <f t="shared" si="9"/>
        <v>9.96404491871202</v>
      </c>
      <c r="BJ37" s="13">
        <f t="shared" si="9"/>
        <v>9.96404491871202</v>
      </c>
      <c r="BK37" s="13">
        <f t="shared" si="9"/>
        <v>9.96404491871202</v>
      </c>
      <c r="BL37" s="13">
        <f t="shared" si="9"/>
        <v>9.96404491871202</v>
      </c>
      <c r="BM37" s="13">
        <f t="shared" si="9"/>
        <v>9.96404491871202</v>
      </c>
      <c r="BN37" s="13">
        <f t="shared" si="9"/>
        <v>9.96404491871202</v>
      </c>
    </row>
    <row r="38" spans="4:66">
      <c r="D38" s="14" t="s">
        <v>2</v>
      </c>
      <c r="E38" s="13">
        <f t="shared" si="10"/>
        <v>0.191194025318683</v>
      </c>
      <c r="F38" s="13">
        <f t="shared" ref="F38:F60" si="15">1/ABS(F5)</f>
        <v>0.240390274322358</v>
      </c>
      <c r="G38" s="13">
        <v>0</v>
      </c>
      <c r="H38" s="13">
        <f t="shared" ref="H38:AC38" si="16">1/ABS(H5)</f>
        <v>3.31801505311333</v>
      </c>
      <c r="I38" s="13">
        <f t="shared" si="16"/>
        <v>0.700355641850335</v>
      </c>
      <c r="J38" s="13">
        <f t="shared" si="16"/>
        <v>0.941717861728117</v>
      </c>
      <c r="K38" s="13">
        <f t="shared" si="16"/>
        <v>3.23690383798879</v>
      </c>
      <c r="L38" s="13">
        <f t="shared" si="16"/>
        <v>6.14106961731544</v>
      </c>
      <c r="M38" s="13">
        <f t="shared" si="16"/>
        <v>0.179161646068608</v>
      </c>
      <c r="N38" s="13">
        <f t="shared" si="16"/>
        <v>0.326341869668317</v>
      </c>
      <c r="O38" s="13">
        <f t="shared" si="16"/>
        <v>0.37973580775236</v>
      </c>
      <c r="P38" s="13">
        <f t="shared" si="16"/>
        <v>2.78657816355205</v>
      </c>
      <c r="Q38" s="13">
        <f t="shared" si="16"/>
        <v>0.533785080055452</v>
      </c>
      <c r="R38" s="13">
        <f t="shared" si="16"/>
        <v>2.59468330318401</v>
      </c>
      <c r="S38" s="13">
        <f t="shared" si="16"/>
        <v>0.72875159952197</v>
      </c>
      <c r="T38" s="13">
        <f t="shared" si="16"/>
        <v>5.90329136897448</v>
      </c>
      <c r="U38" s="13">
        <f t="shared" si="16"/>
        <v>2.01164044739656</v>
      </c>
      <c r="V38" s="13">
        <f t="shared" si="16"/>
        <v>20.2062297971677</v>
      </c>
      <c r="W38" s="13">
        <f t="shared" si="16"/>
        <v>0.513562013197168</v>
      </c>
      <c r="X38" s="13">
        <f t="shared" si="16"/>
        <v>1.61284257997328</v>
      </c>
      <c r="Y38" s="13">
        <f t="shared" si="16"/>
        <v>7.91656471169567</v>
      </c>
      <c r="Z38" s="13">
        <f t="shared" si="16"/>
        <v>2.0631919981882</v>
      </c>
      <c r="AA38" s="13">
        <f t="shared" si="16"/>
        <v>2.87326554304061</v>
      </c>
      <c r="AB38" s="13">
        <f t="shared" si="16"/>
        <v>0.998682901812141</v>
      </c>
      <c r="AC38" s="13">
        <f t="shared" si="16"/>
        <v>1.19322521248794</v>
      </c>
      <c r="AD38" s="13">
        <f t="shared" si="7"/>
        <v>1.5097954667112</v>
      </c>
      <c r="AE38" s="13">
        <f t="shared" si="12"/>
        <v>4.20595250481412</v>
      </c>
      <c r="AF38" s="13">
        <f t="shared" si="12"/>
        <v>0.908388685646082</v>
      </c>
      <c r="AG38" s="13">
        <f t="shared" si="8"/>
        <v>4.05456974234162</v>
      </c>
      <c r="AH38" s="13">
        <f t="shared" si="8"/>
        <v>25.5808180918829</v>
      </c>
      <c r="AI38" s="13">
        <f t="shared" si="8"/>
        <v>11.7304942793993</v>
      </c>
      <c r="AJ38" s="13">
        <f t="shared" si="13"/>
        <v>115.581199126169</v>
      </c>
      <c r="AK38" s="13">
        <f t="shared" si="14"/>
        <v>115.581199126169</v>
      </c>
      <c r="AL38" s="13">
        <f t="shared" si="9"/>
        <v>115.581199126169</v>
      </c>
      <c r="AM38" s="13">
        <f t="shared" si="9"/>
        <v>115.581199126169</v>
      </c>
      <c r="AN38" s="13">
        <f t="shared" si="9"/>
        <v>115.581199126169</v>
      </c>
      <c r="AO38" s="13">
        <f t="shared" si="9"/>
        <v>115.581199126169</v>
      </c>
      <c r="AP38" s="13">
        <f t="shared" si="9"/>
        <v>115.581199126169</v>
      </c>
      <c r="AQ38" s="13">
        <f t="shared" si="9"/>
        <v>115.581199126169</v>
      </c>
      <c r="AR38" s="13">
        <f t="shared" si="9"/>
        <v>115.581199126169</v>
      </c>
      <c r="AS38" s="13">
        <f t="shared" si="9"/>
        <v>115.581199126169</v>
      </c>
      <c r="AT38" s="13">
        <f t="shared" si="9"/>
        <v>115.581199126169</v>
      </c>
      <c r="AU38" s="13">
        <f t="shared" si="9"/>
        <v>115.581199126169</v>
      </c>
      <c r="AV38" s="13">
        <f t="shared" si="9"/>
        <v>115.581199126169</v>
      </c>
      <c r="AW38" s="13">
        <f t="shared" si="9"/>
        <v>115.581199126169</v>
      </c>
      <c r="AX38" s="13">
        <f t="shared" si="9"/>
        <v>115.581199126169</v>
      </c>
      <c r="AY38" s="13">
        <f t="shared" si="9"/>
        <v>115.581199126169</v>
      </c>
      <c r="AZ38" s="13">
        <f t="shared" si="9"/>
        <v>115.581199126169</v>
      </c>
      <c r="BA38" s="13">
        <f t="shared" si="9"/>
        <v>115.581199126169</v>
      </c>
      <c r="BB38" s="13">
        <f t="shared" si="9"/>
        <v>115.581199126169</v>
      </c>
      <c r="BC38" s="13">
        <f t="shared" si="9"/>
        <v>115.581199126169</v>
      </c>
      <c r="BD38" s="13">
        <f t="shared" si="9"/>
        <v>115.581199126169</v>
      </c>
      <c r="BE38" s="13">
        <f t="shared" si="9"/>
        <v>115.581199126169</v>
      </c>
      <c r="BF38" s="13">
        <f t="shared" si="9"/>
        <v>115.581199126169</v>
      </c>
      <c r="BG38" s="13">
        <f t="shared" si="9"/>
        <v>115.581199126169</v>
      </c>
      <c r="BH38" s="13">
        <f t="shared" si="9"/>
        <v>115.581199126169</v>
      </c>
      <c r="BI38" s="13">
        <f t="shared" si="9"/>
        <v>115.581199126169</v>
      </c>
      <c r="BJ38" s="13">
        <f t="shared" si="9"/>
        <v>115.581199126169</v>
      </c>
      <c r="BK38" s="13">
        <f t="shared" si="9"/>
        <v>115.581199126169</v>
      </c>
      <c r="BL38" s="13">
        <f t="shared" si="9"/>
        <v>115.581199126169</v>
      </c>
      <c r="BM38" s="13">
        <f t="shared" si="9"/>
        <v>115.581199126169</v>
      </c>
      <c r="BN38" s="13">
        <f t="shared" si="9"/>
        <v>115.581199126169</v>
      </c>
    </row>
    <row r="39" spans="4:66">
      <c r="D39" s="14" t="s">
        <v>3</v>
      </c>
      <c r="E39" s="13">
        <f t="shared" si="10"/>
        <v>0.180777103869849</v>
      </c>
      <c r="F39" s="13">
        <f t="shared" si="15"/>
        <v>0.224150560554162</v>
      </c>
      <c r="G39" s="13">
        <f t="shared" ref="G39:G60" si="17">1/ABS(G6)</f>
        <v>3.31801505311333</v>
      </c>
      <c r="H39" s="13">
        <v>0</v>
      </c>
      <c r="I39" s="13">
        <f t="shared" ref="I39:AC39" si="18">1/ABS(I6)</f>
        <v>0.578291735280852</v>
      </c>
      <c r="J39" s="13">
        <f t="shared" si="18"/>
        <v>0.733528158564348</v>
      </c>
      <c r="K39" s="13">
        <f t="shared" si="18"/>
        <v>1.63847880322457</v>
      </c>
      <c r="L39" s="13">
        <f t="shared" si="18"/>
        <v>7.21777102392938</v>
      </c>
      <c r="M39" s="13">
        <f t="shared" si="18"/>
        <v>0.169983129172529</v>
      </c>
      <c r="N39" s="13">
        <f t="shared" si="18"/>
        <v>0.297118876927715</v>
      </c>
      <c r="O39" s="13">
        <f t="shared" si="18"/>
        <v>0.340739323371696</v>
      </c>
      <c r="P39" s="13">
        <f t="shared" si="18"/>
        <v>17.3979422109281</v>
      </c>
      <c r="Q39" s="13">
        <f t="shared" si="18"/>
        <v>0.459812780912453</v>
      </c>
      <c r="R39" s="13">
        <f t="shared" si="18"/>
        <v>11.9021434616518</v>
      </c>
      <c r="S39" s="13">
        <f t="shared" si="18"/>
        <v>0.597516235738396</v>
      </c>
      <c r="T39" s="13">
        <f t="shared" si="18"/>
        <v>7.57644724666382</v>
      </c>
      <c r="U39" s="13">
        <f t="shared" si="18"/>
        <v>1.25236111138419</v>
      </c>
      <c r="V39" s="13">
        <f t="shared" si="18"/>
        <v>3.96990301519426</v>
      </c>
      <c r="W39" s="13">
        <f t="shared" si="18"/>
        <v>0.444727187005587</v>
      </c>
      <c r="X39" s="13">
        <f t="shared" si="18"/>
        <v>3.13835464913346</v>
      </c>
      <c r="Y39" s="13">
        <f t="shared" si="18"/>
        <v>5.71207942341757</v>
      </c>
      <c r="Z39" s="13">
        <f t="shared" si="18"/>
        <v>1.27214991770214</v>
      </c>
      <c r="AA39" s="13">
        <f t="shared" si="18"/>
        <v>21.4357477804565</v>
      </c>
      <c r="AB39" s="13">
        <f t="shared" si="18"/>
        <v>1.42870649192724</v>
      </c>
      <c r="AC39" s="13">
        <f t="shared" si="18"/>
        <v>1.86330861579422</v>
      </c>
      <c r="AD39" s="13">
        <f t="shared" si="7"/>
        <v>2.77041799753846</v>
      </c>
      <c r="AE39" s="13">
        <f t="shared" si="12"/>
        <v>1.85479451050386</v>
      </c>
      <c r="AF39" s="13">
        <f t="shared" si="12"/>
        <v>1.25083596932067</v>
      </c>
      <c r="AG39" s="13">
        <f t="shared" si="8"/>
        <v>18.2649348863459</v>
      </c>
      <c r="AH39" s="13">
        <f t="shared" si="8"/>
        <v>3.81252708169817</v>
      </c>
      <c r="AI39" s="13">
        <f t="shared" si="8"/>
        <v>4.62669274449911</v>
      </c>
      <c r="AJ39" s="13">
        <f t="shared" si="13"/>
        <v>125.730257085824</v>
      </c>
      <c r="AK39" s="13">
        <f t="shared" si="14"/>
        <v>125.730257085824</v>
      </c>
      <c r="AL39" s="13">
        <f t="shared" si="9"/>
        <v>125.730257085824</v>
      </c>
      <c r="AM39" s="13">
        <f t="shared" si="9"/>
        <v>125.730257085824</v>
      </c>
      <c r="AN39" s="13">
        <f t="shared" si="9"/>
        <v>125.730257085824</v>
      </c>
      <c r="AO39" s="13">
        <f t="shared" si="9"/>
        <v>125.730257085824</v>
      </c>
      <c r="AP39" s="13">
        <f t="shared" si="9"/>
        <v>125.730257085824</v>
      </c>
      <c r="AQ39" s="13">
        <f t="shared" si="9"/>
        <v>125.730257085824</v>
      </c>
      <c r="AR39" s="13">
        <f t="shared" si="9"/>
        <v>125.730257085824</v>
      </c>
      <c r="AS39" s="13">
        <f t="shared" si="9"/>
        <v>125.730257085824</v>
      </c>
      <c r="AT39" s="13">
        <f t="shared" si="9"/>
        <v>125.730257085824</v>
      </c>
      <c r="AU39" s="13">
        <f t="shared" si="9"/>
        <v>125.730257085824</v>
      </c>
      <c r="AV39" s="13">
        <f t="shared" si="9"/>
        <v>125.730257085824</v>
      </c>
      <c r="AW39" s="13">
        <f t="shared" si="9"/>
        <v>125.730257085824</v>
      </c>
      <c r="AX39" s="13">
        <f t="shared" si="9"/>
        <v>125.730257085824</v>
      </c>
      <c r="AY39" s="13">
        <f t="shared" si="9"/>
        <v>125.730257085824</v>
      </c>
      <c r="AZ39" s="13">
        <f t="shared" si="9"/>
        <v>125.730257085824</v>
      </c>
      <c r="BA39" s="13">
        <f t="shared" si="9"/>
        <v>125.730257085824</v>
      </c>
      <c r="BB39" s="13">
        <f t="shared" si="9"/>
        <v>125.730257085824</v>
      </c>
      <c r="BC39" s="13">
        <f t="shared" si="9"/>
        <v>125.730257085824</v>
      </c>
      <c r="BD39" s="13">
        <f t="shared" si="9"/>
        <v>125.730257085824</v>
      </c>
      <c r="BE39" s="13">
        <f t="shared" si="9"/>
        <v>125.730257085824</v>
      </c>
      <c r="BF39" s="13">
        <f t="shared" si="9"/>
        <v>125.730257085824</v>
      </c>
      <c r="BG39" s="13">
        <f t="shared" si="9"/>
        <v>125.730257085824</v>
      </c>
      <c r="BH39" s="13">
        <f t="shared" si="9"/>
        <v>125.730257085824</v>
      </c>
      <c r="BI39" s="13">
        <f t="shared" si="9"/>
        <v>125.730257085824</v>
      </c>
      <c r="BJ39" s="13">
        <f t="shared" si="9"/>
        <v>125.730257085824</v>
      </c>
      <c r="BK39" s="13">
        <f t="shared" si="9"/>
        <v>125.730257085824</v>
      </c>
      <c r="BL39" s="13">
        <f t="shared" si="9"/>
        <v>125.730257085824</v>
      </c>
      <c r="BM39" s="13">
        <f t="shared" si="9"/>
        <v>125.730257085824</v>
      </c>
      <c r="BN39" s="13">
        <f t="shared" si="9"/>
        <v>125.730257085824</v>
      </c>
    </row>
    <row r="40" spans="4:66">
      <c r="D40" s="14" t="s">
        <v>4</v>
      </c>
      <c r="E40" s="13">
        <f t="shared" si="10"/>
        <v>0.262988823140582</v>
      </c>
      <c r="F40" s="13">
        <f t="shared" si="15"/>
        <v>0.366024698277686</v>
      </c>
      <c r="G40" s="13">
        <f t="shared" si="17"/>
        <v>0.700355641850335</v>
      </c>
      <c r="H40" s="13">
        <f t="shared" ref="H40:H60" si="19">1/ABS(H7)</f>
        <v>0.578291735280852</v>
      </c>
      <c r="I40" s="13">
        <v>0</v>
      </c>
      <c r="J40" s="13">
        <f t="shared" ref="J40:AC40" si="20">1/ABS(J7)</f>
        <v>2.73256277567586</v>
      </c>
      <c r="K40" s="13">
        <f t="shared" si="20"/>
        <v>0.893727889150153</v>
      </c>
      <c r="L40" s="13">
        <f t="shared" si="20"/>
        <v>0.628660343503773</v>
      </c>
      <c r="M40" s="13">
        <f t="shared" si="20"/>
        <v>0.240748877851408</v>
      </c>
      <c r="N40" s="13">
        <f t="shared" si="20"/>
        <v>0.611088111169777</v>
      </c>
      <c r="O40" s="13">
        <f t="shared" si="20"/>
        <v>0.829487408725597</v>
      </c>
      <c r="P40" s="13">
        <f t="shared" si="20"/>
        <v>0.559688209531529</v>
      </c>
      <c r="Q40" s="13">
        <f t="shared" si="20"/>
        <v>2.24433050068427</v>
      </c>
      <c r="R40" s="13">
        <f t="shared" si="20"/>
        <v>0.551496088669399</v>
      </c>
      <c r="S40" s="13">
        <f t="shared" si="20"/>
        <v>17.9738714972974</v>
      </c>
      <c r="T40" s="13">
        <f t="shared" si="20"/>
        <v>0.626078802966069</v>
      </c>
      <c r="U40" s="13">
        <f t="shared" si="20"/>
        <v>1.07441475013633</v>
      </c>
      <c r="V40" s="13">
        <f t="shared" si="20"/>
        <v>0.676894229344581</v>
      </c>
      <c r="W40" s="13">
        <f t="shared" si="20"/>
        <v>1.92552634678182</v>
      </c>
      <c r="X40" s="13">
        <f t="shared" si="20"/>
        <v>0.488312410775693</v>
      </c>
      <c r="Y40" s="13">
        <f t="shared" si="20"/>
        <v>0.643432982135864</v>
      </c>
      <c r="Z40" s="13">
        <f t="shared" si="20"/>
        <v>1.06026534252022</v>
      </c>
      <c r="AA40" s="13">
        <f t="shared" si="20"/>
        <v>0.56310046014686</v>
      </c>
      <c r="AB40" s="13">
        <f t="shared" si="20"/>
        <v>0.411664118693792</v>
      </c>
      <c r="AC40" s="13">
        <f t="shared" si="20"/>
        <v>0.441323647548194</v>
      </c>
      <c r="AD40" s="13">
        <f t="shared" si="7"/>
        <v>0.478426008545383</v>
      </c>
      <c r="AE40" s="13">
        <f t="shared" si="12"/>
        <v>0.840274190458604</v>
      </c>
      <c r="AF40" s="13">
        <f t="shared" si="12"/>
        <v>0.395460689502671</v>
      </c>
      <c r="AG40" s="13">
        <f t="shared" si="8"/>
        <v>0.597199864327035</v>
      </c>
      <c r="AH40" s="13">
        <f t="shared" si="8"/>
        <v>0.681692166997915</v>
      </c>
      <c r="AI40" s="13">
        <f t="shared" si="8"/>
        <v>0.660897517250735</v>
      </c>
      <c r="AJ40" s="13">
        <f t="shared" si="13"/>
        <v>40.7382861289404</v>
      </c>
      <c r="AK40" s="13">
        <f t="shared" si="14"/>
        <v>40.7382861289404</v>
      </c>
      <c r="AL40" s="13">
        <f t="shared" si="9"/>
        <v>40.7382861289404</v>
      </c>
      <c r="AM40" s="13">
        <f t="shared" si="9"/>
        <v>40.7382861289404</v>
      </c>
      <c r="AN40" s="13">
        <f t="shared" si="9"/>
        <v>40.7382861289404</v>
      </c>
      <c r="AO40" s="13">
        <f t="shared" si="9"/>
        <v>40.7382861289404</v>
      </c>
      <c r="AP40" s="13">
        <f t="shared" si="9"/>
        <v>40.7382861289404</v>
      </c>
      <c r="AQ40" s="13">
        <f t="shared" si="9"/>
        <v>40.7382861289404</v>
      </c>
      <c r="AR40" s="13">
        <f t="shared" si="9"/>
        <v>40.7382861289404</v>
      </c>
      <c r="AS40" s="13">
        <f t="shared" si="9"/>
        <v>40.7382861289404</v>
      </c>
      <c r="AT40" s="13">
        <f t="shared" si="9"/>
        <v>40.7382861289404</v>
      </c>
      <c r="AU40" s="13">
        <f t="shared" si="9"/>
        <v>40.7382861289404</v>
      </c>
      <c r="AV40" s="13">
        <f t="shared" si="9"/>
        <v>40.7382861289404</v>
      </c>
      <c r="AW40" s="13">
        <f t="shared" si="9"/>
        <v>40.7382861289404</v>
      </c>
      <c r="AX40" s="13">
        <f t="shared" si="9"/>
        <v>40.7382861289404</v>
      </c>
      <c r="AY40" s="13">
        <f t="shared" si="9"/>
        <v>40.7382861289404</v>
      </c>
      <c r="AZ40" s="13">
        <f t="shared" si="9"/>
        <v>40.7382861289404</v>
      </c>
      <c r="BA40" s="13">
        <f t="shared" si="9"/>
        <v>40.7382861289404</v>
      </c>
      <c r="BB40" s="13">
        <f t="shared" si="9"/>
        <v>40.7382861289404</v>
      </c>
      <c r="BC40" s="13">
        <f t="shared" si="9"/>
        <v>40.7382861289404</v>
      </c>
      <c r="BD40" s="13">
        <f t="shared" si="9"/>
        <v>40.7382861289404</v>
      </c>
      <c r="BE40" s="13">
        <f t="shared" si="9"/>
        <v>40.7382861289404</v>
      </c>
      <c r="BF40" s="13">
        <f t="shared" si="9"/>
        <v>40.7382861289404</v>
      </c>
      <c r="BG40" s="13">
        <f t="shared" si="9"/>
        <v>40.7382861289404</v>
      </c>
      <c r="BH40" s="13">
        <f t="shared" si="9"/>
        <v>40.7382861289404</v>
      </c>
      <c r="BI40" s="13">
        <f t="shared" si="9"/>
        <v>40.7382861289404</v>
      </c>
      <c r="BJ40" s="13">
        <f t="shared" si="9"/>
        <v>40.7382861289404</v>
      </c>
      <c r="BK40" s="13">
        <f t="shared" si="9"/>
        <v>40.7382861289404</v>
      </c>
      <c r="BL40" s="13">
        <f t="shared" si="9"/>
        <v>40.7382861289404</v>
      </c>
      <c r="BM40" s="13">
        <f t="shared" si="9"/>
        <v>40.7382861289404</v>
      </c>
      <c r="BN40" s="13">
        <f t="shared" si="9"/>
        <v>40.7382861289404</v>
      </c>
    </row>
    <row r="41" spans="4:66">
      <c r="D41" s="14" t="s">
        <v>5</v>
      </c>
      <c r="E41" s="13">
        <f t="shared" si="10"/>
        <v>0.239900213642353</v>
      </c>
      <c r="F41" s="13">
        <f t="shared" si="15"/>
        <v>0.322787552037522</v>
      </c>
      <c r="G41" s="13">
        <f t="shared" si="17"/>
        <v>0.941717861728117</v>
      </c>
      <c r="H41" s="13">
        <f t="shared" si="19"/>
        <v>0.733528158564348</v>
      </c>
      <c r="I41" s="13">
        <f t="shared" ref="I41:I60" si="21">1/ABS(I8)</f>
        <v>2.73256277567586</v>
      </c>
      <c r="J41" s="13">
        <v>0</v>
      </c>
      <c r="K41" s="13">
        <f t="shared" ref="K41:AC41" si="22">1/ABS(K8)</f>
        <v>1.32810595413996</v>
      </c>
      <c r="L41" s="13">
        <f t="shared" si="22"/>
        <v>0.816508326114953</v>
      </c>
      <c r="M41" s="13">
        <f t="shared" si="22"/>
        <v>0.221255454712278</v>
      </c>
      <c r="N41" s="13">
        <f t="shared" si="22"/>
        <v>0.499405195623132</v>
      </c>
      <c r="O41" s="13">
        <f t="shared" si="22"/>
        <v>0.63632635663056</v>
      </c>
      <c r="P41" s="13">
        <f t="shared" si="22"/>
        <v>0.703852487014172</v>
      </c>
      <c r="Q41" s="13">
        <f t="shared" si="22"/>
        <v>1.23224944597748</v>
      </c>
      <c r="R41" s="13">
        <f t="shared" si="22"/>
        <v>0.690945257110503</v>
      </c>
      <c r="S41" s="13">
        <f t="shared" si="22"/>
        <v>3.22247472873648</v>
      </c>
      <c r="T41" s="13">
        <f t="shared" si="22"/>
        <v>0.812158864624069</v>
      </c>
      <c r="U41" s="13">
        <f t="shared" si="22"/>
        <v>1.77059328035826</v>
      </c>
      <c r="V41" s="13">
        <f t="shared" si="22"/>
        <v>0.899783176367538</v>
      </c>
      <c r="W41" s="13">
        <f t="shared" si="22"/>
        <v>1.12956654123076</v>
      </c>
      <c r="X41" s="13">
        <f t="shared" si="22"/>
        <v>0.594561256379948</v>
      </c>
      <c r="Y41" s="13">
        <f t="shared" si="22"/>
        <v>0.841604490569873</v>
      </c>
      <c r="Z41" s="13">
        <f t="shared" si="22"/>
        <v>1.73249181028929</v>
      </c>
      <c r="AA41" s="13">
        <f t="shared" si="22"/>
        <v>0.709257471470786</v>
      </c>
      <c r="AB41" s="13">
        <f t="shared" si="22"/>
        <v>0.48468210511475</v>
      </c>
      <c r="AC41" s="13">
        <f t="shared" si="22"/>
        <v>0.526328551442446</v>
      </c>
      <c r="AD41" s="13">
        <f t="shared" si="7"/>
        <v>0.579968847023656</v>
      </c>
      <c r="AE41" s="13">
        <f t="shared" si="12"/>
        <v>1.21339947413186</v>
      </c>
      <c r="AF41" s="13">
        <f t="shared" si="12"/>
        <v>0.462376532788747</v>
      </c>
      <c r="AG41" s="13">
        <f t="shared" si="8"/>
        <v>0.764219566718957</v>
      </c>
      <c r="AH41" s="13">
        <f t="shared" si="8"/>
        <v>0.908280918418891</v>
      </c>
      <c r="AI41" s="13">
        <f t="shared" si="8"/>
        <v>0.871735405530151</v>
      </c>
      <c r="AJ41" s="13">
        <f t="shared" si="13"/>
        <v>28.6226280601677</v>
      </c>
      <c r="AK41" s="13">
        <f t="shared" si="14"/>
        <v>28.6226280601677</v>
      </c>
      <c r="AL41" s="13">
        <f t="shared" si="9"/>
        <v>28.6226280601677</v>
      </c>
      <c r="AM41" s="13">
        <f t="shared" si="9"/>
        <v>28.6226280601677</v>
      </c>
      <c r="AN41" s="13">
        <f t="shared" si="9"/>
        <v>28.6226280601677</v>
      </c>
      <c r="AO41" s="13">
        <f t="shared" si="9"/>
        <v>28.6226280601677</v>
      </c>
      <c r="AP41" s="13">
        <f t="shared" si="9"/>
        <v>28.6226280601677</v>
      </c>
      <c r="AQ41" s="13">
        <f t="shared" si="9"/>
        <v>28.6226280601677</v>
      </c>
      <c r="AR41" s="13">
        <f t="shared" si="9"/>
        <v>28.6226280601677</v>
      </c>
      <c r="AS41" s="13">
        <f t="shared" si="9"/>
        <v>28.6226280601677</v>
      </c>
      <c r="AT41" s="13">
        <f t="shared" si="9"/>
        <v>28.6226280601677</v>
      </c>
      <c r="AU41" s="13">
        <f t="shared" si="9"/>
        <v>28.6226280601677</v>
      </c>
      <c r="AV41" s="13">
        <f t="shared" si="9"/>
        <v>28.6226280601677</v>
      </c>
      <c r="AW41" s="13">
        <f t="shared" si="9"/>
        <v>28.6226280601677</v>
      </c>
      <c r="AX41" s="13">
        <f t="shared" si="9"/>
        <v>28.6226280601677</v>
      </c>
      <c r="AY41" s="13">
        <f t="shared" si="9"/>
        <v>28.6226280601677</v>
      </c>
      <c r="AZ41" s="13">
        <f t="shared" si="9"/>
        <v>28.6226280601677</v>
      </c>
      <c r="BA41" s="13">
        <f t="shared" si="9"/>
        <v>28.6226280601677</v>
      </c>
      <c r="BB41" s="13">
        <f t="shared" si="9"/>
        <v>28.6226280601677</v>
      </c>
      <c r="BC41" s="13">
        <f t="shared" si="9"/>
        <v>28.6226280601677</v>
      </c>
      <c r="BD41" s="13">
        <f t="shared" si="9"/>
        <v>28.6226280601677</v>
      </c>
      <c r="BE41" s="13">
        <f t="shared" si="9"/>
        <v>28.6226280601677</v>
      </c>
      <c r="BF41" s="13">
        <f t="shared" si="9"/>
        <v>28.6226280601677</v>
      </c>
      <c r="BG41" s="13">
        <f t="shared" si="9"/>
        <v>28.6226280601677</v>
      </c>
      <c r="BH41" s="13">
        <f t="shared" si="9"/>
        <v>28.6226280601677</v>
      </c>
      <c r="BI41" s="13">
        <f t="shared" si="9"/>
        <v>28.6226280601677</v>
      </c>
      <c r="BJ41" s="13">
        <f t="shared" si="9"/>
        <v>28.6226280601677</v>
      </c>
      <c r="BK41" s="13">
        <f t="shared" si="9"/>
        <v>28.6226280601677</v>
      </c>
      <c r="BL41" s="13">
        <f t="shared" si="9"/>
        <v>28.6226280601677</v>
      </c>
      <c r="BM41" s="13">
        <f t="shared" si="9"/>
        <v>28.6226280601677</v>
      </c>
      <c r="BN41" s="13">
        <f t="shared" si="9"/>
        <v>28.6226280601677</v>
      </c>
    </row>
    <row r="42" spans="4:66">
      <c r="D42" s="14" t="s">
        <v>6</v>
      </c>
      <c r="E42" s="13">
        <f t="shared" si="10"/>
        <v>0.203196204635141</v>
      </c>
      <c r="F42" s="13">
        <f t="shared" si="15"/>
        <v>0.259675180851555</v>
      </c>
      <c r="G42" s="13">
        <f t="shared" si="17"/>
        <v>3.23690383798879</v>
      </c>
      <c r="H42" s="13">
        <f t="shared" si="19"/>
        <v>1.63847880322457</v>
      </c>
      <c r="I42" s="13">
        <f t="shared" si="21"/>
        <v>0.893727889150153</v>
      </c>
      <c r="J42" s="13">
        <f t="shared" ref="J42:J60" si="23">1/ABS(J9)</f>
        <v>1.32810595413996</v>
      </c>
      <c r="K42" s="13">
        <v>0</v>
      </c>
      <c r="L42" s="13">
        <f t="shared" ref="L42:AC42" si="24">1/ABS(L9)</f>
        <v>2.11965323941086</v>
      </c>
      <c r="M42" s="13">
        <f t="shared" si="24"/>
        <v>0.189659226769437</v>
      </c>
      <c r="N42" s="13">
        <f t="shared" si="24"/>
        <v>0.362932403406401</v>
      </c>
      <c r="O42" s="13">
        <f t="shared" si="24"/>
        <v>0.430205112379644</v>
      </c>
      <c r="P42" s="13">
        <f t="shared" si="24"/>
        <v>1.49745372363527</v>
      </c>
      <c r="Q42" s="13">
        <f t="shared" si="24"/>
        <v>0.639191663045408</v>
      </c>
      <c r="R42" s="13">
        <f t="shared" si="24"/>
        <v>1.4402151831264</v>
      </c>
      <c r="S42" s="13">
        <f t="shared" si="24"/>
        <v>0.940492691494308</v>
      </c>
      <c r="T42" s="13">
        <f t="shared" si="24"/>
        <v>2.09058844546802</v>
      </c>
      <c r="U42" s="13">
        <f t="shared" si="24"/>
        <v>5.31435668022699</v>
      </c>
      <c r="V42" s="13">
        <f t="shared" si="24"/>
        <v>2.78996928480798</v>
      </c>
      <c r="W42" s="13">
        <f t="shared" si="24"/>
        <v>0.610408446134138</v>
      </c>
      <c r="X42" s="13">
        <f t="shared" si="24"/>
        <v>1.07647202291889</v>
      </c>
      <c r="Y42" s="13">
        <f t="shared" si="24"/>
        <v>2.29750580143065</v>
      </c>
      <c r="Z42" s="13">
        <f t="shared" si="24"/>
        <v>5.68994353722955</v>
      </c>
      <c r="AA42" s="13">
        <f t="shared" si="24"/>
        <v>1.5221319874871</v>
      </c>
      <c r="AB42" s="13">
        <f t="shared" si="24"/>
        <v>0.763209613306475</v>
      </c>
      <c r="AC42" s="13">
        <f t="shared" si="24"/>
        <v>0.87183809452945</v>
      </c>
      <c r="AD42" s="13">
        <f t="shared" si="7"/>
        <v>1.02957074528327</v>
      </c>
      <c r="AE42" s="13">
        <f t="shared" si="12"/>
        <v>14.049102249769</v>
      </c>
      <c r="AF42" s="13">
        <f t="shared" si="12"/>
        <v>0.70932673778474</v>
      </c>
      <c r="AG42" s="13">
        <f t="shared" si="8"/>
        <v>1.79994512985455</v>
      </c>
      <c r="AH42" s="13">
        <f t="shared" si="8"/>
        <v>2.87332386862536</v>
      </c>
      <c r="AI42" s="13">
        <f t="shared" si="8"/>
        <v>2.53687926630225</v>
      </c>
      <c r="AJ42" s="13">
        <f t="shared" si="13"/>
        <v>61.2044630244163</v>
      </c>
      <c r="AK42" s="13">
        <f t="shared" si="14"/>
        <v>61.2044630244163</v>
      </c>
      <c r="AL42" s="13">
        <f t="shared" si="9"/>
        <v>61.2044630244163</v>
      </c>
      <c r="AM42" s="13">
        <f t="shared" si="9"/>
        <v>61.2044630244163</v>
      </c>
      <c r="AN42" s="13">
        <f t="shared" si="9"/>
        <v>61.2044630244163</v>
      </c>
      <c r="AO42" s="13">
        <f t="shared" si="9"/>
        <v>61.2044630244163</v>
      </c>
      <c r="AP42" s="13">
        <f t="shared" si="9"/>
        <v>61.2044630244163</v>
      </c>
      <c r="AQ42" s="13">
        <f t="shared" si="9"/>
        <v>61.2044630244163</v>
      </c>
      <c r="AR42" s="13">
        <f t="shared" si="9"/>
        <v>61.2044630244163</v>
      </c>
      <c r="AS42" s="13">
        <f t="shared" si="9"/>
        <v>61.2044630244163</v>
      </c>
      <c r="AT42" s="13">
        <f t="shared" si="9"/>
        <v>61.2044630244163</v>
      </c>
      <c r="AU42" s="13">
        <f t="shared" si="9"/>
        <v>61.2044630244163</v>
      </c>
      <c r="AV42" s="13">
        <f t="shared" si="9"/>
        <v>61.2044630244163</v>
      </c>
      <c r="AW42" s="13">
        <f t="shared" si="9"/>
        <v>61.2044630244163</v>
      </c>
      <c r="AX42" s="13">
        <f t="shared" si="9"/>
        <v>61.2044630244163</v>
      </c>
      <c r="AY42" s="13">
        <f t="shared" si="9"/>
        <v>61.2044630244163</v>
      </c>
      <c r="AZ42" s="13">
        <f t="shared" si="9"/>
        <v>61.2044630244163</v>
      </c>
      <c r="BA42" s="13">
        <f t="shared" si="9"/>
        <v>61.2044630244163</v>
      </c>
      <c r="BB42" s="13">
        <f t="shared" si="9"/>
        <v>61.2044630244163</v>
      </c>
      <c r="BC42" s="13">
        <f t="shared" si="9"/>
        <v>61.2044630244163</v>
      </c>
      <c r="BD42" s="13">
        <f t="shared" si="9"/>
        <v>61.2044630244163</v>
      </c>
      <c r="BE42" s="13">
        <f t="shared" si="9"/>
        <v>61.2044630244163</v>
      </c>
      <c r="BF42" s="13">
        <f t="shared" si="9"/>
        <v>61.2044630244163</v>
      </c>
      <c r="BG42" s="13">
        <f t="shared" si="9"/>
        <v>61.2044630244163</v>
      </c>
      <c r="BH42" s="13">
        <f t="shared" si="9"/>
        <v>61.2044630244163</v>
      </c>
      <c r="BI42" s="13">
        <f t="shared" si="9"/>
        <v>61.2044630244163</v>
      </c>
      <c r="BJ42" s="13">
        <f t="shared" si="9"/>
        <v>61.2044630244163</v>
      </c>
      <c r="BK42" s="13">
        <f t="shared" si="9"/>
        <v>61.2044630244163</v>
      </c>
      <c r="BL42" s="13">
        <f t="shared" si="9"/>
        <v>61.2044630244163</v>
      </c>
      <c r="BM42" s="13">
        <f t="shared" si="9"/>
        <v>61.2044630244163</v>
      </c>
      <c r="BN42" s="13">
        <f t="shared" si="9"/>
        <v>61.2044630244163</v>
      </c>
    </row>
    <row r="43" spans="4:66">
      <c r="D43" s="14" t="s">
        <v>7</v>
      </c>
      <c r="E43" s="13">
        <f t="shared" si="10"/>
        <v>0.185421183665117</v>
      </c>
      <c r="F43" s="13">
        <f t="shared" si="15"/>
        <v>0.231334747065264</v>
      </c>
      <c r="G43" s="13">
        <f t="shared" si="17"/>
        <v>6.14106961731544</v>
      </c>
      <c r="H43" s="13">
        <f t="shared" si="19"/>
        <v>7.21777102392938</v>
      </c>
      <c r="I43" s="13">
        <f t="shared" si="21"/>
        <v>0.628660343503773</v>
      </c>
      <c r="J43" s="13">
        <f t="shared" si="23"/>
        <v>0.816508326114953</v>
      </c>
      <c r="K43" s="13">
        <f t="shared" ref="K43:K60" si="25">1/ABS(K10)</f>
        <v>2.11965323941086</v>
      </c>
      <c r="L43" s="13">
        <v>0</v>
      </c>
      <c r="M43" s="13">
        <f t="shared" ref="M43:AC43" si="26">1/ABS(M10)</f>
        <v>0.174082892762858</v>
      </c>
      <c r="N43" s="13">
        <f t="shared" si="26"/>
        <v>0.309874846329389</v>
      </c>
      <c r="O43" s="13">
        <f t="shared" si="26"/>
        <v>0.357622084939072</v>
      </c>
      <c r="P43" s="13">
        <f t="shared" si="26"/>
        <v>5.10139039921106</v>
      </c>
      <c r="Q43" s="13">
        <f t="shared" si="26"/>
        <v>0.491098531117985</v>
      </c>
      <c r="R43" s="13">
        <f t="shared" si="26"/>
        <v>4.49306121452298</v>
      </c>
      <c r="S43" s="13">
        <f t="shared" si="26"/>
        <v>0.651445527494332</v>
      </c>
      <c r="T43" s="13">
        <f t="shared" si="26"/>
        <v>152.463581177468</v>
      </c>
      <c r="U43" s="13">
        <f t="shared" si="26"/>
        <v>1.51527822459196</v>
      </c>
      <c r="V43" s="13">
        <f t="shared" si="26"/>
        <v>8.82235696580485</v>
      </c>
      <c r="W43" s="13">
        <f t="shared" si="26"/>
        <v>0.473928573505358</v>
      </c>
      <c r="X43" s="13">
        <f t="shared" si="26"/>
        <v>2.18729725424723</v>
      </c>
      <c r="Y43" s="13">
        <f t="shared" si="26"/>
        <v>27.3817568848178</v>
      </c>
      <c r="Z43" s="13">
        <f t="shared" si="26"/>
        <v>1.54434442592846</v>
      </c>
      <c r="AA43" s="13">
        <f t="shared" si="26"/>
        <v>5.39962718932641</v>
      </c>
      <c r="AB43" s="13">
        <f t="shared" si="26"/>
        <v>1.19263321973845</v>
      </c>
      <c r="AC43" s="13">
        <f t="shared" si="26"/>
        <v>1.4809841416749</v>
      </c>
      <c r="AD43" s="13">
        <f t="shared" si="7"/>
        <v>2.00198881937729</v>
      </c>
      <c r="AE43" s="13">
        <f t="shared" si="12"/>
        <v>2.49627833344864</v>
      </c>
      <c r="AF43" s="13">
        <f t="shared" si="12"/>
        <v>1.06608414137618</v>
      </c>
      <c r="AG43" s="13">
        <f t="shared" si="8"/>
        <v>11.9335713146367</v>
      </c>
      <c r="AH43" s="13">
        <f t="shared" si="8"/>
        <v>8.08105027570994</v>
      </c>
      <c r="AI43" s="13">
        <f t="shared" si="8"/>
        <v>12.8882284618637</v>
      </c>
      <c r="AJ43" s="13">
        <f t="shared" si="13"/>
        <v>269.847983380899</v>
      </c>
      <c r="AK43" s="13">
        <f t="shared" si="14"/>
        <v>269.847983380899</v>
      </c>
      <c r="AL43" s="13">
        <f t="shared" si="9"/>
        <v>269.847983380899</v>
      </c>
      <c r="AM43" s="13">
        <f t="shared" si="9"/>
        <v>269.847983380899</v>
      </c>
      <c r="AN43" s="13">
        <f t="shared" si="9"/>
        <v>269.847983380899</v>
      </c>
      <c r="AO43" s="13">
        <f t="shared" si="9"/>
        <v>269.847983380899</v>
      </c>
      <c r="AP43" s="13">
        <f t="shared" si="9"/>
        <v>269.847983380899</v>
      </c>
      <c r="AQ43" s="13">
        <f t="shared" si="9"/>
        <v>269.847983380899</v>
      </c>
      <c r="AR43" s="13">
        <f t="shared" si="9"/>
        <v>269.847983380899</v>
      </c>
      <c r="AS43" s="13">
        <f t="shared" si="9"/>
        <v>269.847983380899</v>
      </c>
      <c r="AT43" s="13">
        <f t="shared" si="9"/>
        <v>269.847983380899</v>
      </c>
      <c r="AU43" s="13">
        <f t="shared" si="9"/>
        <v>269.847983380899</v>
      </c>
      <c r="AV43" s="13">
        <f t="shared" si="9"/>
        <v>269.847983380899</v>
      </c>
      <c r="AW43" s="13">
        <f t="shared" si="9"/>
        <v>269.847983380899</v>
      </c>
      <c r="AX43" s="13">
        <f t="shared" si="9"/>
        <v>269.847983380899</v>
      </c>
      <c r="AY43" s="13">
        <f t="shared" si="9"/>
        <v>269.847983380899</v>
      </c>
      <c r="AZ43" s="13">
        <f t="shared" si="9"/>
        <v>269.847983380899</v>
      </c>
      <c r="BA43" s="13">
        <f t="shared" si="9"/>
        <v>269.847983380899</v>
      </c>
      <c r="BB43" s="13">
        <f t="shared" si="9"/>
        <v>269.847983380899</v>
      </c>
      <c r="BC43" s="13">
        <f t="shared" si="9"/>
        <v>269.847983380899</v>
      </c>
      <c r="BD43" s="13">
        <f t="shared" si="9"/>
        <v>269.847983380899</v>
      </c>
      <c r="BE43" s="13">
        <f t="shared" si="9"/>
        <v>269.847983380899</v>
      </c>
      <c r="BF43" s="13">
        <f t="shared" si="9"/>
        <v>269.847983380899</v>
      </c>
      <c r="BG43" s="13">
        <f t="shared" si="9"/>
        <v>269.847983380899</v>
      </c>
      <c r="BH43" s="13">
        <f t="shared" si="9"/>
        <v>269.847983380899</v>
      </c>
      <c r="BI43" s="13">
        <f t="shared" si="9"/>
        <v>269.847983380899</v>
      </c>
      <c r="BJ43" s="13">
        <f t="shared" si="9"/>
        <v>269.847983380899</v>
      </c>
      <c r="BK43" s="13">
        <f t="shared" si="9"/>
        <v>269.847983380899</v>
      </c>
      <c r="BL43" s="13">
        <f t="shared" si="9"/>
        <v>269.847983380899</v>
      </c>
      <c r="BM43" s="13">
        <f t="shared" si="9"/>
        <v>269.847983380899</v>
      </c>
      <c r="BN43" s="13">
        <f t="shared" si="9"/>
        <v>269.847983380899</v>
      </c>
    </row>
    <row r="44" spans="4:66">
      <c r="D44" s="14" t="s">
        <v>8</v>
      </c>
      <c r="E44" s="13">
        <f t="shared" si="10"/>
        <v>2.84687139448029</v>
      </c>
      <c r="F44" s="13">
        <f t="shared" si="15"/>
        <v>0.703408168283436</v>
      </c>
      <c r="G44" s="13">
        <f t="shared" si="17"/>
        <v>0.179161646068608</v>
      </c>
      <c r="H44" s="13">
        <f t="shared" si="19"/>
        <v>0.169983129172529</v>
      </c>
      <c r="I44" s="13">
        <f t="shared" si="21"/>
        <v>0.240748877851408</v>
      </c>
      <c r="J44" s="13">
        <f t="shared" si="23"/>
        <v>0.221255454712278</v>
      </c>
      <c r="K44" s="13">
        <f t="shared" si="25"/>
        <v>0.189659226769437</v>
      </c>
      <c r="L44" s="13">
        <f t="shared" ref="L44:L60" si="27">1/ABS(L11)</f>
        <v>0.174082892762858</v>
      </c>
      <c r="M44" s="13">
        <v>0</v>
      </c>
      <c r="N44" s="13">
        <f t="shared" ref="N44:AC44" si="28">1/ABS(N11)</f>
        <v>0.397254095155473</v>
      </c>
      <c r="O44" s="13">
        <f t="shared" si="28"/>
        <v>0.339196693218019</v>
      </c>
      <c r="P44" s="13">
        <f t="shared" si="28"/>
        <v>0.168338412244155</v>
      </c>
      <c r="Q44" s="13">
        <f t="shared" si="28"/>
        <v>0.269677083982967</v>
      </c>
      <c r="R44" s="13">
        <f t="shared" si="28"/>
        <v>0.167589659887238</v>
      </c>
      <c r="S44" s="13">
        <f t="shared" si="28"/>
        <v>0.237566817451961</v>
      </c>
      <c r="T44" s="13">
        <f t="shared" si="28"/>
        <v>0.173884351637787</v>
      </c>
      <c r="U44" s="13">
        <f t="shared" si="28"/>
        <v>0.196678299139165</v>
      </c>
      <c r="V44" s="13">
        <f t="shared" si="28"/>
        <v>0.177587043220711</v>
      </c>
      <c r="W44" s="13">
        <f t="shared" si="28"/>
        <v>0.275151060487141</v>
      </c>
      <c r="X44" s="13">
        <f t="shared" si="28"/>
        <v>0.161249358276233</v>
      </c>
      <c r="Y44" s="13">
        <f t="shared" si="28"/>
        <v>0.175196727542029</v>
      </c>
      <c r="Z44" s="13">
        <f t="shared" si="28"/>
        <v>0.196199001855313</v>
      </c>
      <c r="AA44" s="13">
        <f t="shared" si="28"/>
        <v>0.168645786579301</v>
      </c>
      <c r="AB44" s="13">
        <f t="shared" si="28"/>
        <v>0.151909411909382</v>
      </c>
      <c r="AC44" s="13">
        <f t="shared" si="28"/>
        <v>0.155772544648783</v>
      </c>
      <c r="AD44" s="13">
        <f t="shared" si="7"/>
        <v>0.16015648887478</v>
      </c>
      <c r="AE44" s="13">
        <f t="shared" si="12"/>
        <v>0.187132980202413</v>
      </c>
      <c r="AF44" s="13">
        <f t="shared" si="12"/>
        <v>0.149646786401006</v>
      </c>
      <c r="AG44" s="13">
        <f t="shared" si="8"/>
        <v>0.171579942725339</v>
      </c>
      <c r="AH44" s="13">
        <f t="shared" si="8"/>
        <v>0.177915569955639</v>
      </c>
      <c r="AI44" s="13">
        <f t="shared" si="8"/>
        <v>0.176466446843467</v>
      </c>
      <c r="AJ44" s="13">
        <f t="shared" si="13"/>
        <v>9.15996535233915</v>
      </c>
      <c r="AK44" s="13">
        <f t="shared" si="14"/>
        <v>9.15996535233915</v>
      </c>
      <c r="AL44" s="13">
        <f t="shared" si="9"/>
        <v>9.15996535233915</v>
      </c>
      <c r="AM44" s="13">
        <f t="shared" si="9"/>
        <v>9.15996535233915</v>
      </c>
      <c r="AN44" s="13">
        <f t="shared" si="9"/>
        <v>9.15996535233915</v>
      </c>
      <c r="AO44" s="13">
        <f t="shared" si="9"/>
        <v>9.15996535233915</v>
      </c>
      <c r="AP44" s="13">
        <f t="shared" si="9"/>
        <v>9.15996535233915</v>
      </c>
      <c r="AQ44" s="13">
        <f t="shared" si="9"/>
        <v>9.15996535233915</v>
      </c>
      <c r="AR44" s="13">
        <f t="shared" si="9"/>
        <v>9.15996535233915</v>
      </c>
      <c r="AS44" s="13">
        <f t="shared" si="9"/>
        <v>9.15996535233915</v>
      </c>
      <c r="AT44" s="13">
        <f t="shared" si="9"/>
        <v>9.15996535233915</v>
      </c>
      <c r="AU44" s="13">
        <f t="shared" si="9"/>
        <v>9.15996535233915</v>
      </c>
      <c r="AV44" s="13">
        <f t="shared" si="9"/>
        <v>9.15996535233915</v>
      </c>
      <c r="AW44" s="13">
        <f t="shared" si="9"/>
        <v>9.15996535233915</v>
      </c>
      <c r="AX44" s="13">
        <f t="shared" si="9"/>
        <v>9.15996535233915</v>
      </c>
      <c r="AY44" s="13">
        <f t="shared" si="9"/>
        <v>9.15996535233915</v>
      </c>
      <c r="AZ44" s="13">
        <f t="shared" si="9"/>
        <v>9.15996535233915</v>
      </c>
      <c r="BA44" s="13">
        <f t="shared" si="9"/>
        <v>9.15996535233915</v>
      </c>
      <c r="BB44" s="13">
        <f t="shared" si="9"/>
        <v>9.15996535233915</v>
      </c>
      <c r="BC44" s="13">
        <f t="shared" si="9"/>
        <v>9.15996535233915</v>
      </c>
      <c r="BD44" s="13">
        <f t="shared" si="9"/>
        <v>9.15996535233915</v>
      </c>
      <c r="BE44" s="13">
        <f t="shared" si="9"/>
        <v>9.15996535233915</v>
      </c>
      <c r="BF44" s="13">
        <f t="shared" si="9"/>
        <v>9.15996535233915</v>
      </c>
      <c r="BG44" s="13">
        <f t="shared" si="9"/>
        <v>9.15996535233915</v>
      </c>
      <c r="BH44" s="13">
        <f t="shared" si="9"/>
        <v>9.15996535233915</v>
      </c>
      <c r="BI44" s="13">
        <f t="shared" ref="BI44:BN44" si="29">$AJ44</f>
        <v>9.15996535233915</v>
      </c>
      <c r="BJ44" s="13">
        <f t="shared" si="29"/>
        <v>9.15996535233915</v>
      </c>
      <c r="BK44" s="13">
        <f t="shared" si="29"/>
        <v>9.15996535233915</v>
      </c>
      <c r="BL44" s="13">
        <f t="shared" si="29"/>
        <v>9.15996535233915</v>
      </c>
      <c r="BM44" s="13">
        <f t="shared" si="29"/>
        <v>9.15996535233915</v>
      </c>
      <c r="BN44" s="13">
        <f t="shared" si="29"/>
        <v>9.15996535233915</v>
      </c>
    </row>
    <row r="45" spans="4:66">
      <c r="D45" s="14" t="s">
        <v>9</v>
      </c>
      <c r="E45" s="13">
        <f t="shared" si="10"/>
        <v>0.461676736259979</v>
      </c>
      <c r="F45" s="13">
        <f t="shared" si="15"/>
        <v>0.912716177712294</v>
      </c>
      <c r="G45" s="13">
        <f t="shared" si="17"/>
        <v>0.326341869668317</v>
      </c>
      <c r="H45" s="13">
        <f t="shared" si="19"/>
        <v>0.297118876927715</v>
      </c>
      <c r="I45" s="13">
        <f t="shared" si="21"/>
        <v>0.611088111169777</v>
      </c>
      <c r="J45" s="13">
        <f t="shared" si="23"/>
        <v>0.499405195623132</v>
      </c>
      <c r="K45" s="13">
        <f t="shared" si="25"/>
        <v>0.362932403406401</v>
      </c>
      <c r="L45" s="13">
        <f t="shared" si="27"/>
        <v>0.309874846329389</v>
      </c>
      <c r="M45" s="13">
        <f t="shared" ref="M45:M60" si="30">1/ABS(M12)</f>
        <v>0.397254095155473</v>
      </c>
      <c r="N45" s="13">
        <v>0</v>
      </c>
      <c r="O45" s="13">
        <f t="shared" ref="O45:AC45" si="31">1/ABS(O12)</f>
        <v>2.32093188719018</v>
      </c>
      <c r="P45" s="13">
        <f t="shared" si="31"/>
        <v>0.292129935290922</v>
      </c>
      <c r="Q45" s="13">
        <f t="shared" si="31"/>
        <v>0.839730645805468</v>
      </c>
      <c r="R45" s="13">
        <f t="shared" si="31"/>
        <v>0.289882404379075</v>
      </c>
      <c r="S45" s="13">
        <f t="shared" si="31"/>
        <v>0.590995052724662</v>
      </c>
      <c r="T45" s="13">
        <f t="shared" si="31"/>
        <v>0.30924631816169</v>
      </c>
      <c r="U45" s="13">
        <f t="shared" si="31"/>
        <v>0.389534835772977</v>
      </c>
      <c r="V45" s="13">
        <f t="shared" si="31"/>
        <v>0.321155036882504</v>
      </c>
      <c r="W45" s="13">
        <f t="shared" si="31"/>
        <v>0.895185659077129</v>
      </c>
      <c r="X45" s="13">
        <f t="shared" si="31"/>
        <v>0.271422382293975</v>
      </c>
      <c r="Y45" s="13">
        <f t="shared" si="31"/>
        <v>0.313421789251612</v>
      </c>
      <c r="Z45" s="13">
        <f t="shared" si="31"/>
        <v>0.387659201630269</v>
      </c>
      <c r="AA45" s="13">
        <f t="shared" si="31"/>
        <v>0.293056843675567</v>
      </c>
      <c r="AB45" s="13">
        <f t="shared" si="31"/>
        <v>0.245966756545246</v>
      </c>
      <c r="AC45" s="13">
        <f t="shared" si="31"/>
        <v>0.256256766385156</v>
      </c>
      <c r="AD45" s="13">
        <f t="shared" si="7"/>
        <v>0.268340208360886</v>
      </c>
      <c r="AE45" s="13">
        <f t="shared" si="12"/>
        <v>0.353792824393987</v>
      </c>
      <c r="AF45" s="13">
        <f t="shared" si="12"/>
        <v>0.240089030585142</v>
      </c>
      <c r="AG45" s="13">
        <f t="shared" si="8"/>
        <v>0.30203208546572</v>
      </c>
      <c r="AH45" s="13">
        <f t="shared" si="8"/>
        <v>0.322231074966904</v>
      </c>
      <c r="AI45" s="13">
        <f t="shared" si="8"/>
        <v>0.317508788204666</v>
      </c>
      <c r="AJ45" s="13">
        <f t="shared" si="13"/>
        <v>13.9989778392962</v>
      </c>
      <c r="AK45" s="13">
        <f t="shared" si="14"/>
        <v>13.9989778392962</v>
      </c>
      <c r="AL45" s="13">
        <f t="shared" si="14"/>
        <v>13.9989778392962</v>
      </c>
      <c r="AM45" s="13">
        <f t="shared" si="14"/>
        <v>13.9989778392962</v>
      </c>
      <c r="AN45" s="13">
        <f t="shared" si="14"/>
        <v>13.9989778392962</v>
      </c>
      <c r="AO45" s="13">
        <f t="shared" si="14"/>
        <v>13.9989778392962</v>
      </c>
      <c r="AP45" s="13">
        <f t="shared" si="14"/>
        <v>13.9989778392962</v>
      </c>
      <c r="AQ45" s="13">
        <f t="shared" si="14"/>
        <v>13.9989778392962</v>
      </c>
      <c r="AR45" s="13">
        <f t="shared" si="14"/>
        <v>13.9989778392962</v>
      </c>
      <c r="AS45" s="13">
        <f t="shared" si="14"/>
        <v>13.9989778392962</v>
      </c>
      <c r="AT45" s="13">
        <f t="shared" si="14"/>
        <v>13.9989778392962</v>
      </c>
      <c r="AU45" s="13">
        <f t="shared" si="14"/>
        <v>13.9989778392962</v>
      </c>
      <c r="AV45" s="13">
        <f t="shared" si="14"/>
        <v>13.9989778392962</v>
      </c>
      <c r="AW45" s="13">
        <f t="shared" si="14"/>
        <v>13.9989778392962</v>
      </c>
      <c r="AX45" s="13">
        <f t="shared" si="14"/>
        <v>13.9989778392962</v>
      </c>
      <c r="AY45" s="13">
        <f t="shared" si="14"/>
        <v>13.9989778392962</v>
      </c>
      <c r="AZ45" s="13">
        <f t="shared" si="14"/>
        <v>13.9989778392962</v>
      </c>
      <c r="BA45" s="13">
        <f t="shared" ref="BA45:BN66" si="32">$AJ45</f>
        <v>13.9989778392962</v>
      </c>
      <c r="BB45" s="13">
        <f t="shared" si="32"/>
        <v>13.9989778392962</v>
      </c>
      <c r="BC45" s="13">
        <f t="shared" si="32"/>
        <v>13.9989778392962</v>
      </c>
      <c r="BD45" s="13">
        <f t="shared" si="32"/>
        <v>13.9989778392962</v>
      </c>
      <c r="BE45" s="13">
        <f t="shared" si="32"/>
        <v>13.9989778392962</v>
      </c>
      <c r="BF45" s="13">
        <f t="shared" si="32"/>
        <v>13.9989778392962</v>
      </c>
      <c r="BG45" s="13">
        <f t="shared" si="32"/>
        <v>13.9989778392962</v>
      </c>
      <c r="BH45" s="13">
        <f t="shared" si="32"/>
        <v>13.9989778392962</v>
      </c>
      <c r="BI45" s="13">
        <f t="shared" si="32"/>
        <v>13.9989778392962</v>
      </c>
      <c r="BJ45" s="13">
        <f t="shared" si="32"/>
        <v>13.9989778392962</v>
      </c>
      <c r="BK45" s="13">
        <f t="shared" si="32"/>
        <v>13.9989778392962</v>
      </c>
      <c r="BL45" s="13">
        <f t="shared" si="32"/>
        <v>13.9989778392962</v>
      </c>
      <c r="BM45" s="13">
        <f t="shared" si="32"/>
        <v>13.9989778392962</v>
      </c>
      <c r="BN45" s="13">
        <f t="shared" si="32"/>
        <v>13.9989778392962</v>
      </c>
    </row>
    <row r="46" spans="4:66">
      <c r="D46" s="14" t="s">
        <v>10</v>
      </c>
      <c r="E46" s="13">
        <f t="shared" si="10"/>
        <v>0.385077602983598</v>
      </c>
      <c r="F46" s="13">
        <f t="shared" si="15"/>
        <v>0.655096670475391</v>
      </c>
      <c r="G46" s="13">
        <f t="shared" si="17"/>
        <v>0.37973580775236</v>
      </c>
      <c r="H46" s="13">
        <f t="shared" si="19"/>
        <v>0.340739323371696</v>
      </c>
      <c r="I46" s="13">
        <f t="shared" si="21"/>
        <v>0.829487408725597</v>
      </c>
      <c r="J46" s="13">
        <f t="shared" si="23"/>
        <v>0.63632635663056</v>
      </c>
      <c r="K46" s="13">
        <f t="shared" si="25"/>
        <v>0.430205112379644</v>
      </c>
      <c r="L46" s="13">
        <f t="shared" si="27"/>
        <v>0.357622084939072</v>
      </c>
      <c r="M46" s="13">
        <f t="shared" si="30"/>
        <v>0.339196693218019</v>
      </c>
      <c r="N46" s="13">
        <f t="shared" ref="N46:N60" si="33">1/ABS(N13)</f>
        <v>2.32093188719018</v>
      </c>
      <c r="O46" s="13">
        <v>0</v>
      </c>
      <c r="P46" s="13">
        <f t="shared" ref="P46:Y46" si="34">1/ABS(P13)</f>
        <v>0.334194119531867</v>
      </c>
      <c r="Q46" s="13">
        <f t="shared" si="34"/>
        <v>1.31579530049456</v>
      </c>
      <c r="R46" s="13">
        <f t="shared" si="34"/>
        <v>0.331255994279153</v>
      </c>
      <c r="S46" s="13">
        <f t="shared" si="34"/>
        <v>0.792895576134777</v>
      </c>
      <c r="T46" s="13">
        <f t="shared" si="34"/>
        <v>0.356785201359399</v>
      </c>
      <c r="U46" s="13">
        <f t="shared" si="34"/>
        <v>0.468098375139127</v>
      </c>
      <c r="V46" s="13">
        <f t="shared" si="34"/>
        <v>0.372731070328002</v>
      </c>
      <c r="W46" s="13">
        <f t="shared" si="34"/>
        <v>1.45724736993148</v>
      </c>
      <c r="X46" s="13">
        <f t="shared" si="34"/>
        <v>0.307367621598375</v>
      </c>
      <c r="Y46" s="13">
        <f t="shared" si="34"/>
        <v>0.362354652941091</v>
      </c>
      <c r="Z46" s="13">
        <f t="shared" ref="Z46:AI60" si="35">1/ABS(Z13)</f>
        <v>0.465392496954355</v>
      </c>
      <c r="AA46" s="13">
        <f t="shared" si="35"/>
        <v>0.335407734032321</v>
      </c>
      <c r="AB46" s="13">
        <f t="shared" si="35"/>
        <v>0.275123702091885</v>
      </c>
      <c r="AC46" s="13">
        <f t="shared" si="35"/>
        <v>0.288062027007744</v>
      </c>
      <c r="AD46" s="13">
        <f t="shared" si="35"/>
        <v>0.30342096415165</v>
      </c>
      <c r="AE46" s="13">
        <f t="shared" si="35"/>
        <v>0.417422978946839</v>
      </c>
      <c r="AF46" s="13">
        <f t="shared" si="35"/>
        <v>0.267790662365909</v>
      </c>
      <c r="AG46" s="13">
        <f t="shared" si="35"/>
        <v>0.347216784861328</v>
      </c>
      <c r="AH46" s="13">
        <f t="shared" si="35"/>
        <v>0.374181254323076</v>
      </c>
      <c r="AI46" s="13">
        <f t="shared" si="35"/>
        <v>0.367828578686389</v>
      </c>
      <c r="AJ46" s="13">
        <f t="shared" si="13"/>
        <v>16.2149914128254</v>
      </c>
      <c r="AK46" s="13">
        <f t="shared" si="14"/>
        <v>16.2149914128254</v>
      </c>
      <c r="AL46" s="13">
        <f t="shared" si="14"/>
        <v>16.2149914128254</v>
      </c>
      <c r="AM46" s="13">
        <f t="shared" si="14"/>
        <v>16.2149914128254</v>
      </c>
      <c r="AN46" s="13">
        <f t="shared" si="14"/>
        <v>16.2149914128254</v>
      </c>
      <c r="AO46" s="13">
        <f t="shared" si="14"/>
        <v>16.2149914128254</v>
      </c>
      <c r="AP46" s="13">
        <f t="shared" si="14"/>
        <v>16.2149914128254</v>
      </c>
      <c r="AQ46" s="13">
        <f t="shared" si="14"/>
        <v>16.2149914128254</v>
      </c>
      <c r="AR46" s="13">
        <f t="shared" si="14"/>
        <v>16.2149914128254</v>
      </c>
      <c r="AS46" s="13">
        <f t="shared" si="14"/>
        <v>16.2149914128254</v>
      </c>
      <c r="AT46" s="13">
        <f t="shared" si="14"/>
        <v>16.2149914128254</v>
      </c>
      <c r="AU46" s="13">
        <f t="shared" si="14"/>
        <v>16.2149914128254</v>
      </c>
      <c r="AV46" s="13">
        <f t="shared" si="14"/>
        <v>16.2149914128254</v>
      </c>
      <c r="AW46" s="13">
        <f t="shared" si="14"/>
        <v>16.2149914128254</v>
      </c>
      <c r="AX46" s="13">
        <f t="shared" si="14"/>
        <v>16.2149914128254</v>
      </c>
      <c r="AY46" s="13">
        <f t="shared" si="14"/>
        <v>16.2149914128254</v>
      </c>
      <c r="AZ46" s="13">
        <f t="shared" si="14"/>
        <v>16.2149914128254</v>
      </c>
      <c r="BA46" s="13">
        <f t="shared" si="32"/>
        <v>16.2149914128254</v>
      </c>
      <c r="BB46" s="13">
        <f t="shared" si="32"/>
        <v>16.2149914128254</v>
      </c>
      <c r="BC46" s="13">
        <f t="shared" si="32"/>
        <v>16.2149914128254</v>
      </c>
      <c r="BD46" s="13">
        <f t="shared" si="32"/>
        <v>16.2149914128254</v>
      </c>
      <c r="BE46" s="13">
        <f t="shared" si="32"/>
        <v>16.2149914128254</v>
      </c>
      <c r="BF46" s="13">
        <f t="shared" si="32"/>
        <v>16.2149914128254</v>
      </c>
      <c r="BG46" s="13">
        <f t="shared" si="32"/>
        <v>16.2149914128254</v>
      </c>
      <c r="BH46" s="13">
        <f t="shared" si="32"/>
        <v>16.2149914128254</v>
      </c>
      <c r="BI46" s="13">
        <f t="shared" si="32"/>
        <v>16.2149914128254</v>
      </c>
      <c r="BJ46" s="13">
        <f t="shared" si="32"/>
        <v>16.2149914128254</v>
      </c>
      <c r="BK46" s="13">
        <f t="shared" si="32"/>
        <v>16.2149914128254</v>
      </c>
      <c r="BL46" s="13">
        <f t="shared" si="32"/>
        <v>16.2149914128254</v>
      </c>
      <c r="BM46" s="13">
        <f t="shared" si="32"/>
        <v>16.2149914128254</v>
      </c>
      <c r="BN46" s="13">
        <f t="shared" si="32"/>
        <v>16.2149914128254</v>
      </c>
    </row>
    <row r="47" spans="4:66">
      <c r="D47" s="14" t="s">
        <v>11</v>
      </c>
      <c r="E47" s="13">
        <f t="shared" si="10"/>
        <v>0.178918017283487</v>
      </c>
      <c r="F47" s="13">
        <f t="shared" si="15"/>
        <v>0.221299396708398</v>
      </c>
      <c r="G47" s="13">
        <f t="shared" si="17"/>
        <v>2.78657816355205</v>
      </c>
      <c r="H47" s="13">
        <f t="shared" si="19"/>
        <v>17.3979422109281</v>
      </c>
      <c r="I47" s="13">
        <f t="shared" si="21"/>
        <v>0.559688209531529</v>
      </c>
      <c r="J47" s="13">
        <f t="shared" si="23"/>
        <v>0.703852487014172</v>
      </c>
      <c r="K47" s="13">
        <f t="shared" si="25"/>
        <v>1.49745372363527</v>
      </c>
      <c r="L47" s="13">
        <f t="shared" si="27"/>
        <v>5.10139039921106</v>
      </c>
      <c r="M47" s="13">
        <f t="shared" si="30"/>
        <v>0.168338412244155</v>
      </c>
      <c r="N47" s="13">
        <f t="shared" si="33"/>
        <v>0.292129935290922</v>
      </c>
      <c r="O47" s="13">
        <f t="shared" ref="O47:O60" si="36">1/ABS(O14)</f>
        <v>0.334194119531867</v>
      </c>
      <c r="P47" s="13">
        <v>0</v>
      </c>
      <c r="Q47" s="13">
        <f t="shared" ref="Q47:AC47" si="37">1/ABS(Q14)</f>
        <v>0.447973230331372</v>
      </c>
      <c r="R47" s="13">
        <f t="shared" si="37"/>
        <v>37.6783819020413</v>
      </c>
      <c r="S47" s="13">
        <f t="shared" si="37"/>
        <v>0.577676471554054</v>
      </c>
      <c r="T47" s="13">
        <f t="shared" si="37"/>
        <v>5.27799054248881</v>
      </c>
      <c r="U47" s="13">
        <f t="shared" si="37"/>
        <v>1.16826551646531</v>
      </c>
      <c r="V47" s="13">
        <f t="shared" si="37"/>
        <v>3.23234011246499</v>
      </c>
      <c r="W47" s="13">
        <f t="shared" si="37"/>
        <v>0.433642395461739</v>
      </c>
      <c r="X47" s="13">
        <f t="shared" si="37"/>
        <v>3.82906676552921</v>
      </c>
      <c r="Y47" s="13">
        <f t="shared" si="37"/>
        <v>4.30023083860536</v>
      </c>
      <c r="Z47" s="13">
        <f t="shared" si="37"/>
        <v>1.18546767735969</v>
      </c>
      <c r="AA47" s="13">
        <f t="shared" si="37"/>
        <v>92.3615302199821</v>
      </c>
      <c r="AB47" s="13">
        <f t="shared" si="37"/>
        <v>1.5565274018313</v>
      </c>
      <c r="AC47" s="13">
        <f t="shared" si="37"/>
        <v>2.0868040060415</v>
      </c>
      <c r="AD47" s="13">
        <f t="shared" si="35"/>
        <v>3.29512852059878</v>
      </c>
      <c r="AE47" s="13">
        <f t="shared" ref="AE47:AI60" si="38">1/ABS(AE14)</f>
        <v>1.67610497010384</v>
      </c>
      <c r="AF47" s="13">
        <f t="shared" si="38"/>
        <v>1.34773200745503</v>
      </c>
      <c r="AG47" s="13">
        <f t="shared" si="38"/>
        <v>8.91044995534866</v>
      </c>
      <c r="AH47" s="13">
        <f t="shared" si="38"/>
        <v>3.12723518418532</v>
      </c>
      <c r="AI47" s="13">
        <f t="shared" si="38"/>
        <v>3.65476808852537</v>
      </c>
      <c r="AJ47" s="13">
        <f t="shared" si="13"/>
        <v>205.389100881305</v>
      </c>
      <c r="AK47" s="13">
        <f t="shared" si="14"/>
        <v>205.389100881305</v>
      </c>
      <c r="AL47" s="13">
        <f t="shared" si="14"/>
        <v>205.389100881305</v>
      </c>
      <c r="AM47" s="13">
        <f t="shared" si="14"/>
        <v>205.389100881305</v>
      </c>
      <c r="AN47" s="13">
        <f t="shared" si="14"/>
        <v>205.389100881305</v>
      </c>
      <c r="AO47" s="13">
        <f t="shared" si="14"/>
        <v>205.389100881305</v>
      </c>
      <c r="AP47" s="13">
        <f t="shared" si="14"/>
        <v>205.389100881305</v>
      </c>
      <c r="AQ47" s="13">
        <f t="shared" si="14"/>
        <v>205.389100881305</v>
      </c>
      <c r="AR47" s="13">
        <f t="shared" si="14"/>
        <v>205.389100881305</v>
      </c>
      <c r="AS47" s="13">
        <f t="shared" si="14"/>
        <v>205.389100881305</v>
      </c>
      <c r="AT47" s="13">
        <f t="shared" si="14"/>
        <v>205.389100881305</v>
      </c>
      <c r="AU47" s="13">
        <f t="shared" si="14"/>
        <v>205.389100881305</v>
      </c>
      <c r="AV47" s="13">
        <f t="shared" si="14"/>
        <v>205.389100881305</v>
      </c>
      <c r="AW47" s="13">
        <f t="shared" si="14"/>
        <v>205.389100881305</v>
      </c>
      <c r="AX47" s="13">
        <f t="shared" si="14"/>
        <v>205.389100881305</v>
      </c>
      <c r="AY47" s="13">
        <f t="shared" si="14"/>
        <v>205.389100881305</v>
      </c>
      <c r="AZ47" s="13">
        <f t="shared" si="14"/>
        <v>205.389100881305</v>
      </c>
      <c r="BA47" s="13">
        <f t="shared" si="32"/>
        <v>205.389100881305</v>
      </c>
      <c r="BB47" s="13">
        <f t="shared" si="32"/>
        <v>205.389100881305</v>
      </c>
      <c r="BC47" s="13">
        <f t="shared" si="32"/>
        <v>205.389100881305</v>
      </c>
      <c r="BD47" s="13">
        <f t="shared" si="32"/>
        <v>205.389100881305</v>
      </c>
      <c r="BE47" s="13">
        <f t="shared" si="32"/>
        <v>205.389100881305</v>
      </c>
      <c r="BF47" s="13">
        <f t="shared" si="32"/>
        <v>205.389100881305</v>
      </c>
      <c r="BG47" s="13">
        <f t="shared" si="32"/>
        <v>205.389100881305</v>
      </c>
      <c r="BH47" s="13">
        <f t="shared" si="32"/>
        <v>205.389100881305</v>
      </c>
      <c r="BI47" s="13">
        <f t="shared" si="32"/>
        <v>205.389100881305</v>
      </c>
      <c r="BJ47" s="13">
        <f t="shared" si="32"/>
        <v>205.389100881305</v>
      </c>
      <c r="BK47" s="13">
        <f t="shared" si="32"/>
        <v>205.389100881305</v>
      </c>
      <c r="BL47" s="13">
        <f t="shared" si="32"/>
        <v>205.389100881305</v>
      </c>
      <c r="BM47" s="13">
        <f t="shared" si="32"/>
        <v>205.389100881305</v>
      </c>
      <c r="BN47" s="13">
        <f t="shared" si="32"/>
        <v>205.389100881305</v>
      </c>
    </row>
    <row r="48" spans="4:66">
      <c r="D48" s="14" t="s">
        <v>12</v>
      </c>
      <c r="E48" s="13">
        <f t="shared" si="10"/>
        <v>0.297896038731288</v>
      </c>
      <c r="F48" s="13">
        <f t="shared" si="15"/>
        <v>0.437351784409038</v>
      </c>
      <c r="G48" s="13">
        <f t="shared" si="17"/>
        <v>0.533785080055452</v>
      </c>
      <c r="H48" s="13">
        <f t="shared" si="19"/>
        <v>0.459812780912453</v>
      </c>
      <c r="I48" s="13">
        <f t="shared" si="21"/>
        <v>2.24433050068427</v>
      </c>
      <c r="J48" s="13">
        <f t="shared" si="23"/>
        <v>1.23224944597748</v>
      </c>
      <c r="K48" s="13">
        <f t="shared" si="25"/>
        <v>0.639191663045408</v>
      </c>
      <c r="L48" s="13">
        <f t="shared" si="27"/>
        <v>0.491098531117985</v>
      </c>
      <c r="M48" s="13">
        <f t="shared" si="30"/>
        <v>0.269677083982967</v>
      </c>
      <c r="N48" s="13">
        <f t="shared" si="33"/>
        <v>0.839730645805468</v>
      </c>
      <c r="O48" s="13">
        <f t="shared" si="36"/>
        <v>1.31579530049456</v>
      </c>
      <c r="P48" s="13">
        <f t="shared" ref="P48:P60" si="39">1/ABS(P15)</f>
        <v>0.447973230331372</v>
      </c>
      <c r="Q48" s="13">
        <v>0</v>
      </c>
      <c r="R48" s="13">
        <f t="shared" ref="R48:AC48" si="40">1/ABS(R15)</f>
        <v>0.442709679320614</v>
      </c>
      <c r="S48" s="13">
        <f t="shared" si="40"/>
        <v>1.99519759575017</v>
      </c>
      <c r="T48" s="13">
        <f t="shared" si="40"/>
        <v>0.489521738778413</v>
      </c>
      <c r="U48" s="13">
        <f t="shared" si="40"/>
        <v>0.726582371310302</v>
      </c>
      <c r="V48" s="13">
        <f t="shared" si="40"/>
        <v>0.520047071024286</v>
      </c>
      <c r="W48" s="13">
        <f t="shared" si="40"/>
        <v>13.555399002975</v>
      </c>
      <c r="X48" s="13">
        <f t="shared" si="40"/>
        <v>0.401052926736422</v>
      </c>
      <c r="Y48" s="13">
        <f t="shared" si="40"/>
        <v>0.500067362006912</v>
      </c>
      <c r="Z48" s="13">
        <f t="shared" si="40"/>
        <v>0.720083774217024</v>
      </c>
      <c r="AA48" s="13">
        <f t="shared" si="40"/>
        <v>0.450156586320045</v>
      </c>
      <c r="AB48" s="13">
        <f t="shared" si="40"/>
        <v>0.347858512544025</v>
      </c>
      <c r="AC48" s="13">
        <f t="shared" si="40"/>
        <v>0.368802559152122</v>
      </c>
      <c r="AD48" s="13">
        <f t="shared" si="35"/>
        <v>0.39435993621142</v>
      </c>
      <c r="AE48" s="13">
        <f t="shared" si="38"/>
        <v>0.611375908231957</v>
      </c>
      <c r="AF48" s="13">
        <f t="shared" si="38"/>
        <v>0.336217686676052</v>
      </c>
      <c r="AG48" s="13">
        <f t="shared" si="38"/>
        <v>0.471687329833739</v>
      </c>
      <c r="AH48" s="13">
        <f t="shared" si="38"/>
        <v>0.522874460054304</v>
      </c>
      <c r="AI48" s="13">
        <f t="shared" si="38"/>
        <v>0.51055285390185</v>
      </c>
      <c r="AJ48" s="13">
        <f t="shared" si="13"/>
        <v>32.5734394405924</v>
      </c>
      <c r="AK48" s="13">
        <f t="shared" si="14"/>
        <v>32.5734394405924</v>
      </c>
      <c r="AL48" s="13">
        <f t="shared" si="14"/>
        <v>32.5734394405924</v>
      </c>
      <c r="AM48" s="13">
        <f t="shared" si="14"/>
        <v>32.5734394405924</v>
      </c>
      <c r="AN48" s="13">
        <f t="shared" si="14"/>
        <v>32.5734394405924</v>
      </c>
      <c r="AO48" s="13">
        <f t="shared" si="14"/>
        <v>32.5734394405924</v>
      </c>
      <c r="AP48" s="13">
        <f t="shared" si="14"/>
        <v>32.5734394405924</v>
      </c>
      <c r="AQ48" s="13">
        <f t="shared" si="14"/>
        <v>32.5734394405924</v>
      </c>
      <c r="AR48" s="13">
        <f t="shared" si="14"/>
        <v>32.5734394405924</v>
      </c>
      <c r="AS48" s="13">
        <f t="shared" si="14"/>
        <v>32.5734394405924</v>
      </c>
      <c r="AT48" s="13">
        <f t="shared" si="14"/>
        <v>32.5734394405924</v>
      </c>
      <c r="AU48" s="13">
        <f t="shared" si="14"/>
        <v>32.5734394405924</v>
      </c>
      <c r="AV48" s="13">
        <f t="shared" si="14"/>
        <v>32.5734394405924</v>
      </c>
      <c r="AW48" s="13">
        <f t="shared" si="14"/>
        <v>32.5734394405924</v>
      </c>
      <c r="AX48" s="13">
        <f t="shared" si="14"/>
        <v>32.5734394405924</v>
      </c>
      <c r="AY48" s="13">
        <f t="shared" si="14"/>
        <v>32.5734394405924</v>
      </c>
      <c r="AZ48" s="13">
        <f t="shared" si="14"/>
        <v>32.5734394405924</v>
      </c>
      <c r="BA48" s="13">
        <f t="shared" si="32"/>
        <v>32.5734394405924</v>
      </c>
      <c r="BB48" s="13">
        <f t="shared" si="32"/>
        <v>32.5734394405924</v>
      </c>
      <c r="BC48" s="13">
        <f t="shared" si="32"/>
        <v>32.5734394405924</v>
      </c>
      <c r="BD48" s="13">
        <f t="shared" si="32"/>
        <v>32.5734394405924</v>
      </c>
      <c r="BE48" s="13">
        <f t="shared" si="32"/>
        <v>32.5734394405924</v>
      </c>
      <c r="BF48" s="13">
        <f t="shared" si="32"/>
        <v>32.5734394405924</v>
      </c>
      <c r="BG48" s="13">
        <f t="shared" si="32"/>
        <v>32.5734394405924</v>
      </c>
      <c r="BH48" s="13">
        <f t="shared" si="32"/>
        <v>32.5734394405924</v>
      </c>
      <c r="BI48" s="13">
        <f t="shared" si="32"/>
        <v>32.5734394405924</v>
      </c>
      <c r="BJ48" s="13">
        <f t="shared" si="32"/>
        <v>32.5734394405924</v>
      </c>
      <c r="BK48" s="13">
        <f t="shared" si="32"/>
        <v>32.5734394405924</v>
      </c>
      <c r="BL48" s="13">
        <f t="shared" si="32"/>
        <v>32.5734394405924</v>
      </c>
      <c r="BM48" s="13">
        <f t="shared" si="32"/>
        <v>32.5734394405924</v>
      </c>
      <c r="BN48" s="13">
        <f t="shared" si="32"/>
        <v>32.5734394405924</v>
      </c>
    </row>
    <row r="49" spans="4:66">
      <c r="D49" s="14" t="s">
        <v>13</v>
      </c>
      <c r="E49" s="13">
        <f t="shared" si="10"/>
        <v>0.178072429854461</v>
      </c>
      <c r="F49" s="13">
        <f t="shared" si="15"/>
        <v>0.220007211093499</v>
      </c>
      <c r="G49" s="13">
        <f t="shared" si="17"/>
        <v>2.59468330318401</v>
      </c>
      <c r="H49" s="13">
        <f t="shared" si="19"/>
        <v>11.9021434616518</v>
      </c>
      <c r="I49" s="13">
        <f t="shared" si="21"/>
        <v>0.551496088669399</v>
      </c>
      <c r="J49" s="13">
        <f t="shared" si="23"/>
        <v>0.690945257110503</v>
      </c>
      <c r="K49" s="13">
        <f t="shared" si="25"/>
        <v>1.4402151831264</v>
      </c>
      <c r="L49" s="13">
        <f t="shared" si="27"/>
        <v>4.49306121452298</v>
      </c>
      <c r="M49" s="13">
        <f t="shared" si="30"/>
        <v>0.167589659887238</v>
      </c>
      <c r="N49" s="13">
        <f t="shared" si="33"/>
        <v>0.289882404379075</v>
      </c>
      <c r="O49" s="13">
        <f t="shared" si="36"/>
        <v>0.331255994279153</v>
      </c>
      <c r="P49" s="13">
        <f t="shared" si="39"/>
        <v>37.6783819020413</v>
      </c>
      <c r="Q49" s="13">
        <f t="shared" ref="Q49:Q60" si="41">1/ABS(Q16)</f>
        <v>0.442709679320614</v>
      </c>
      <c r="R49" s="13">
        <v>0</v>
      </c>
      <c r="S49" s="13">
        <f t="shared" ref="S49:AC49" si="42">1/ABS(S16)</f>
        <v>0.568953405980277</v>
      </c>
      <c r="T49" s="13">
        <f t="shared" si="42"/>
        <v>4.62949108638195</v>
      </c>
      <c r="U49" s="13">
        <f t="shared" si="42"/>
        <v>1.1331313566945</v>
      </c>
      <c r="V49" s="13">
        <f t="shared" si="42"/>
        <v>2.97695418701138</v>
      </c>
      <c r="W49" s="13">
        <f t="shared" si="42"/>
        <v>0.428708369242772</v>
      </c>
      <c r="X49" s="13">
        <f t="shared" si="42"/>
        <v>4.26221444475847</v>
      </c>
      <c r="Y49" s="13">
        <f t="shared" si="42"/>
        <v>3.85972115860378</v>
      </c>
      <c r="Z49" s="13">
        <f t="shared" si="42"/>
        <v>1.14930724473983</v>
      </c>
      <c r="AA49" s="13">
        <f t="shared" si="42"/>
        <v>26.7612685359239</v>
      </c>
      <c r="AB49" s="13">
        <f t="shared" si="42"/>
        <v>1.62359974864665</v>
      </c>
      <c r="AC49" s="13">
        <f t="shared" si="42"/>
        <v>2.20915741707474</v>
      </c>
      <c r="AD49" s="13">
        <f t="shared" si="35"/>
        <v>3.61091806636421</v>
      </c>
      <c r="AE49" s="13">
        <f t="shared" si="38"/>
        <v>1.60471977125895</v>
      </c>
      <c r="AF49" s="13">
        <f t="shared" si="38"/>
        <v>1.3977278530892</v>
      </c>
      <c r="AG49" s="13">
        <f t="shared" si="38"/>
        <v>7.20626216524035</v>
      </c>
      <c r="AH49" s="13">
        <f t="shared" si="38"/>
        <v>2.88757210357214</v>
      </c>
      <c r="AI49" s="13">
        <f t="shared" si="38"/>
        <v>3.33160545069225</v>
      </c>
      <c r="AJ49" s="13">
        <f t="shared" si="13"/>
        <v>130.621756154396</v>
      </c>
      <c r="AK49" s="13">
        <f t="shared" si="14"/>
        <v>130.621756154396</v>
      </c>
      <c r="AL49" s="13">
        <f t="shared" si="14"/>
        <v>130.621756154396</v>
      </c>
      <c r="AM49" s="13">
        <f t="shared" si="14"/>
        <v>130.621756154396</v>
      </c>
      <c r="AN49" s="13">
        <f t="shared" si="14"/>
        <v>130.621756154396</v>
      </c>
      <c r="AO49" s="13">
        <f t="shared" si="14"/>
        <v>130.621756154396</v>
      </c>
      <c r="AP49" s="13">
        <f t="shared" si="14"/>
        <v>130.621756154396</v>
      </c>
      <c r="AQ49" s="13">
        <f t="shared" si="14"/>
        <v>130.621756154396</v>
      </c>
      <c r="AR49" s="13">
        <f t="shared" si="14"/>
        <v>130.621756154396</v>
      </c>
      <c r="AS49" s="13">
        <f t="shared" si="14"/>
        <v>130.621756154396</v>
      </c>
      <c r="AT49" s="13">
        <f t="shared" si="14"/>
        <v>130.621756154396</v>
      </c>
      <c r="AU49" s="13">
        <f t="shared" si="14"/>
        <v>130.621756154396</v>
      </c>
      <c r="AV49" s="13">
        <f t="shared" si="14"/>
        <v>130.621756154396</v>
      </c>
      <c r="AW49" s="13">
        <f t="shared" si="14"/>
        <v>130.621756154396</v>
      </c>
      <c r="AX49" s="13">
        <f t="shared" si="14"/>
        <v>130.621756154396</v>
      </c>
      <c r="AY49" s="13">
        <f t="shared" si="14"/>
        <v>130.621756154396</v>
      </c>
      <c r="AZ49" s="13">
        <f t="shared" si="14"/>
        <v>130.621756154396</v>
      </c>
      <c r="BA49" s="13">
        <f t="shared" si="32"/>
        <v>130.621756154396</v>
      </c>
      <c r="BB49" s="13">
        <f t="shared" si="32"/>
        <v>130.621756154396</v>
      </c>
      <c r="BC49" s="13">
        <f t="shared" si="32"/>
        <v>130.621756154396</v>
      </c>
      <c r="BD49" s="13">
        <f t="shared" si="32"/>
        <v>130.621756154396</v>
      </c>
      <c r="BE49" s="13">
        <f t="shared" si="32"/>
        <v>130.621756154396</v>
      </c>
      <c r="BF49" s="13">
        <f t="shared" si="32"/>
        <v>130.621756154396</v>
      </c>
      <c r="BG49" s="13">
        <f t="shared" si="32"/>
        <v>130.621756154396</v>
      </c>
      <c r="BH49" s="13">
        <f t="shared" si="32"/>
        <v>130.621756154396</v>
      </c>
      <c r="BI49" s="13">
        <f t="shared" si="32"/>
        <v>130.621756154396</v>
      </c>
      <c r="BJ49" s="13">
        <f t="shared" si="32"/>
        <v>130.621756154396</v>
      </c>
      <c r="BK49" s="13">
        <f t="shared" si="32"/>
        <v>130.621756154396</v>
      </c>
      <c r="BL49" s="13">
        <f t="shared" si="32"/>
        <v>130.621756154396</v>
      </c>
      <c r="BM49" s="13">
        <f t="shared" si="32"/>
        <v>130.621756154396</v>
      </c>
      <c r="BN49" s="13">
        <f t="shared" si="32"/>
        <v>130.621756154396</v>
      </c>
    </row>
    <row r="50" spans="4:66">
      <c r="D50" s="14" t="s">
        <v>14</v>
      </c>
      <c r="E50" s="13">
        <f t="shared" si="10"/>
        <v>0.259196332553847</v>
      </c>
      <c r="F50" s="13">
        <f t="shared" si="15"/>
        <v>0.358719636224958</v>
      </c>
      <c r="G50" s="13">
        <f t="shared" si="17"/>
        <v>0.72875159952197</v>
      </c>
      <c r="H50" s="13">
        <f t="shared" si="19"/>
        <v>0.597516235738396</v>
      </c>
      <c r="I50" s="13">
        <f t="shared" si="21"/>
        <v>17.9738714972974</v>
      </c>
      <c r="J50" s="13">
        <f t="shared" si="23"/>
        <v>3.22247472873648</v>
      </c>
      <c r="K50" s="13">
        <f t="shared" si="25"/>
        <v>0.940492691494308</v>
      </c>
      <c r="L50" s="13">
        <f t="shared" si="27"/>
        <v>0.651445527494332</v>
      </c>
      <c r="M50" s="13">
        <f t="shared" si="30"/>
        <v>0.237566817451961</v>
      </c>
      <c r="N50" s="13">
        <f t="shared" si="33"/>
        <v>0.590995052724662</v>
      </c>
      <c r="O50" s="13">
        <f t="shared" si="36"/>
        <v>0.792895576134777</v>
      </c>
      <c r="P50" s="13">
        <f t="shared" si="39"/>
        <v>0.577676471554054</v>
      </c>
      <c r="Q50" s="13">
        <f t="shared" si="41"/>
        <v>1.99519759575017</v>
      </c>
      <c r="R50" s="13">
        <f t="shared" ref="R50:R60" si="43">1/ABS(R17)</f>
        <v>0.568953405980277</v>
      </c>
      <c r="S50" s="13">
        <v>0</v>
      </c>
      <c r="T50" s="13">
        <f t="shared" ref="T50:AC50" si="44">1/ABS(T17)</f>
        <v>0.648673877419058</v>
      </c>
      <c r="U50" s="13">
        <f t="shared" si="44"/>
        <v>1.14272268882225</v>
      </c>
      <c r="V50" s="13">
        <f t="shared" si="44"/>
        <v>0.703383585873302</v>
      </c>
      <c r="W50" s="13">
        <f t="shared" si="44"/>
        <v>1.73920655252462</v>
      </c>
      <c r="X50" s="13">
        <f t="shared" si="44"/>
        <v>0.50194932163097</v>
      </c>
      <c r="Y50" s="13">
        <f t="shared" si="44"/>
        <v>0.667321933482251</v>
      </c>
      <c r="Z50" s="13">
        <f t="shared" si="44"/>
        <v>1.12673032853575</v>
      </c>
      <c r="AA50" s="13">
        <f t="shared" si="44"/>
        <v>0.58131229737917</v>
      </c>
      <c r="AB50" s="13">
        <f t="shared" si="44"/>
        <v>0.421313665756219</v>
      </c>
      <c r="AC50" s="13">
        <f t="shared" si="44"/>
        <v>0.452432504261682</v>
      </c>
      <c r="AD50" s="13">
        <f t="shared" si="35"/>
        <v>0.491508924656311</v>
      </c>
      <c r="AE50" s="13">
        <f t="shared" si="38"/>
        <v>0.881483324915677</v>
      </c>
      <c r="AF50" s="13">
        <f t="shared" si="38"/>
        <v>0.404357350221999</v>
      </c>
      <c r="AG50" s="13">
        <f t="shared" si="38"/>
        <v>0.617724374744527</v>
      </c>
      <c r="AH50" s="13">
        <f t="shared" si="38"/>
        <v>0.708565830616014</v>
      </c>
      <c r="AI50" s="13">
        <f t="shared" si="38"/>
        <v>0.686126315538746</v>
      </c>
      <c r="AJ50" s="13">
        <f t="shared" si="13"/>
        <v>41.2705660450362</v>
      </c>
      <c r="AK50" s="13">
        <f t="shared" si="14"/>
        <v>41.2705660450362</v>
      </c>
      <c r="AL50" s="13">
        <f t="shared" si="14"/>
        <v>41.2705660450362</v>
      </c>
      <c r="AM50" s="13">
        <f t="shared" si="14"/>
        <v>41.2705660450362</v>
      </c>
      <c r="AN50" s="13">
        <f t="shared" si="14"/>
        <v>41.2705660450362</v>
      </c>
      <c r="AO50" s="13">
        <f t="shared" si="14"/>
        <v>41.2705660450362</v>
      </c>
      <c r="AP50" s="13">
        <f t="shared" si="14"/>
        <v>41.2705660450362</v>
      </c>
      <c r="AQ50" s="13">
        <f t="shared" si="14"/>
        <v>41.2705660450362</v>
      </c>
      <c r="AR50" s="13">
        <f t="shared" si="14"/>
        <v>41.2705660450362</v>
      </c>
      <c r="AS50" s="13">
        <f t="shared" si="14"/>
        <v>41.2705660450362</v>
      </c>
      <c r="AT50" s="13">
        <f t="shared" si="14"/>
        <v>41.2705660450362</v>
      </c>
      <c r="AU50" s="13">
        <f t="shared" si="14"/>
        <v>41.2705660450362</v>
      </c>
      <c r="AV50" s="13">
        <f t="shared" si="14"/>
        <v>41.2705660450362</v>
      </c>
      <c r="AW50" s="13">
        <f t="shared" si="14"/>
        <v>41.2705660450362</v>
      </c>
      <c r="AX50" s="13">
        <f t="shared" si="14"/>
        <v>41.2705660450362</v>
      </c>
      <c r="AY50" s="13">
        <f t="shared" si="14"/>
        <v>41.2705660450362</v>
      </c>
      <c r="AZ50" s="13">
        <f t="shared" si="14"/>
        <v>41.2705660450362</v>
      </c>
      <c r="BA50" s="13">
        <f t="shared" si="32"/>
        <v>41.2705660450362</v>
      </c>
      <c r="BB50" s="13">
        <f t="shared" si="32"/>
        <v>41.2705660450362</v>
      </c>
      <c r="BC50" s="13">
        <f t="shared" si="32"/>
        <v>41.2705660450362</v>
      </c>
      <c r="BD50" s="13">
        <f t="shared" si="32"/>
        <v>41.2705660450362</v>
      </c>
      <c r="BE50" s="13">
        <f t="shared" si="32"/>
        <v>41.2705660450362</v>
      </c>
      <c r="BF50" s="13">
        <f t="shared" si="32"/>
        <v>41.2705660450362</v>
      </c>
      <c r="BG50" s="13">
        <f t="shared" si="32"/>
        <v>41.2705660450362</v>
      </c>
      <c r="BH50" s="13">
        <f t="shared" si="32"/>
        <v>41.2705660450362</v>
      </c>
      <c r="BI50" s="13">
        <f t="shared" si="32"/>
        <v>41.2705660450362</v>
      </c>
      <c r="BJ50" s="13">
        <f t="shared" si="32"/>
        <v>41.2705660450362</v>
      </c>
      <c r="BK50" s="13">
        <f t="shared" si="32"/>
        <v>41.2705660450362</v>
      </c>
      <c r="BL50" s="13">
        <f t="shared" si="32"/>
        <v>41.2705660450362</v>
      </c>
      <c r="BM50" s="13">
        <f t="shared" si="32"/>
        <v>41.2705660450362</v>
      </c>
      <c r="BN50" s="13">
        <f t="shared" si="32"/>
        <v>41.2705660450362</v>
      </c>
    </row>
    <row r="51" spans="4:66">
      <c r="D51" s="14" t="s">
        <v>15</v>
      </c>
      <c r="E51" s="13">
        <f t="shared" si="10"/>
        <v>0.185195954447631</v>
      </c>
      <c r="F51" s="13">
        <f t="shared" si="15"/>
        <v>0.230984271970034</v>
      </c>
      <c r="G51" s="13">
        <f t="shared" si="17"/>
        <v>5.90329136897448</v>
      </c>
      <c r="H51" s="13">
        <f t="shared" si="19"/>
        <v>7.57644724666382</v>
      </c>
      <c r="I51" s="13">
        <f t="shared" si="21"/>
        <v>0.626078802966069</v>
      </c>
      <c r="J51" s="13">
        <f t="shared" si="23"/>
        <v>0.812158864624069</v>
      </c>
      <c r="K51" s="13">
        <f t="shared" si="25"/>
        <v>2.09058844546802</v>
      </c>
      <c r="L51" s="13">
        <f t="shared" si="27"/>
        <v>152.463581177468</v>
      </c>
      <c r="M51" s="13">
        <f t="shared" si="30"/>
        <v>0.173884351637787</v>
      </c>
      <c r="N51" s="13">
        <f t="shared" si="33"/>
        <v>0.30924631816169</v>
      </c>
      <c r="O51" s="13">
        <f t="shared" si="36"/>
        <v>0.356785201359399</v>
      </c>
      <c r="P51" s="13">
        <f t="shared" si="39"/>
        <v>5.27799054248881</v>
      </c>
      <c r="Q51" s="13">
        <f t="shared" si="41"/>
        <v>0.489521738778413</v>
      </c>
      <c r="R51" s="13">
        <f t="shared" si="43"/>
        <v>4.62949108638195</v>
      </c>
      <c r="S51" s="13">
        <f t="shared" ref="S51:S60" si="45">1/ABS(S18)</f>
        <v>0.648673877419058</v>
      </c>
      <c r="T51" s="13">
        <v>0</v>
      </c>
      <c r="U51" s="13">
        <f t="shared" ref="U51:AC51" si="46">1/ABS(U18)</f>
        <v>1.5003666444774</v>
      </c>
      <c r="V51" s="13">
        <f t="shared" si="46"/>
        <v>8.33977315640329</v>
      </c>
      <c r="W51" s="13">
        <f t="shared" si="46"/>
        <v>0.472459945611845</v>
      </c>
      <c r="X51" s="13">
        <f t="shared" si="46"/>
        <v>2.21913374336937</v>
      </c>
      <c r="Y51" s="13">
        <f t="shared" si="46"/>
        <v>23.2128380894938</v>
      </c>
      <c r="Z51" s="13">
        <f t="shared" si="46"/>
        <v>1.52885821184856</v>
      </c>
      <c r="AA51" s="13">
        <f t="shared" si="46"/>
        <v>5.59788089455497</v>
      </c>
      <c r="AB51" s="13">
        <f t="shared" si="46"/>
        <v>1.20203604305666</v>
      </c>
      <c r="AC51" s="13">
        <f t="shared" si="46"/>
        <v>1.49551107438737</v>
      </c>
      <c r="AD51" s="13">
        <f t="shared" si="35"/>
        <v>2.02862657569833</v>
      </c>
      <c r="AE51" s="13">
        <f t="shared" si="38"/>
        <v>2.45606530319866</v>
      </c>
      <c r="AF51" s="13">
        <f t="shared" si="38"/>
        <v>1.0735911042966</v>
      </c>
      <c r="AG51" s="13">
        <f t="shared" si="38"/>
        <v>12.9469500545978</v>
      </c>
      <c r="AH51" s="13">
        <f t="shared" si="38"/>
        <v>7.67428878535393</v>
      </c>
      <c r="AI51" s="13">
        <f t="shared" si="38"/>
        <v>11.8836647183673</v>
      </c>
      <c r="AJ51" s="13">
        <f t="shared" si="13"/>
        <v>265.405963593525</v>
      </c>
      <c r="AK51" s="13">
        <f t="shared" si="14"/>
        <v>265.405963593525</v>
      </c>
      <c r="AL51" s="13">
        <f t="shared" si="14"/>
        <v>265.405963593525</v>
      </c>
      <c r="AM51" s="13">
        <f t="shared" si="14"/>
        <v>265.405963593525</v>
      </c>
      <c r="AN51" s="13">
        <f t="shared" si="14"/>
        <v>265.405963593525</v>
      </c>
      <c r="AO51" s="13">
        <f t="shared" si="14"/>
        <v>265.405963593525</v>
      </c>
      <c r="AP51" s="13">
        <f t="shared" si="14"/>
        <v>265.405963593525</v>
      </c>
      <c r="AQ51" s="13">
        <f t="shared" si="14"/>
        <v>265.405963593525</v>
      </c>
      <c r="AR51" s="13">
        <f t="shared" si="14"/>
        <v>265.405963593525</v>
      </c>
      <c r="AS51" s="13">
        <f t="shared" si="14"/>
        <v>265.405963593525</v>
      </c>
      <c r="AT51" s="13">
        <f t="shared" si="14"/>
        <v>265.405963593525</v>
      </c>
      <c r="AU51" s="13">
        <f t="shared" si="14"/>
        <v>265.405963593525</v>
      </c>
      <c r="AV51" s="13">
        <f t="shared" si="14"/>
        <v>265.405963593525</v>
      </c>
      <c r="AW51" s="13">
        <f t="shared" si="14"/>
        <v>265.405963593525</v>
      </c>
      <c r="AX51" s="13">
        <f t="shared" si="14"/>
        <v>265.405963593525</v>
      </c>
      <c r="AY51" s="13">
        <f t="shared" si="14"/>
        <v>265.405963593525</v>
      </c>
      <c r="AZ51" s="13">
        <f t="shared" si="14"/>
        <v>265.405963593525</v>
      </c>
      <c r="BA51" s="13">
        <f t="shared" si="32"/>
        <v>265.405963593525</v>
      </c>
      <c r="BB51" s="13">
        <f t="shared" si="32"/>
        <v>265.405963593525</v>
      </c>
      <c r="BC51" s="13">
        <f t="shared" si="32"/>
        <v>265.405963593525</v>
      </c>
      <c r="BD51" s="13">
        <f t="shared" si="32"/>
        <v>265.405963593525</v>
      </c>
      <c r="BE51" s="13">
        <f t="shared" si="32"/>
        <v>265.405963593525</v>
      </c>
      <c r="BF51" s="13">
        <f t="shared" si="32"/>
        <v>265.405963593525</v>
      </c>
      <c r="BG51" s="13">
        <f t="shared" si="32"/>
        <v>265.405963593525</v>
      </c>
      <c r="BH51" s="13">
        <f t="shared" si="32"/>
        <v>265.405963593525</v>
      </c>
      <c r="BI51" s="13">
        <f t="shared" si="32"/>
        <v>265.405963593525</v>
      </c>
      <c r="BJ51" s="13">
        <f t="shared" si="32"/>
        <v>265.405963593525</v>
      </c>
      <c r="BK51" s="13">
        <f t="shared" si="32"/>
        <v>265.405963593525</v>
      </c>
      <c r="BL51" s="13">
        <f t="shared" si="32"/>
        <v>265.405963593525</v>
      </c>
      <c r="BM51" s="13">
        <f t="shared" si="32"/>
        <v>265.405963593525</v>
      </c>
      <c r="BN51" s="13">
        <f t="shared" si="32"/>
        <v>265.405963593525</v>
      </c>
    </row>
    <row r="52" spans="4:66">
      <c r="D52" s="14" t="s">
        <v>16</v>
      </c>
      <c r="E52" s="13">
        <f t="shared" si="10"/>
        <v>0.211274350053446</v>
      </c>
      <c r="F52" s="13">
        <f t="shared" si="15"/>
        <v>0.273015526738555</v>
      </c>
      <c r="G52" s="13">
        <f t="shared" si="17"/>
        <v>2.01164044739656</v>
      </c>
      <c r="H52" s="13">
        <f t="shared" si="19"/>
        <v>1.25236111138419</v>
      </c>
      <c r="I52" s="13">
        <f t="shared" si="21"/>
        <v>1.07441475013633</v>
      </c>
      <c r="J52" s="13">
        <f t="shared" si="23"/>
        <v>1.77059328035826</v>
      </c>
      <c r="K52" s="13">
        <f t="shared" si="25"/>
        <v>5.31435668022699</v>
      </c>
      <c r="L52" s="13">
        <f t="shared" si="27"/>
        <v>1.51527822459196</v>
      </c>
      <c r="M52" s="13">
        <f t="shared" si="30"/>
        <v>0.196678299139165</v>
      </c>
      <c r="N52" s="13">
        <f t="shared" si="33"/>
        <v>0.389534835772977</v>
      </c>
      <c r="O52" s="13">
        <f t="shared" si="36"/>
        <v>0.468098375139127</v>
      </c>
      <c r="P52" s="13">
        <f t="shared" si="39"/>
        <v>1.16826551646531</v>
      </c>
      <c r="Q52" s="13">
        <f t="shared" si="41"/>
        <v>0.726582371310302</v>
      </c>
      <c r="R52" s="13">
        <f t="shared" si="43"/>
        <v>1.1331313566945</v>
      </c>
      <c r="S52" s="13">
        <f t="shared" si="45"/>
        <v>1.14272268882225</v>
      </c>
      <c r="T52" s="13">
        <f t="shared" ref="T52:T60" si="47">1/ABS(T19)</f>
        <v>1.5003666444774</v>
      </c>
      <c r="U52" s="13">
        <v>0</v>
      </c>
      <c r="V52" s="13">
        <f t="shared" ref="V52:AC52" si="48">1/ABS(V19)</f>
        <v>1.8295033998282</v>
      </c>
      <c r="W52" s="13">
        <f t="shared" si="48"/>
        <v>0.689618176464801</v>
      </c>
      <c r="X52" s="13">
        <f t="shared" si="48"/>
        <v>0.895150934535362</v>
      </c>
      <c r="Y52" s="13">
        <f t="shared" si="48"/>
        <v>1.6040443890198</v>
      </c>
      <c r="Z52" s="13">
        <f t="shared" si="48"/>
        <v>80.5097113581499</v>
      </c>
      <c r="AA52" s="13">
        <f t="shared" si="48"/>
        <v>1.18323201998286</v>
      </c>
      <c r="AB52" s="13">
        <f t="shared" si="48"/>
        <v>0.667367151750245</v>
      </c>
      <c r="AC52" s="13">
        <f t="shared" si="48"/>
        <v>0.74896746229937</v>
      </c>
      <c r="AD52" s="13">
        <f t="shared" si="35"/>
        <v>0.862479313045159</v>
      </c>
      <c r="AE52" s="13">
        <f t="shared" si="38"/>
        <v>3.85581629099298</v>
      </c>
      <c r="AF52" s="13">
        <f t="shared" si="38"/>
        <v>0.625799037867466</v>
      </c>
      <c r="AG52" s="13">
        <f t="shared" si="38"/>
        <v>1.34455223860891</v>
      </c>
      <c r="AH52" s="13">
        <f t="shared" si="38"/>
        <v>1.86498090693404</v>
      </c>
      <c r="AI52" s="13">
        <f t="shared" si="38"/>
        <v>1.71716674516228</v>
      </c>
      <c r="AJ52" s="13">
        <f t="shared" si="13"/>
        <v>118.546703883349</v>
      </c>
      <c r="AK52" s="13">
        <f t="shared" si="14"/>
        <v>118.546703883349</v>
      </c>
      <c r="AL52" s="13">
        <f t="shared" si="14"/>
        <v>118.546703883349</v>
      </c>
      <c r="AM52" s="13">
        <f t="shared" si="14"/>
        <v>118.546703883349</v>
      </c>
      <c r="AN52" s="13">
        <f t="shared" si="14"/>
        <v>118.546703883349</v>
      </c>
      <c r="AO52" s="13">
        <f t="shared" si="14"/>
        <v>118.546703883349</v>
      </c>
      <c r="AP52" s="13">
        <f t="shared" si="14"/>
        <v>118.546703883349</v>
      </c>
      <c r="AQ52" s="13">
        <f t="shared" si="14"/>
        <v>118.546703883349</v>
      </c>
      <c r="AR52" s="13">
        <f t="shared" si="14"/>
        <v>118.546703883349</v>
      </c>
      <c r="AS52" s="13">
        <f t="shared" si="14"/>
        <v>118.546703883349</v>
      </c>
      <c r="AT52" s="13">
        <f t="shared" si="14"/>
        <v>118.546703883349</v>
      </c>
      <c r="AU52" s="13">
        <f t="shared" si="14"/>
        <v>118.546703883349</v>
      </c>
      <c r="AV52" s="13">
        <f t="shared" si="14"/>
        <v>118.546703883349</v>
      </c>
      <c r="AW52" s="13">
        <f t="shared" si="14"/>
        <v>118.546703883349</v>
      </c>
      <c r="AX52" s="13">
        <f t="shared" si="14"/>
        <v>118.546703883349</v>
      </c>
      <c r="AY52" s="13">
        <f t="shared" si="14"/>
        <v>118.546703883349</v>
      </c>
      <c r="AZ52" s="13">
        <f t="shared" si="14"/>
        <v>118.546703883349</v>
      </c>
      <c r="BA52" s="13">
        <f t="shared" si="32"/>
        <v>118.546703883349</v>
      </c>
      <c r="BB52" s="13">
        <f t="shared" si="32"/>
        <v>118.546703883349</v>
      </c>
      <c r="BC52" s="13">
        <f t="shared" si="32"/>
        <v>118.546703883349</v>
      </c>
      <c r="BD52" s="13">
        <f t="shared" si="32"/>
        <v>118.546703883349</v>
      </c>
      <c r="BE52" s="13">
        <f t="shared" si="32"/>
        <v>118.546703883349</v>
      </c>
      <c r="BF52" s="13">
        <f t="shared" si="32"/>
        <v>118.546703883349</v>
      </c>
      <c r="BG52" s="13">
        <f t="shared" si="32"/>
        <v>118.546703883349</v>
      </c>
      <c r="BH52" s="13">
        <f t="shared" si="32"/>
        <v>118.546703883349</v>
      </c>
      <c r="BI52" s="13">
        <f t="shared" si="32"/>
        <v>118.546703883349</v>
      </c>
      <c r="BJ52" s="13">
        <f t="shared" si="32"/>
        <v>118.546703883349</v>
      </c>
      <c r="BK52" s="13">
        <f t="shared" si="32"/>
        <v>118.546703883349</v>
      </c>
      <c r="BL52" s="13">
        <f t="shared" si="32"/>
        <v>118.546703883349</v>
      </c>
      <c r="BM52" s="13">
        <f t="shared" si="32"/>
        <v>118.546703883349</v>
      </c>
      <c r="BN52" s="13">
        <f t="shared" si="32"/>
        <v>118.546703883349</v>
      </c>
    </row>
    <row r="53" spans="4:66">
      <c r="D53" s="14" t="s">
        <v>17</v>
      </c>
      <c r="E53" s="13">
        <f t="shared" si="10"/>
        <v>0.189401879622457</v>
      </c>
      <c r="F53" s="13">
        <f t="shared" si="15"/>
        <v>0.237564013366428</v>
      </c>
      <c r="G53" s="13">
        <f t="shared" si="17"/>
        <v>20.2062297971677</v>
      </c>
      <c r="H53" s="13">
        <f t="shared" si="19"/>
        <v>3.96990301519426</v>
      </c>
      <c r="I53" s="13">
        <f t="shared" si="21"/>
        <v>0.676894229344581</v>
      </c>
      <c r="J53" s="13">
        <f t="shared" si="23"/>
        <v>0.899783176367538</v>
      </c>
      <c r="K53" s="13">
        <f t="shared" si="25"/>
        <v>2.78996928480798</v>
      </c>
      <c r="L53" s="13">
        <f t="shared" si="27"/>
        <v>8.82235696580485</v>
      </c>
      <c r="M53" s="13">
        <f t="shared" si="30"/>
        <v>0.177587043220711</v>
      </c>
      <c r="N53" s="13">
        <f t="shared" si="33"/>
        <v>0.321155036882504</v>
      </c>
      <c r="O53" s="13">
        <f t="shared" si="36"/>
        <v>0.372731070328002</v>
      </c>
      <c r="P53" s="13">
        <f t="shared" si="39"/>
        <v>3.23234011246499</v>
      </c>
      <c r="Q53" s="13">
        <f t="shared" si="41"/>
        <v>0.520047071024286</v>
      </c>
      <c r="R53" s="13">
        <f t="shared" si="43"/>
        <v>2.97695418701138</v>
      </c>
      <c r="S53" s="13">
        <f t="shared" si="45"/>
        <v>0.703383585873302</v>
      </c>
      <c r="T53" s="13">
        <f t="shared" si="47"/>
        <v>8.33977315640329</v>
      </c>
      <c r="U53" s="13">
        <f t="shared" ref="U53:U60" si="49">1/ABS(U20)</f>
        <v>1.8295033998282</v>
      </c>
      <c r="V53" s="13">
        <v>0</v>
      </c>
      <c r="W53" s="13">
        <f t="shared" ref="W53:AC53" si="50">1/ABS(W20)</f>
        <v>0.500832834071575</v>
      </c>
      <c r="X53" s="13">
        <f t="shared" si="50"/>
        <v>1.75274507097123</v>
      </c>
      <c r="Y53" s="13">
        <f t="shared" si="50"/>
        <v>13.0161338536206</v>
      </c>
      <c r="Z53" s="13">
        <f t="shared" si="50"/>
        <v>1.87204373845765</v>
      </c>
      <c r="AA53" s="13">
        <f t="shared" si="50"/>
        <v>3.34956346645314</v>
      </c>
      <c r="AB53" s="13">
        <f t="shared" si="50"/>
        <v>1.05060871742023</v>
      </c>
      <c r="AC53" s="13">
        <f t="shared" si="50"/>
        <v>1.2681100841228</v>
      </c>
      <c r="AD53" s="13">
        <f t="shared" si="35"/>
        <v>1.63171616618855</v>
      </c>
      <c r="AE53" s="13">
        <f t="shared" si="38"/>
        <v>3.48131280427755</v>
      </c>
      <c r="AF53" s="13">
        <f t="shared" si="38"/>
        <v>0.95114839122357</v>
      </c>
      <c r="AG53" s="13">
        <f t="shared" si="38"/>
        <v>5.07239303355187</v>
      </c>
      <c r="AH53" s="13">
        <f t="shared" si="38"/>
        <v>96.1732993152962</v>
      </c>
      <c r="AI53" s="13">
        <f t="shared" si="38"/>
        <v>27.9656039935411</v>
      </c>
      <c r="AJ53" s="13">
        <f t="shared" si="13"/>
        <v>214.351088493908</v>
      </c>
      <c r="AK53" s="13">
        <f t="shared" si="14"/>
        <v>214.351088493908</v>
      </c>
      <c r="AL53" s="13">
        <f t="shared" si="14"/>
        <v>214.351088493908</v>
      </c>
      <c r="AM53" s="13">
        <f t="shared" si="14"/>
        <v>214.351088493908</v>
      </c>
      <c r="AN53" s="13">
        <f t="shared" si="14"/>
        <v>214.351088493908</v>
      </c>
      <c r="AO53" s="13">
        <f t="shared" si="14"/>
        <v>214.351088493908</v>
      </c>
      <c r="AP53" s="13">
        <f t="shared" si="14"/>
        <v>214.351088493908</v>
      </c>
      <c r="AQ53" s="13">
        <f t="shared" si="14"/>
        <v>214.351088493908</v>
      </c>
      <c r="AR53" s="13">
        <f t="shared" si="14"/>
        <v>214.351088493908</v>
      </c>
      <c r="AS53" s="13">
        <f t="shared" si="14"/>
        <v>214.351088493908</v>
      </c>
      <c r="AT53" s="13">
        <f t="shared" si="14"/>
        <v>214.351088493908</v>
      </c>
      <c r="AU53" s="13">
        <f t="shared" si="14"/>
        <v>214.351088493908</v>
      </c>
      <c r="AV53" s="13">
        <f t="shared" si="14"/>
        <v>214.351088493908</v>
      </c>
      <c r="AW53" s="13">
        <f t="shared" si="14"/>
        <v>214.351088493908</v>
      </c>
      <c r="AX53" s="13">
        <f t="shared" si="14"/>
        <v>214.351088493908</v>
      </c>
      <c r="AY53" s="13">
        <f t="shared" si="14"/>
        <v>214.351088493908</v>
      </c>
      <c r="AZ53" s="13">
        <f t="shared" si="14"/>
        <v>214.351088493908</v>
      </c>
      <c r="BA53" s="13">
        <f t="shared" si="32"/>
        <v>214.351088493908</v>
      </c>
      <c r="BB53" s="13">
        <f t="shared" si="32"/>
        <v>214.351088493908</v>
      </c>
      <c r="BC53" s="13">
        <f t="shared" si="32"/>
        <v>214.351088493908</v>
      </c>
      <c r="BD53" s="13">
        <f t="shared" si="32"/>
        <v>214.351088493908</v>
      </c>
      <c r="BE53" s="13">
        <f t="shared" si="32"/>
        <v>214.351088493908</v>
      </c>
      <c r="BF53" s="13">
        <f t="shared" si="32"/>
        <v>214.351088493908</v>
      </c>
      <c r="BG53" s="13">
        <f t="shared" si="32"/>
        <v>214.351088493908</v>
      </c>
      <c r="BH53" s="13">
        <f t="shared" si="32"/>
        <v>214.351088493908</v>
      </c>
      <c r="BI53" s="13">
        <f t="shared" si="32"/>
        <v>214.351088493908</v>
      </c>
      <c r="BJ53" s="13">
        <f t="shared" si="32"/>
        <v>214.351088493908</v>
      </c>
      <c r="BK53" s="13">
        <f t="shared" si="32"/>
        <v>214.351088493908</v>
      </c>
      <c r="BL53" s="13">
        <f t="shared" si="32"/>
        <v>214.351088493908</v>
      </c>
      <c r="BM53" s="13">
        <f t="shared" si="32"/>
        <v>214.351088493908</v>
      </c>
      <c r="BN53" s="13">
        <f t="shared" si="32"/>
        <v>214.351088493908</v>
      </c>
    </row>
    <row r="54" spans="4:66">
      <c r="D54" s="14" t="s">
        <v>18</v>
      </c>
      <c r="E54" s="13">
        <f t="shared" si="10"/>
        <v>0.304589761533473</v>
      </c>
      <c r="F54" s="13">
        <f t="shared" si="15"/>
        <v>0.451932962547736</v>
      </c>
      <c r="G54" s="13">
        <f t="shared" si="17"/>
        <v>0.513562013197168</v>
      </c>
      <c r="H54" s="13">
        <f t="shared" si="19"/>
        <v>0.444727187005587</v>
      </c>
      <c r="I54" s="13">
        <f t="shared" si="21"/>
        <v>1.92552634678182</v>
      </c>
      <c r="J54" s="13">
        <f t="shared" si="23"/>
        <v>1.12956654123076</v>
      </c>
      <c r="K54" s="13">
        <f t="shared" si="25"/>
        <v>0.610408446134138</v>
      </c>
      <c r="L54" s="13">
        <f t="shared" si="27"/>
        <v>0.473928573505358</v>
      </c>
      <c r="M54" s="13">
        <f t="shared" si="30"/>
        <v>0.275151060487141</v>
      </c>
      <c r="N54" s="13">
        <f t="shared" si="33"/>
        <v>0.895185659077129</v>
      </c>
      <c r="O54" s="13">
        <f t="shared" si="36"/>
        <v>1.45724736993148</v>
      </c>
      <c r="P54" s="13">
        <f t="shared" si="39"/>
        <v>0.433642395461739</v>
      </c>
      <c r="Q54" s="13">
        <f t="shared" si="41"/>
        <v>13.555399002975</v>
      </c>
      <c r="R54" s="13">
        <f t="shared" si="43"/>
        <v>0.428708369242772</v>
      </c>
      <c r="S54" s="13">
        <f t="shared" si="45"/>
        <v>1.73920655252462</v>
      </c>
      <c r="T54" s="13">
        <f t="shared" si="47"/>
        <v>0.472459945611845</v>
      </c>
      <c r="U54" s="13">
        <f t="shared" si="49"/>
        <v>0.689618176464801</v>
      </c>
      <c r="V54" s="13">
        <f t="shared" ref="V54:V60" si="51">1/ABS(V21)</f>
        <v>0.500832834071575</v>
      </c>
      <c r="W54" s="13">
        <v>0</v>
      </c>
      <c r="X54" s="13">
        <f t="shared" ref="X54:AC54" si="52">1/ABS(X21)</f>
        <v>0.389528260520832</v>
      </c>
      <c r="Y54" s="13">
        <f t="shared" si="52"/>
        <v>0.482275894968324</v>
      </c>
      <c r="Z54" s="13">
        <f t="shared" si="52"/>
        <v>0.683761314936062</v>
      </c>
      <c r="AA54" s="13">
        <f t="shared" si="52"/>
        <v>0.43568797413859</v>
      </c>
      <c r="AB54" s="13">
        <f t="shared" si="52"/>
        <v>0.339155117342269</v>
      </c>
      <c r="AC54" s="13">
        <f t="shared" si="52"/>
        <v>0.359034291504582</v>
      </c>
      <c r="AD54" s="13">
        <f t="shared" si="35"/>
        <v>0.383211373718932</v>
      </c>
      <c r="AE54" s="13">
        <f t="shared" si="38"/>
        <v>0.584991603864223</v>
      </c>
      <c r="AF54" s="13">
        <f t="shared" si="38"/>
        <v>0.328080236920617</v>
      </c>
      <c r="AG54" s="13">
        <f t="shared" si="38"/>
        <v>0.455825950510416</v>
      </c>
      <c r="AH54" s="13">
        <f t="shared" si="38"/>
        <v>0.503454628375722</v>
      </c>
      <c r="AI54" s="13">
        <f t="shared" si="38"/>
        <v>0.492021280690196</v>
      </c>
      <c r="AJ54" s="13">
        <f t="shared" si="13"/>
        <v>31.7387211252749</v>
      </c>
      <c r="AK54" s="13">
        <f t="shared" si="14"/>
        <v>31.7387211252749</v>
      </c>
      <c r="AL54" s="13">
        <f t="shared" si="14"/>
        <v>31.7387211252749</v>
      </c>
      <c r="AM54" s="13">
        <f t="shared" si="14"/>
        <v>31.7387211252749</v>
      </c>
      <c r="AN54" s="13">
        <f t="shared" si="14"/>
        <v>31.7387211252749</v>
      </c>
      <c r="AO54" s="13">
        <f t="shared" si="14"/>
        <v>31.7387211252749</v>
      </c>
      <c r="AP54" s="13">
        <f t="shared" si="14"/>
        <v>31.7387211252749</v>
      </c>
      <c r="AQ54" s="13">
        <f t="shared" si="14"/>
        <v>31.7387211252749</v>
      </c>
      <c r="AR54" s="13">
        <f t="shared" si="14"/>
        <v>31.7387211252749</v>
      </c>
      <c r="AS54" s="13">
        <f t="shared" si="14"/>
        <v>31.7387211252749</v>
      </c>
      <c r="AT54" s="13">
        <f t="shared" si="14"/>
        <v>31.7387211252749</v>
      </c>
      <c r="AU54" s="13">
        <f t="shared" si="14"/>
        <v>31.7387211252749</v>
      </c>
      <c r="AV54" s="13">
        <f t="shared" si="14"/>
        <v>31.7387211252749</v>
      </c>
      <c r="AW54" s="13">
        <f t="shared" si="14"/>
        <v>31.7387211252749</v>
      </c>
      <c r="AX54" s="13">
        <f t="shared" si="14"/>
        <v>31.7387211252749</v>
      </c>
      <c r="AY54" s="13">
        <f t="shared" si="14"/>
        <v>31.7387211252749</v>
      </c>
      <c r="AZ54" s="13">
        <f t="shared" si="14"/>
        <v>31.7387211252749</v>
      </c>
      <c r="BA54" s="13">
        <f t="shared" si="32"/>
        <v>31.7387211252749</v>
      </c>
      <c r="BB54" s="13">
        <f t="shared" si="32"/>
        <v>31.7387211252749</v>
      </c>
      <c r="BC54" s="13">
        <f t="shared" si="32"/>
        <v>31.7387211252749</v>
      </c>
      <c r="BD54" s="13">
        <f t="shared" si="32"/>
        <v>31.7387211252749</v>
      </c>
      <c r="BE54" s="13">
        <f t="shared" si="32"/>
        <v>31.7387211252749</v>
      </c>
      <c r="BF54" s="13">
        <f t="shared" si="32"/>
        <v>31.7387211252749</v>
      </c>
      <c r="BG54" s="13">
        <f t="shared" si="32"/>
        <v>31.7387211252749</v>
      </c>
      <c r="BH54" s="13">
        <f t="shared" si="32"/>
        <v>31.7387211252749</v>
      </c>
      <c r="BI54" s="13">
        <f t="shared" si="32"/>
        <v>31.7387211252749</v>
      </c>
      <c r="BJ54" s="13">
        <f t="shared" si="32"/>
        <v>31.7387211252749</v>
      </c>
      <c r="BK54" s="13">
        <f t="shared" si="32"/>
        <v>31.7387211252749</v>
      </c>
      <c r="BL54" s="13">
        <f t="shared" si="32"/>
        <v>31.7387211252749</v>
      </c>
      <c r="BM54" s="13">
        <f t="shared" si="32"/>
        <v>31.7387211252749</v>
      </c>
      <c r="BN54" s="13">
        <f t="shared" si="32"/>
        <v>31.7387211252749</v>
      </c>
    </row>
    <row r="55" spans="4:66">
      <c r="D55" s="14" t="s">
        <v>19</v>
      </c>
      <c r="E55" s="13">
        <f t="shared" si="10"/>
        <v>0.170931046612857</v>
      </c>
      <c r="F55" s="13">
        <f t="shared" si="15"/>
        <v>0.209208286665042</v>
      </c>
      <c r="G55" s="13">
        <f t="shared" si="17"/>
        <v>1.61284257997328</v>
      </c>
      <c r="H55" s="13">
        <f t="shared" si="19"/>
        <v>3.13835464913346</v>
      </c>
      <c r="I55" s="13">
        <f t="shared" si="21"/>
        <v>0.488312410775693</v>
      </c>
      <c r="J55" s="13">
        <f t="shared" si="23"/>
        <v>0.594561256379948</v>
      </c>
      <c r="K55" s="13">
        <f t="shared" si="25"/>
        <v>1.07647202291889</v>
      </c>
      <c r="L55" s="13">
        <f t="shared" si="27"/>
        <v>2.18729725424723</v>
      </c>
      <c r="M55" s="13">
        <f t="shared" si="30"/>
        <v>0.161249358276233</v>
      </c>
      <c r="N55" s="13">
        <f t="shared" si="33"/>
        <v>0.271422382293975</v>
      </c>
      <c r="O55" s="13">
        <f t="shared" si="36"/>
        <v>0.307367621598375</v>
      </c>
      <c r="P55" s="13">
        <f t="shared" si="39"/>
        <v>3.82906676552921</v>
      </c>
      <c r="Q55" s="13">
        <f t="shared" si="41"/>
        <v>0.401052926736422</v>
      </c>
      <c r="R55" s="13">
        <f t="shared" si="43"/>
        <v>4.26221444475847</v>
      </c>
      <c r="S55" s="13">
        <f t="shared" si="45"/>
        <v>0.50194932163097</v>
      </c>
      <c r="T55" s="13">
        <f t="shared" si="47"/>
        <v>2.21913374336937</v>
      </c>
      <c r="U55" s="13">
        <f t="shared" si="49"/>
        <v>0.895150934535362</v>
      </c>
      <c r="V55" s="13">
        <f t="shared" si="51"/>
        <v>1.75274507097123</v>
      </c>
      <c r="W55" s="13">
        <f t="shared" ref="W55:W60" si="53">1/ABS(W22)</f>
        <v>0.389528260520832</v>
      </c>
      <c r="X55" s="13">
        <v>0</v>
      </c>
      <c r="Y55" s="13">
        <f>1/ABS(Y22)</f>
        <v>2.02549737874439</v>
      </c>
      <c r="Z55" s="13">
        <f>1/ABS(Z22)</f>
        <v>0.90521561606266</v>
      </c>
      <c r="AA55" s="13">
        <f>1/ABS(AA22)</f>
        <v>3.67664279942066</v>
      </c>
      <c r="AB55" s="13">
        <f>1/ABS(AB22)</f>
        <v>2.62263767096622</v>
      </c>
      <c r="AC55" s="13">
        <f>1/ABS(AC22)</f>
        <v>4.58628402759193</v>
      </c>
      <c r="AD55" s="13">
        <f t="shared" si="35"/>
        <v>23.6305738091793</v>
      </c>
      <c r="AE55" s="13">
        <f t="shared" si="38"/>
        <v>1.16579793415381</v>
      </c>
      <c r="AF55" s="13">
        <f t="shared" si="38"/>
        <v>2.07974994981783</v>
      </c>
      <c r="AG55" s="13">
        <f t="shared" si="38"/>
        <v>2.67817912857103</v>
      </c>
      <c r="AH55" s="13">
        <f t="shared" si="38"/>
        <v>1.72137328113668</v>
      </c>
      <c r="AI55" s="13">
        <f t="shared" si="38"/>
        <v>1.86994385851625</v>
      </c>
      <c r="AJ55" s="13">
        <f t="shared" si="13"/>
        <v>71.4307557910876</v>
      </c>
      <c r="AK55" s="13">
        <f t="shared" si="14"/>
        <v>71.4307557910876</v>
      </c>
      <c r="AL55" s="13">
        <f t="shared" si="14"/>
        <v>71.4307557910876</v>
      </c>
      <c r="AM55" s="13">
        <f t="shared" si="14"/>
        <v>71.4307557910876</v>
      </c>
      <c r="AN55" s="13">
        <f t="shared" si="14"/>
        <v>71.4307557910876</v>
      </c>
      <c r="AO55" s="13">
        <f t="shared" si="14"/>
        <v>71.4307557910876</v>
      </c>
      <c r="AP55" s="13">
        <f t="shared" si="14"/>
        <v>71.4307557910876</v>
      </c>
      <c r="AQ55" s="13">
        <f t="shared" si="14"/>
        <v>71.4307557910876</v>
      </c>
      <c r="AR55" s="13">
        <f t="shared" si="14"/>
        <v>71.4307557910876</v>
      </c>
      <c r="AS55" s="13">
        <f t="shared" si="14"/>
        <v>71.4307557910876</v>
      </c>
      <c r="AT55" s="13">
        <f t="shared" si="14"/>
        <v>71.4307557910876</v>
      </c>
      <c r="AU55" s="13">
        <f t="shared" si="14"/>
        <v>71.4307557910876</v>
      </c>
      <c r="AV55" s="13">
        <f t="shared" si="14"/>
        <v>71.4307557910876</v>
      </c>
      <c r="AW55" s="13">
        <f t="shared" si="14"/>
        <v>71.4307557910876</v>
      </c>
      <c r="AX55" s="13">
        <f t="shared" si="14"/>
        <v>71.4307557910876</v>
      </c>
      <c r="AY55" s="13">
        <f t="shared" si="14"/>
        <v>71.4307557910876</v>
      </c>
      <c r="AZ55" s="13">
        <f t="shared" si="14"/>
        <v>71.4307557910876</v>
      </c>
      <c r="BA55" s="13">
        <f t="shared" si="32"/>
        <v>71.4307557910876</v>
      </c>
      <c r="BB55" s="13">
        <f t="shared" si="32"/>
        <v>71.4307557910876</v>
      </c>
      <c r="BC55" s="13">
        <f t="shared" si="32"/>
        <v>71.4307557910876</v>
      </c>
      <c r="BD55" s="13">
        <f t="shared" si="32"/>
        <v>71.4307557910876</v>
      </c>
      <c r="BE55" s="13">
        <f t="shared" si="32"/>
        <v>71.4307557910876</v>
      </c>
      <c r="BF55" s="13">
        <f t="shared" si="32"/>
        <v>71.4307557910876</v>
      </c>
      <c r="BG55" s="13">
        <f t="shared" si="32"/>
        <v>71.4307557910876</v>
      </c>
      <c r="BH55" s="13">
        <f t="shared" si="32"/>
        <v>71.4307557910876</v>
      </c>
      <c r="BI55" s="13">
        <f t="shared" si="32"/>
        <v>71.4307557910876</v>
      </c>
      <c r="BJ55" s="13">
        <f t="shared" si="32"/>
        <v>71.4307557910876</v>
      </c>
      <c r="BK55" s="13">
        <f t="shared" si="32"/>
        <v>71.4307557910876</v>
      </c>
      <c r="BL55" s="13">
        <f t="shared" si="32"/>
        <v>71.4307557910876</v>
      </c>
      <c r="BM55" s="13">
        <f t="shared" si="32"/>
        <v>71.4307557910876</v>
      </c>
      <c r="BN55" s="13">
        <f t="shared" si="32"/>
        <v>71.4307557910876</v>
      </c>
    </row>
    <row r="56" spans="4:66">
      <c r="D56" s="14" t="s">
        <v>20</v>
      </c>
      <c r="E56" s="13">
        <f t="shared" si="10"/>
        <v>0.186685361888594</v>
      </c>
      <c r="F56" s="13">
        <f t="shared" si="15"/>
        <v>0.233305831158477</v>
      </c>
      <c r="G56" s="13">
        <f t="shared" si="17"/>
        <v>7.91656471169567</v>
      </c>
      <c r="H56" s="13">
        <f t="shared" si="19"/>
        <v>5.71207942341757</v>
      </c>
      <c r="I56" s="13">
        <f t="shared" si="21"/>
        <v>0.643432982135864</v>
      </c>
      <c r="J56" s="13">
        <f t="shared" si="23"/>
        <v>0.841604490569873</v>
      </c>
      <c r="K56" s="13">
        <f t="shared" si="25"/>
        <v>2.29750580143065</v>
      </c>
      <c r="L56" s="13">
        <f t="shared" si="27"/>
        <v>27.3817568848178</v>
      </c>
      <c r="M56" s="13">
        <f t="shared" si="30"/>
        <v>0.175196727542029</v>
      </c>
      <c r="N56" s="13">
        <f t="shared" si="33"/>
        <v>0.313421789251612</v>
      </c>
      <c r="O56" s="13">
        <f t="shared" si="36"/>
        <v>0.362354652941091</v>
      </c>
      <c r="P56" s="13">
        <f t="shared" si="39"/>
        <v>4.30023083860536</v>
      </c>
      <c r="Q56" s="13">
        <f t="shared" si="41"/>
        <v>0.500067362006912</v>
      </c>
      <c r="R56" s="13">
        <f t="shared" si="43"/>
        <v>3.85972115860378</v>
      </c>
      <c r="S56" s="13">
        <f t="shared" si="45"/>
        <v>0.667321933482251</v>
      </c>
      <c r="T56" s="13">
        <f t="shared" si="47"/>
        <v>23.2128380894938</v>
      </c>
      <c r="U56" s="13">
        <f t="shared" si="49"/>
        <v>1.6040443890198</v>
      </c>
      <c r="V56" s="13">
        <f t="shared" si="51"/>
        <v>13.0161338536206</v>
      </c>
      <c r="W56" s="13">
        <f t="shared" si="53"/>
        <v>0.482275894968324</v>
      </c>
      <c r="X56" s="13">
        <f>1/ABS(X23)</f>
        <v>2.02549737874439</v>
      </c>
      <c r="Y56" s="13">
        <v>0</v>
      </c>
      <c r="Z56" s="13">
        <f>1/ABS(Z23)</f>
        <v>1.63665241960589</v>
      </c>
      <c r="AA56" s="13">
        <f>1/ABS(AA23)</f>
        <v>4.51022075920836</v>
      </c>
      <c r="AB56" s="13">
        <f>1/ABS(AB23)</f>
        <v>1.14285528951425</v>
      </c>
      <c r="AC56" s="13">
        <f>1/ABS(AC23)</f>
        <v>1.40499295199963</v>
      </c>
      <c r="AD56" s="13">
        <f t="shared" si="35"/>
        <v>1.86558826400699</v>
      </c>
      <c r="AE56" s="13">
        <f t="shared" si="38"/>
        <v>2.746681616037</v>
      </c>
      <c r="AF56" s="13">
        <f t="shared" si="38"/>
        <v>1.02613258950104</v>
      </c>
      <c r="AG56" s="13">
        <f t="shared" si="38"/>
        <v>8.31131681890807</v>
      </c>
      <c r="AH56" s="13">
        <f t="shared" si="38"/>
        <v>11.4645208854199</v>
      </c>
      <c r="AI56" s="13">
        <f t="shared" si="38"/>
        <v>24.3489596266863</v>
      </c>
      <c r="AJ56" s="13">
        <f t="shared" si="13"/>
        <v>154.189960776282</v>
      </c>
      <c r="AK56" s="13">
        <f t="shared" si="14"/>
        <v>154.189960776282</v>
      </c>
      <c r="AL56" s="13">
        <f t="shared" si="14"/>
        <v>154.189960776282</v>
      </c>
      <c r="AM56" s="13">
        <f t="shared" si="14"/>
        <v>154.189960776282</v>
      </c>
      <c r="AN56" s="13">
        <f t="shared" si="14"/>
        <v>154.189960776282</v>
      </c>
      <c r="AO56" s="13">
        <f t="shared" si="14"/>
        <v>154.189960776282</v>
      </c>
      <c r="AP56" s="13">
        <f t="shared" si="14"/>
        <v>154.189960776282</v>
      </c>
      <c r="AQ56" s="13">
        <f t="shared" si="14"/>
        <v>154.189960776282</v>
      </c>
      <c r="AR56" s="13">
        <f t="shared" si="14"/>
        <v>154.189960776282</v>
      </c>
      <c r="AS56" s="13">
        <f t="shared" si="14"/>
        <v>154.189960776282</v>
      </c>
      <c r="AT56" s="13">
        <f t="shared" si="14"/>
        <v>154.189960776282</v>
      </c>
      <c r="AU56" s="13">
        <f t="shared" si="14"/>
        <v>154.189960776282</v>
      </c>
      <c r="AV56" s="13">
        <f t="shared" si="14"/>
        <v>154.189960776282</v>
      </c>
      <c r="AW56" s="13">
        <f t="shared" si="14"/>
        <v>154.189960776282</v>
      </c>
      <c r="AX56" s="13">
        <f t="shared" si="14"/>
        <v>154.189960776282</v>
      </c>
      <c r="AY56" s="13">
        <f t="shared" si="14"/>
        <v>154.189960776282</v>
      </c>
      <c r="AZ56" s="13">
        <f t="shared" si="14"/>
        <v>154.189960776282</v>
      </c>
      <c r="BA56" s="13">
        <f t="shared" si="32"/>
        <v>154.189960776282</v>
      </c>
      <c r="BB56" s="13">
        <f t="shared" si="32"/>
        <v>154.189960776282</v>
      </c>
      <c r="BC56" s="13">
        <f t="shared" si="32"/>
        <v>154.189960776282</v>
      </c>
      <c r="BD56" s="13">
        <f t="shared" si="32"/>
        <v>154.189960776282</v>
      </c>
      <c r="BE56" s="13">
        <f t="shared" si="32"/>
        <v>154.189960776282</v>
      </c>
      <c r="BF56" s="13">
        <f t="shared" si="32"/>
        <v>154.189960776282</v>
      </c>
      <c r="BG56" s="13">
        <f t="shared" si="32"/>
        <v>154.189960776282</v>
      </c>
      <c r="BH56" s="13">
        <f t="shared" si="32"/>
        <v>154.189960776282</v>
      </c>
      <c r="BI56" s="13">
        <f t="shared" si="32"/>
        <v>154.189960776282</v>
      </c>
      <c r="BJ56" s="13">
        <f t="shared" si="32"/>
        <v>154.189960776282</v>
      </c>
      <c r="BK56" s="13">
        <f t="shared" si="32"/>
        <v>154.189960776282</v>
      </c>
      <c r="BL56" s="13">
        <f t="shared" si="32"/>
        <v>154.189960776282</v>
      </c>
      <c r="BM56" s="13">
        <f t="shared" si="32"/>
        <v>154.189960776282</v>
      </c>
      <c r="BN56" s="13">
        <f t="shared" si="32"/>
        <v>154.189960776282</v>
      </c>
    </row>
    <row r="57" spans="4:66">
      <c r="D57" s="14" t="s">
        <v>21</v>
      </c>
      <c r="E57" s="13">
        <f t="shared" si="10"/>
        <v>0.210721373022766</v>
      </c>
      <c r="F57" s="13">
        <f t="shared" si="15"/>
        <v>0.272092835951618</v>
      </c>
      <c r="G57" s="13">
        <f t="shared" si="17"/>
        <v>2.0631919981882</v>
      </c>
      <c r="H57" s="13">
        <f t="shared" si="19"/>
        <v>1.27214991770214</v>
      </c>
      <c r="I57" s="13">
        <f t="shared" si="21"/>
        <v>1.06026534252022</v>
      </c>
      <c r="J57" s="13">
        <f t="shared" si="23"/>
        <v>1.73249181028929</v>
      </c>
      <c r="K57" s="13">
        <f t="shared" si="25"/>
        <v>5.68994353722955</v>
      </c>
      <c r="L57" s="13">
        <f t="shared" si="27"/>
        <v>1.54434442592846</v>
      </c>
      <c r="M57" s="13">
        <f t="shared" si="30"/>
        <v>0.196199001855313</v>
      </c>
      <c r="N57" s="13">
        <f t="shared" si="33"/>
        <v>0.387659201630269</v>
      </c>
      <c r="O57" s="13">
        <f t="shared" si="36"/>
        <v>0.465392496954355</v>
      </c>
      <c r="P57" s="13">
        <f t="shared" si="39"/>
        <v>1.18546767735969</v>
      </c>
      <c r="Q57" s="13">
        <f t="shared" si="41"/>
        <v>0.720083774217024</v>
      </c>
      <c r="R57" s="13">
        <f t="shared" si="43"/>
        <v>1.14930724473983</v>
      </c>
      <c r="S57" s="13">
        <f t="shared" si="45"/>
        <v>1.12673032853575</v>
      </c>
      <c r="T57" s="13">
        <f t="shared" si="47"/>
        <v>1.52885821184856</v>
      </c>
      <c r="U57" s="13">
        <f t="shared" si="49"/>
        <v>80.5097113581499</v>
      </c>
      <c r="V57" s="13">
        <f t="shared" si="51"/>
        <v>1.87204373845765</v>
      </c>
      <c r="W57" s="13">
        <f t="shared" si="53"/>
        <v>0.683761314936062</v>
      </c>
      <c r="X57" s="13">
        <f>1/ABS(X24)</f>
        <v>0.90521561606266</v>
      </c>
      <c r="Y57" s="13">
        <f>1/ABS(Y24)</f>
        <v>1.63665241960589</v>
      </c>
      <c r="Z57" s="13">
        <v>0</v>
      </c>
      <c r="AA57" s="13">
        <f>1/ABS(AA24)</f>
        <v>1.20088108275223</v>
      </c>
      <c r="AB57" s="13">
        <f>1/ABS(AB24)</f>
        <v>0.672945381193057</v>
      </c>
      <c r="AC57" s="13">
        <f>1/ABS(AC24)</f>
        <v>0.756000398956977</v>
      </c>
      <c r="AD57" s="13">
        <f t="shared" si="35"/>
        <v>0.871818878857184</v>
      </c>
      <c r="AE57" s="13">
        <f t="shared" si="38"/>
        <v>4.04977015670145</v>
      </c>
      <c r="AF57" s="13">
        <f t="shared" si="38"/>
        <v>0.630701457195975</v>
      </c>
      <c r="AG57" s="13">
        <f t="shared" si="38"/>
        <v>1.36738830364629</v>
      </c>
      <c r="AH57" s="13">
        <f t="shared" si="38"/>
        <v>1.90920705868347</v>
      </c>
      <c r="AI57" s="13">
        <f t="shared" si="38"/>
        <v>1.75458984965997</v>
      </c>
      <c r="AJ57" s="13">
        <f t="shared" si="13"/>
        <v>119.425586192832</v>
      </c>
      <c r="AK57" s="13">
        <f t="shared" si="14"/>
        <v>119.425586192832</v>
      </c>
      <c r="AL57" s="13">
        <f t="shared" si="14"/>
        <v>119.425586192832</v>
      </c>
      <c r="AM57" s="13">
        <f t="shared" si="14"/>
        <v>119.425586192832</v>
      </c>
      <c r="AN57" s="13">
        <f t="shared" si="14"/>
        <v>119.425586192832</v>
      </c>
      <c r="AO57" s="13">
        <f t="shared" si="14"/>
        <v>119.425586192832</v>
      </c>
      <c r="AP57" s="13">
        <f t="shared" si="14"/>
        <v>119.425586192832</v>
      </c>
      <c r="AQ57" s="13">
        <f t="shared" si="14"/>
        <v>119.425586192832</v>
      </c>
      <c r="AR57" s="13">
        <f t="shared" si="14"/>
        <v>119.425586192832</v>
      </c>
      <c r="AS57" s="13">
        <f t="shared" si="14"/>
        <v>119.425586192832</v>
      </c>
      <c r="AT57" s="13">
        <f t="shared" si="14"/>
        <v>119.425586192832</v>
      </c>
      <c r="AU57" s="13">
        <f t="shared" si="14"/>
        <v>119.425586192832</v>
      </c>
      <c r="AV57" s="13">
        <f t="shared" si="14"/>
        <v>119.425586192832</v>
      </c>
      <c r="AW57" s="13">
        <f t="shared" si="14"/>
        <v>119.425586192832</v>
      </c>
      <c r="AX57" s="13">
        <f t="shared" si="14"/>
        <v>119.425586192832</v>
      </c>
      <c r="AY57" s="13">
        <f t="shared" si="14"/>
        <v>119.425586192832</v>
      </c>
      <c r="AZ57" s="13">
        <f t="shared" si="14"/>
        <v>119.425586192832</v>
      </c>
      <c r="BA57" s="13">
        <f t="shared" si="32"/>
        <v>119.425586192832</v>
      </c>
      <c r="BB57" s="13">
        <f t="shared" si="32"/>
        <v>119.425586192832</v>
      </c>
      <c r="BC57" s="13">
        <f t="shared" si="32"/>
        <v>119.425586192832</v>
      </c>
      <c r="BD57" s="13">
        <f t="shared" si="32"/>
        <v>119.425586192832</v>
      </c>
      <c r="BE57" s="13">
        <f t="shared" si="32"/>
        <v>119.425586192832</v>
      </c>
      <c r="BF57" s="13">
        <f t="shared" si="32"/>
        <v>119.425586192832</v>
      </c>
      <c r="BG57" s="13">
        <f t="shared" si="32"/>
        <v>119.425586192832</v>
      </c>
      <c r="BH57" s="13">
        <f t="shared" si="32"/>
        <v>119.425586192832</v>
      </c>
      <c r="BI57" s="13">
        <f t="shared" si="32"/>
        <v>119.425586192832</v>
      </c>
      <c r="BJ57" s="13">
        <f t="shared" si="32"/>
        <v>119.425586192832</v>
      </c>
      <c r="BK57" s="13">
        <f t="shared" si="32"/>
        <v>119.425586192832</v>
      </c>
      <c r="BL57" s="13">
        <f t="shared" si="32"/>
        <v>119.425586192832</v>
      </c>
      <c r="BM57" s="13">
        <f t="shared" si="32"/>
        <v>119.425586192832</v>
      </c>
      <c r="BN57" s="13">
        <f t="shared" si="32"/>
        <v>119.425586192832</v>
      </c>
    </row>
    <row r="58" spans="4:66">
      <c r="D58" s="14" t="s">
        <v>22</v>
      </c>
      <c r="E58" s="13">
        <f t="shared" si="10"/>
        <v>0.179265280787349</v>
      </c>
      <c r="F58" s="13">
        <f t="shared" si="15"/>
        <v>0.221830906370854</v>
      </c>
      <c r="G58" s="13">
        <f t="shared" si="17"/>
        <v>2.87326554304061</v>
      </c>
      <c r="H58" s="13">
        <f t="shared" si="19"/>
        <v>21.4357477804565</v>
      </c>
      <c r="I58" s="13">
        <f t="shared" si="21"/>
        <v>0.56310046014686</v>
      </c>
      <c r="J58" s="13">
        <f t="shared" si="23"/>
        <v>0.709257471470786</v>
      </c>
      <c r="K58" s="13">
        <f t="shared" si="25"/>
        <v>1.5221319874871</v>
      </c>
      <c r="L58" s="13">
        <f t="shared" si="27"/>
        <v>5.39962718932641</v>
      </c>
      <c r="M58" s="13">
        <f t="shared" si="30"/>
        <v>0.168645786579301</v>
      </c>
      <c r="N58" s="13">
        <f t="shared" si="33"/>
        <v>0.293056843675567</v>
      </c>
      <c r="O58" s="13">
        <f t="shared" si="36"/>
        <v>0.335407734032321</v>
      </c>
      <c r="P58" s="13">
        <f t="shared" si="39"/>
        <v>92.3615302199821</v>
      </c>
      <c r="Q58" s="13">
        <f t="shared" si="41"/>
        <v>0.450156586320045</v>
      </c>
      <c r="R58" s="13">
        <f t="shared" si="43"/>
        <v>26.7612685359239</v>
      </c>
      <c r="S58" s="13">
        <f t="shared" si="45"/>
        <v>0.58131229737917</v>
      </c>
      <c r="T58" s="13">
        <f t="shared" si="47"/>
        <v>5.59788089455497</v>
      </c>
      <c r="U58" s="13">
        <f t="shared" si="49"/>
        <v>1.18323201998286</v>
      </c>
      <c r="V58" s="13">
        <f t="shared" si="51"/>
        <v>3.34956346645314</v>
      </c>
      <c r="W58" s="13">
        <f t="shared" si="53"/>
        <v>0.43568797413859</v>
      </c>
      <c r="X58" s="13">
        <f>1/ABS(X25)</f>
        <v>3.67664279942066</v>
      </c>
      <c r="Y58" s="13">
        <f>1/ABS(Y25)</f>
        <v>4.51022075920836</v>
      </c>
      <c r="Z58" s="13">
        <f>1/ABS(Z25)</f>
        <v>1.20088108275223</v>
      </c>
      <c r="AA58" s="13">
        <v>0</v>
      </c>
      <c r="AB58" s="13">
        <f>1/ABS(AB25)</f>
        <v>1.53073068484203</v>
      </c>
      <c r="AC58" s="13">
        <f>1/ABS(AC25)</f>
        <v>2.0406967772024</v>
      </c>
      <c r="AD58" s="13">
        <f t="shared" si="35"/>
        <v>3.18161972664529</v>
      </c>
      <c r="AE58" s="13">
        <f t="shared" si="38"/>
        <v>1.70708379457388</v>
      </c>
      <c r="AF58" s="13">
        <f t="shared" si="38"/>
        <v>1.32834884808802</v>
      </c>
      <c r="AG58" s="13">
        <f t="shared" si="38"/>
        <v>9.86185907018574</v>
      </c>
      <c r="AH58" s="13">
        <f t="shared" si="38"/>
        <v>3.23682981810139</v>
      </c>
      <c r="AI58" s="13">
        <f t="shared" si="38"/>
        <v>3.80534657273505</v>
      </c>
      <c r="AJ58" s="13">
        <f t="shared" si="13"/>
        <v>200.502228911863</v>
      </c>
      <c r="AK58" s="13">
        <f t="shared" si="14"/>
        <v>200.502228911863</v>
      </c>
      <c r="AL58" s="13">
        <f t="shared" si="14"/>
        <v>200.502228911863</v>
      </c>
      <c r="AM58" s="13">
        <f t="shared" si="14"/>
        <v>200.502228911863</v>
      </c>
      <c r="AN58" s="13">
        <f t="shared" si="14"/>
        <v>200.502228911863</v>
      </c>
      <c r="AO58" s="13">
        <f t="shared" si="14"/>
        <v>200.502228911863</v>
      </c>
      <c r="AP58" s="13">
        <f t="shared" si="14"/>
        <v>200.502228911863</v>
      </c>
      <c r="AQ58" s="13">
        <f t="shared" si="14"/>
        <v>200.502228911863</v>
      </c>
      <c r="AR58" s="13">
        <f t="shared" si="14"/>
        <v>200.502228911863</v>
      </c>
      <c r="AS58" s="13">
        <f t="shared" si="14"/>
        <v>200.502228911863</v>
      </c>
      <c r="AT58" s="13">
        <f t="shared" si="14"/>
        <v>200.502228911863</v>
      </c>
      <c r="AU58" s="13">
        <f t="shared" si="14"/>
        <v>200.502228911863</v>
      </c>
      <c r="AV58" s="13">
        <f t="shared" si="14"/>
        <v>200.502228911863</v>
      </c>
      <c r="AW58" s="13">
        <f t="shared" si="14"/>
        <v>200.502228911863</v>
      </c>
      <c r="AX58" s="13">
        <f t="shared" si="14"/>
        <v>200.502228911863</v>
      </c>
      <c r="AY58" s="13">
        <f t="shared" si="14"/>
        <v>200.502228911863</v>
      </c>
      <c r="AZ58" s="13">
        <f t="shared" si="14"/>
        <v>200.502228911863</v>
      </c>
      <c r="BA58" s="13">
        <f t="shared" si="32"/>
        <v>200.502228911863</v>
      </c>
      <c r="BB58" s="13">
        <f t="shared" si="32"/>
        <v>200.502228911863</v>
      </c>
      <c r="BC58" s="13">
        <f t="shared" si="32"/>
        <v>200.502228911863</v>
      </c>
      <c r="BD58" s="13">
        <f t="shared" si="32"/>
        <v>200.502228911863</v>
      </c>
      <c r="BE58" s="13">
        <f t="shared" si="32"/>
        <v>200.502228911863</v>
      </c>
      <c r="BF58" s="13">
        <f t="shared" si="32"/>
        <v>200.502228911863</v>
      </c>
      <c r="BG58" s="13">
        <f t="shared" si="32"/>
        <v>200.502228911863</v>
      </c>
      <c r="BH58" s="13">
        <f t="shared" si="32"/>
        <v>200.502228911863</v>
      </c>
      <c r="BI58" s="13">
        <f t="shared" si="32"/>
        <v>200.502228911863</v>
      </c>
      <c r="BJ58" s="13">
        <f t="shared" si="32"/>
        <v>200.502228911863</v>
      </c>
      <c r="BK58" s="13">
        <f t="shared" si="32"/>
        <v>200.502228911863</v>
      </c>
      <c r="BL58" s="13">
        <f t="shared" si="32"/>
        <v>200.502228911863</v>
      </c>
      <c r="BM58" s="13">
        <f t="shared" si="32"/>
        <v>200.502228911863</v>
      </c>
      <c r="BN58" s="13">
        <f t="shared" si="32"/>
        <v>200.502228911863</v>
      </c>
    </row>
    <row r="59" spans="4:66">
      <c r="D59" s="14" t="s">
        <v>23</v>
      </c>
      <c r="E59" s="13">
        <f t="shared" si="10"/>
        <v>0.160472230077467</v>
      </c>
      <c r="F59" s="13">
        <f t="shared" si="15"/>
        <v>0.193752605860309</v>
      </c>
      <c r="G59" s="13">
        <f t="shared" si="17"/>
        <v>0.998682901812141</v>
      </c>
      <c r="H59" s="13">
        <f t="shared" si="19"/>
        <v>1.42870649192724</v>
      </c>
      <c r="I59" s="13">
        <f t="shared" si="21"/>
        <v>0.411664118693792</v>
      </c>
      <c r="J59" s="13">
        <f t="shared" si="23"/>
        <v>0.48468210511475</v>
      </c>
      <c r="K59" s="13">
        <f t="shared" si="25"/>
        <v>0.763209613306475</v>
      </c>
      <c r="L59" s="13">
        <f t="shared" si="27"/>
        <v>1.19263321973845</v>
      </c>
      <c r="M59" s="13">
        <f t="shared" si="30"/>
        <v>0.151909411909382</v>
      </c>
      <c r="N59" s="13">
        <f t="shared" si="33"/>
        <v>0.245966756545246</v>
      </c>
      <c r="O59" s="13">
        <f t="shared" si="36"/>
        <v>0.275123702091885</v>
      </c>
      <c r="P59" s="13">
        <f t="shared" si="39"/>
        <v>1.5565274018313</v>
      </c>
      <c r="Q59" s="13">
        <f t="shared" si="41"/>
        <v>0.347858512544025</v>
      </c>
      <c r="R59" s="13">
        <f t="shared" si="43"/>
        <v>1.62359974864665</v>
      </c>
      <c r="S59" s="13">
        <f t="shared" si="45"/>
        <v>0.421313665756219</v>
      </c>
      <c r="T59" s="13">
        <f t="shared" si="47"/>
        <v>1.20203604305666</v>
      </c>
      <c r="U59" s="13">
        <f t="shared" si="49"/>
        <v>0.667367151750245</v>
      </c>
      <c r="V59" s="13">
        <f t="shared" si="51"/>
        <v>1.05060871742023</v>
      </c>
      <c r="W59" s="13">
        <f t="shared" si="53"/>
        <v>0.339155117342269</v>
      </c>
      <c r="X59" s="13">
        <f>1/ABS(X26)</f>
        <v>2.62263767096622</v>
      </c>
      <c r="Y59" s="13">
        <f>1/ABS(Y26)</f>
        <v>1.14285528951425</v>
      </c>
      <c r="Z59" s="13">
        <f>1/ABS(Z26)</f>
        <v>0.672945381193057</v>
      </c>
      <c r="AA59" s="13">
        <f>1/ABS(AA26)</f>
        <v>1.53073068484203</v>
      </c>
      <c r="AB59" s="13">
        <v>0</v>
      </c>
      <c r="AC59" s="13">
        <f>1/ABS(AC26)</f>
        <v>6.12542132137391</v>
      </c>
      <c r="AD59" s="13">
        <f t="shared" si="35"/>
        <v>2.95004862213814</v>
      </c>
      <c r="AE59" s="13">
        <f t="shared" si="38"/>
        <v>0.807052276331224</v>
      </c>
      <c r="AF59" s="13">
        <f t="shared" si="38"/>
        <v>10.0470693148932</v>
      </c>
      <c r="AG59" s="13">
        <f t="shared" si="38"/>
        <v>1.32505871034801</v>
      </c>
      <c r="AH59" s="13">
        <f t="shared" si="38"/>
        <v>1.03925576217029</v>
      </c>
      <c r="AI59" s="13">
        <f t="shared" si="38"/>
        <v>1.09161852127848</v>
      </c>
      <c r="AJ59" s="13">
        <f t="shared" si="13"/>
        <v>42.8699630704735</v>
      </c>
      <c r="AK59" s="13">
        <f t="shared" si="14"/>
        <v>42.8699630704735</v>
      </c>
      <c r="AL59" s="13">
        <f t="shared" si="14"/>
        <v>42.8699630704735</v>
      </c>
      <c r="AM59" s="13">
        <f t="shared" si="14"/>
        <v>42.8699630704735</v>
      </c>
      <c r="AN59" s="13">
        <f t="shared" si="14"/>
        <v>42.8699630704735</v>
      </c>
      <c r="AO59" s="13">
        <f t="shared" si="14"/>
        <v>42.8699630704735</v>
      </c>
      <c r="AP59" s="13">
        <f t="shared" si="14"/>
        <v>42.8699630704735</v>
      </c>
      <c r="AQ59" s="13">
        <f t="shared" si="14"/>
        <v>42.8699630704735</v>
      </c>
      <c r="AR59" s="13">
        <f t="shared" si="14"/>
        <v>42.8699630704735</v>
      </c>
      <c r="AS59" s="13">
        <f t="shared" si="14"/>
        <v>42.8699630704735</v>
      </c>
      <c r="AT59" s="13">
        <f t="shared" si="14"/>
        <v>42.8699630704735</v>
      </c>
      <c r="AU59" s="13">
        <f t="shared" si="14"/>
        <v>42.8699630704735</v>
      </c>
      <c r="AV59" s="13">
        <f t="shared" si="14"/>
        <v>42.8699630704735</v>
      </c>
      <c r="AW59" s="13">
        <f t="shared" si="14"/>
        <v>42.8699630704735</v>
      </c>
      <c r="AX59" s="13">
        <f t="shared" si="14"/>
        <v>42.8699630704735</v>
      </c>
      <c r="AY59" s="13">
        <f t="shared" si="14"/>
        <v>42.8699630704735</v>
      </c>
      <c r="AZ59" s="13">
        <f t="shared" si="14"/>
        <v>42.8699630704735</v>
      </c>
      <c r="BA59" s="13">
        <f t="shared" si="32"/>
        <v>42.8699630704735</v>
      </c>
      <c r="BB59" s="13">
        <f t="shared" si="32"/>
        <v>42.8699630704735</v>
      </c>
      <c r="BC59" s="13">
        <f t="shared" si="32"/>
        <v>42.8699630704735</v>
      </c>
      <c r="BD59" s="13">
        <f t="shared" si="32"/>
        <v>42.8699630704735</v>
      </c>
      <c r="BE59" s="13">
        <f t="shared" si="32"/>
        <v>42.8699630704735</v>
      </c>
      <c r="BF59" s="13">
        <f t="shared" si="32"/>
        <v>42.8699630704735</v>
      </c>
      <c r="BG59" s="13">
        <f t="shared" si="32"/>
        <v>42.8699630704735</v>
      </c>
      <c r="BH59" s="13">
        <f t="shared" si="32"/>
        <v>42.8699630704735</v>
      </c>
      <c r="BI59" s="13">
        <f t="shared" si="32"/>
        <v>42.8699630704735</v>
      </c>
      <c r="BJ59" s="13">
        <f t="shared" si="32"/>
        <v>42.8699630704735</v>
      </c>
      <c r="BK59" s="13">
        <f t="shared" si="32"/>
        <v>42.8699630704735</v>
      </c>
      <c r="BL59" s="13">
        <f t="shared" si="32"/>
        <v>42.8699630704735</v>
      </c>
      <c r="BM59" s="13">
        <f t="shared" si="32"/>
        <v>42.8699630704735</v>
      </c>
      <c r="BN59" s="13">
        <f t="shared" si="32"/>
        <v>42.8699630704735</v>
      </c>
    </row>
    <row r="60" spans="4:66">
      <c r="D60" s="14" t="s">
        <v>24</v>
      </c>
      <c r="E60" s="13">
        <f t="shared" si="10"/>
        <v>0.164789339281904</v>
      </c>
      <c r="F60" s="13">
        <f t="shared" si="15"/>
        <v>0.200081359888577</v>
      </c>
      <c r="G60" s="13">
        <f t="shared" si="17"/>
        <v>1.19322521248794</v>
      </c>
      <c r="H60" s="13">
        <f t="shared" si="19"/>
        <v>1.86330861579422</v>
      </c>
      <c r="I60" s="13">
        <f t="shared" si="21"/>
        <v>0.441323647548194</v>
      </c>
      <c r="J60" s="13">
        <f t="shared" si="23"/>
        <v>0.526328551442446</v>
      </c>
      <c r="K60" s="13">
        <f t="shared" si="25"/>
        <v>0.87183809452945</v>
      </c>
      <c r="L60" s="13">
        <f t="shared" si="27"/>
        <v>1.4809841416749</v>
      </c>
      <c r="M60" s="13">
        <f t="shared" si="30"/>
        <v>0.155772544648783</v>
      </c>
      <c r="N60" s="13">
        <f t="shared" si="33"/>
        <v>0.256256766385156</v>
      </c>
      <c r="O60" s="13">
        <f t="shared" si="36"/>
        <v>0.288062027007744</v>
      </c>
      <c r="P60" s="13">
        <f t="shared" si="39"/>
        <v>2.0868040060415</v>
      </c>
      <c r="Q60" s="13">
        <f t="shared" si="41"/>
        <v>0.368802559152122</v>
      </c>
      <c r="R60" s="13">
        <f t="shared" si="43"/>
        <v>2.20915741707474</v>
      </c>
      <c r="S60" s="13">
        <f t="shared" si="45"/>
        <v>0.452432504261682</v>
      </c>
      <c r="T60" s="13">
        <f t="shared" si="47"/>
        <v>1.49551107438737</v>
      </c>
      <c r="U60" s="13">
        <f t="shared" si="49"/>
        <v>0.74896746229937</v>
      </c>
      <c r="V60" s="13">
        <f t="shared" si="51"/>
        <v>1.2681100841228</v>
      </c>
      <c r="W60" s="13">
        <f t="shared" si="53"/>
        <v>0.359034291504582</v>
      </c>
      <c r="X60" s="13">
        <f>1/ABS(X27)</f>
        <v>4.58628402759193</v>
      </c>
      <c r="Y60" s="13">
        <f>1/ABS(Y27)</f>
        <v>1.40499295199963</v>
      </c>
      <c r="Z60" s="13">
        <f>1/ABS(Z27)</f>
        <v>0.756000398956977</v>
      </c>
      <c r="AA60" s="13">
        <f>1/ABS(AA27)</f>
        <v>2.0406967772024</v>
      </c>
      <c r="AB60" s="13">
        <f>1/ABS(AB27)</f>
        <v>6.12542132137391</v>
      </c>
      <c r="AC60" s="13">
        <v>0</v>
      </c>
      <c r="AD60" s="13">
        <f t="shared" si="35"/>
        <v>5.69076213745987</v>
      </c>
      <c r="AE60" s="13">
        <f t="shared" si="38"/>
        <v>0.929520907450105</v>
      </c>
      <c r="AF60" s="13">
        <f t="shared" si="38"/>
        <v>3.80538372121595</v>
      </c>
      <c r="AG60" s="13">
        <f t="shared" si="38"/>
        <v>1.69081870144457</v>
      </c>
      <c r="AH60" s="13">
        <f t="shared" si="38"/>
        <v>1.2516068008127</v>
      </c>
      <c r="AI60" s="13">
        <f t="shared" si="38"/>
        <v>1.32834432149767</v>
      </c>
      <c r="AJ60" s="13">
        <f t="shared" si="13"/>
        <v>46.0406217665392</v>
      </c>
      <c r="AK60" s="13">
        <f t="shared" si="14"/>
        <v>46.0406217665392</v>
      </c>
      <c r="AL60" s="13">
        <f t="shared" si="14"/>
        <v>46.0406217665392</v>
      </c>
      <c r="AM60" s="13">
        <f t="shared" si="14"/>
        <v>46.0406217665392</v>
      </c>
      <c r="AN60" s="13">
        <f t="shared" si="14"/>
        <v>46.0406217665392</v>
      </c>
      <c r="AO60" s="13">
        <f t="shared" si="14"/>
        <v>46.0406217665392</v>
      </c>
      <c r="AP60" s="13">
        <f t="shared" si="14"/>
        <v>46.0406217665392</v>
      </c>
      <c r="AQ60" s="13">
        <f t="shared" si="14"/>
        <v>46.0406217665392</v>
      </c>
      <c r="AR60" s="13">
        <f t="shared" ref="AR60:BG66" si="54">$AJ60</f>
        <v>46.0406217665392</v>
      </c>
      <c r="AS60" s="13">
        <f t="shared" si="54"/>
        <v>46.0406217665392</v>
      </c>
      <c r="AT60" s="13">
        <f t="shared" si="54"/>
        <v>46.0406217665392</v>
      </c>
      <c r="AU60" s="13">
        <f t="shared" si="54"/>
        <v>46.0406217665392</v>
      </c>
      <c r="AV60" s="13">
        <f t="shared" si="54"/>
        <v>46.0406217665392</v>
      </c>
      <c r="AW60" s="13">
        <f t="shared" si="54"/>
        <v>46.0406217665392</v>
      </c>
      <c r="AX60" s="13">
        <f t="shared" si="54"/>
        <v>46.0406217665392</v>
      </c>
      <c r="AY60" s="13">
        <f t="shared" si="54"/>
        <v>46.0406217665392</v>
      </c>
      <c r="AZ60" s="13">
        <f t="shared" si="54"/>
        <v>46.0406217665392</v>
      </c>
      <c r="BA60" s="13">
        <f t="shared" si="54"/>
        <v>46.0406217665392</v>
      </c>
      <c r="BB60" s="13">
        <f t="shared" si="54"/>
        <v>46.0406217665392</v>
      </c>
      <c r="BC60" s="13">
        <f t="shared" si="54"/>
        <v>46.0406217665392</v>
      </c>
      <c r="BD60" s="13">
        <f t="shared" si="54"/>
        <v>46.0406217665392</v>
      </c>
      <c r="BE60" s="13">
        <f t="shared" si="54"/>
        <v>46.0406217665392</v>
      </c>
      <c r="BF60" s="13">
        <f t="shared" si="54"/>
        <v>46.0406217665392</v>
      </c>
      <c r="BG60" s="13">
        <f t="shared" si="54"/>
        <v>46.0406217665392</v>
      </c>
      <c r="BH60" s="13">
        <f t="shared" si="32"/>
        <v>46.0406217665392</v>
      </c>
      <c r="BI60" s="13">
        <f t="shared" si="32"/>
        <v>46.0406217665392</v>
      </c>
      <c r="BJ60" s="13">
        <f t="shared" si="32"/>
        <v>46.0406217665392</v>
      </c>
      <c r="BK60" s="13">
        <f t="shared" si="32"/>
        <v>46.0406217665392</v>
      </c>
      <c r="BL60" s="13">
        <f t="shared" si="32"/>
        <v>46.0406217665392</v>
      </c>
      <c r="BM60" s="13">
        <f t="shared" si="32"/>
        <v>46.0406217665392</v>
      </c>
      <c r="BN60" s="13">
        <f t="shared" si="32"/>
        <v>46.0406217665392</v>
      </c>
    </row>
    <row r="61" spans="4:66">
      <c r="D61" s="14" t="s">
        <v>25</v>
      </c>
      <c r="E61" s="13">
        <f t="shared" si="10"/>
        <v>0.16970350142724</v>
      </c>
      <c r="F61" s="13">
        <f t="shared" ref="F61:AI61" si="55">1/ABS(F28)</f>
        <v>0.207372359346858</v>
      </c>
      <c r="G61" s="13">
        <f t="shared" si="55"/>
        <v>1.5097954667112</v>
      </c>
      <c r="H61" s="13">
        <f t="shared" si="55"/>
        <v>2.77041799753846</v>
      </c>
      <c r="I61" s="13">
        <f t="shared" si="55"/>
        <v>0.478426008545383</v>
      </c>
      <c r="J61" s="13">
        <f t="shared" si="55"/>
        <v>0.579968847023656</v>
      </c>
      <c r="K61" s="13">
        <f t="shared" si="55"/>
        <v>1.02957074528327</v>
      </c>
      <c r="L61" s="13">
        <f t="shared" si="55"/>
        <v>2.00198881937729</v>
      </c>
      <c r="M61" s="13">
        <f t="shared" si="55"/>
        <v>0.16015648887478</v>
      </c>
      <c r="N61" s="13">
        <f t="shared" si="55"/>
        <v>0.268340208360886</v>
      </c>
      <c r="O61" s="13">
        <f t="shared" si="55"/>
        <v>0.30342096415165</v>
      </c>
      <c r="P61" s="13">
        <f t="shared" si="55"/>
        <v>3.29512852059878</v>
      </c>
      <c r="Q61" s="13">
        <f t="shared" si="55"/>
        <v>0.39435993621142</v>
      </c>
      <c r="R61" s="13">
        <f t="shared" si="55"/>
        <v>3.61091806636421</v>
      </c>
      <c r="S61" s="13">
        <f t="shared" si="55"/>
        <v>0.491508924656311</v>
      </c>
      <c r="T61" s="13">
        <f t="shared" si="55"/>
        <v>2.02862657569833</v>
      </c>
      <c r="U61" s="13">
        <f t="shared" si="55"/>
        <v>0.862479313045159</v>
      </c>
      <c r="V61" s="13">
        <f t="shared" si="55"/>
        <v>1.63171616618855</v>
      </c>
      <c r="W61" s="13">
        <f t="shared" si="55"/>
        <v>0.383211373718932</v>
      </c>
      <c r="X61" s="13">
        <f t="shared" si="55"/>
        <v>23.6305738091793</v>
      </c>
      <c r="Y61" s="13">
        <f t="shared" si="55"/>
        <v>1.86558826400699</v>
      </c>
      <c r="Z61" s="13">
        <f t="shared" si="55"/>
        <v>0.871818878857184</v>
      </c>
      <c r="AA61" s="13">
        <f t="shared" si="55"/>
        <v>3.18161972664529</v>
      </c>
      <c r="AB61" s="13">
        <f t="shared" si="55"/>
        <v>2.95004862213814</v>
      </c>
      <c r="AC61" s="13">
        <f t="shared" si="55"/>
        <v>5.69076213745987</v>
      </c>
      <c r="AD61" s="13">
        <v>0</v>
      </c>
      <c r="AE61" s="13">
        <f t="shared" si="55"/>
        <v>1.1109881080492</v>
      </c>
      <c r="AF61" s="13">
        <f t="shared" si="55"/>
        <v>2.28045503107106</v>
      </c>
      <c r="AG61" s="13">
        <f t="shared" si="55"/>
        <v>2.40554577868612</v>
      </c>
      <c r="AH61" s="13">
        <f t="shared" si="55"/>
        <v>1.60449365992041</v>
      </c>
      <c r="AI61" s="13">
        <f t="shared" si="55"/>
        <v>1.73282154282176</v>
      </c>
      <c r="AJ61" s="13">
        <f t="shared" si="13"/>
        <v>69.5018258419576</v>
      </c>
      <c r="AK61" s="13">
        <f t="shared" ref="AK61:AZ66" si="56">$AJ61</f>
        <v>69.5018258419576</v>
      </c>
      <c r="AL61" s="13">
        <f t="shared" si="56"/>
        <v>69.5018258419576</v>
      </c>
      <c r="AM61" s="13">
        <f t="shared" si="56"/>
        <v>69.5018258419576</v>
      </c>
      <c r="AN61" s="13">
        <f t="shared" si="56"/>
        <v>69.5018258419576</v>
      </c>
      <c r="AO61" s="13">
        <f t="shared" si="56"/>
        <v>69.5018258419576</v>
      </c>
      <c r="AP61" s="13">
        <f t="shared" si="56"/>
        <v>69.5018258419576</v>
      </c>
      <c r="AQ61" s="13">
        <f t="shared" si="56"/>
        <v>69.5018258419576</v>
      </c>
      <c r="AR61" s="13">
        <f t="shared" si="56"/>
        <v>69.5018258419576</v>
      </c>
      <c r="AS61" s="13">
        <f t="shared" si="56"/>
        <v>69.5018258419576</v>
      </c>
      <c r="AT61" s="13">
        <f t="shared" si="56"/>
        <v>69.5018258419576</v>
      </c>
      <c r="AU61" s="13">
        <f t="shared" si="56"/>
        <v>69.5018258419576</v>
      </c>
      <c r="AV61" s="13">
        <f t="shared" si="56"/>
        <v>69.5018258419576</v>
      </c>
      <c r="AW61" s="13">
        <f t="shared" si="56"/>
        <v>69.5018258419576</v>
      </c>
      <c r="AX61" s="13">
        <f t="shared" si="56"/>
        <v>69.5018258419576</v>
      </c>
      <c r="AY61" s="13">
        <f t="shared" si="56"/>
        <v>69.5018258419576</v>
      </c>
      <c r="AZ61" s="13">
        <f t="shared" si="56"/>
        <v>69.5018258419576</v>
      </c>
      <c r="BA61" s="13">
        <f t="shared" si="54"/>
        <v>69.5018258419576</v>
      </c>
      <c r="BB61" s="13">
        <f t="shared" si="54"/>
        <v>69.5018258419576</v>
      </c>
      <c r="BC61" s="13">
        <f t="shared" si="54"/>
        <v>69.5018258419576</v>
      </c>
      <c r="BD61" s="13">
        <f t="shared" si="54"/>
        <v>69.5018258419576</v>
      </c>
      <c r="BE61" s="13">
        <f t="shared" si="54"/>
        <v>69.5018258419576</v>
      </c>
      <c r="BF61" s="13">
        <f t="shared" si="54"/>
        <v>69.5018258419576</v>
      </c>
      <c r="BG61" s="13">
        <f t="shared" si="54"/>
        <v>69.5018258419576</v>
      </c>
      <c r="BH61" s="13">
        <f t="shared" si="32"/>
        <v>69.5018258419576</v>
      </c>
      <c r="BI61" s="13">
        <f t="shared" si="32"/>
        <v>69.5018258419576</v>
      </c>
      <c r="BJ61" s="13">
        <f t="shared" si="32"/>
        <v>69.5018258419576</v>
      </c>
      <c r="BK61" s="13">
        <f t="shared" si="32"/>
        <v>69.5018258419576</v>
      </c>
      <c r="BL61" s="13">
        <f t="shared" si="32"/>
        <v>69.5018258419576</v>
      </c>
      <c r="BM61" s="13">
        <f t="shared" si="32"/>
        <v>69.5018258419576</v>
      </c>
      <c r="BN61" s="13">
        <f t="shared" si="32"/>
        <v>69.5018258419576</v>
      </c>
    </row>
    <row r="62" spans="4:66">
      <c r="D62" s="14" t="s">
        <v>26</v>
      </c>
      <c r="E62" s="13">
        <f t="shared" si="10"/>
        <v>0.200299219442878</v>
      </c>
      <c r="F62" s="13">
        <f t="shared" ref="F62:AC62" si="57">1/ABS(F29)</f>
        <v>0.254962604960481</v>
      </c>
      <c r="G62" s="13">
        <f t="shared" si="57"/>
        <v>4.20595250481412</v>
      </c>
      <c r="H62" s="13">
        <f t="shared" si="57"/>
        <v>1.85479451050386</v>
      </c>
      <c r="I62" s="13">
        <f t="shared" si="57"/>
        <v>0.840274190458604</v>
      </c>
      <c r="J62" s="13">
        <f t="shared" si="57"/>
        <v>1.21339947413186</v>
      </c>
      <c r="K62" s="13">
        <f t="shared" si="57"/>
        <v>14.049102249769</v>
      </c>
      <c r="L62" s="13">
        <f t="shared" si="57"/>
        <v>2.49627833344864</v>
      </c>
      <c r="M62" s="13">
        <f t="shared" si="57"/>
        <v>0.187132980202413</v>
      </c>
      <c r="N62" s="13">
        <f t="shared" si="57"/>
        <v>0.353792824393987</v>
      </c>
      <c r="O62" s="13">
        <f t="shared" si="57"/>
        <v>0.417422978946839</v>
      </c>
      <c r="P62" s="13">
        <f t="shared" si="57"/>
        <v>1.67610497010384</v>
      </c>
      <c r="Q62" s="13">
        <f t="shared" si="57"/>
        <v>0.611375908231957</v>
      </c>
      <c r="R62" s="13">
        <f t="shared" si="57"/>
        <v>1.60471977125895</v>
      </c>
      <c r="S62" s="13">
        <f t="shared" si="57"/>
        <v>0.881483324915677</v>
      </c>
      <c r="T62" s="13">
        <f t="shared" si="57"/>
        <v>2.45606530319866</v>
      </c>
      <c r="U62" s="13">
        <f t="shared" si="57"/>
        <v>3.85581629099298</v>
      </c>
      <c r="V62" s="13">
        <f t="shared" si="57"/>
        <v>3.48131280427755</v>
      </c>
      <c r="W62" s="13">
        <f t="shared" si="57"/>
        <v>0.584991603864223</v>
      </c>
      <c r="X62" s="13">
        <f t="shared" si="57"/>
        <v>1.16579793415381</v>
      </c>
      <c r="Y62" s="13">
        <f t="shared" si="57"/>
        <v>2.746681616037</v>
      </c>
      <c r="Z62" s="13">
        <f t="shared" si="57"/>
        <v>4.04977015670145</v>
      </c>
      <c r="AA62" s="13">
        <f t="shared" si="57"/>
        <v>1.70708379457388</v>
      </c>
      <c r="AB62" s="13">
        <f t="shared" si="57"/>
        <v>0.807052276331224</v>
      </c>
      <c r="AC62" s="13">
        <f t="shared" si="57"/>
        <v>0.929520907450105</v>
      </c>
      <c r="AD62" s="13">
        <f t="shared" ref="AD62:AD66" si="58">1/ABS(AD29)</f>
        <v>1.1109881080492</v>
      </c>
      <c r="AE62" s="13">
        <v>0</v>
      </c>
      <c r="AF62" s="13">
        <f>1/ABS(AF29)</f>
        <v>0.747044345587384</v>
      </c>
      <c r="AG62" s="13">
        <f>1/ABS(AG29)</f>
        <v>2.0644369996845</v>
      </c>
      <c r="AH62" s="13">
        <f>1/ABS(AH29)</f>
        <v>3.61206346889715</v>
      </c>
      <c r="AI62" s="13">
        <f>1/ABS(AI29)</f>
        <v>3.09591607622479</v>
      </c>
      <c r="AJ62" s="13">
        <f t="shared" si="13"/>
        <v>63.261637531607</v>
      </c>
      <c r="AK62" s="13">
        <f t="shared" si="56"/>
        <v>63.261637531607</v>
      </c>
      <c r="AL62" s="13">
        <f t="shared" si="56"/>
        <v>63.261637531607</v>
      </c>
      <c r="AM62" s="13">
        <f t="shared" si="56"/>
        <v>63.261637531607</v>
      </c>
      <c r="AN62" s="13">
        <f t="shared" si="56"/>
        <v>63.261637531607</v>
      </c>
      <c r="AO62" s="13">
        <f t="shared" si="56"/>
        <v>63.261637531607</v>
      </c>
      <c r="AP62" s="13">
        <f t="shared" si="56"/>
        <v>63.261637531607</v>
      </c>
      <c r="AQ62" s="13">
        <f t="shared" si="56"/>
        <v>63.261637531607</v>
      </c>
      <c r="AR62" s="13">
        <f t="shared" si="56"/>
        <v>63.261637531607</v>
      </c>
      <c r="AS62" s="13">
        <f t="shared" si="56"/>
        <v>63.261637531607</v>
      </c>
      <c r="AT62" s="13">
        <f t="shared" si="56"/>
        <v>63.261637531607</v>
      </c>
      <c r="AU62" s="13">
        <f t="shared" si="56"/>
        <v>63.261637531607</v>
      </c>
      <c r="AV62" s="13">
        <f t="shared" si="56"/>
        <v>63.261637531607</v>
      </c>
      <c r="AW62" s="13">
        <f t="shared" si="56"/>
        <v>63.261637531607</v>
      </c>
      <c r="AX62" s="13">
        <f t="shared" si="56"/>
        <v>63.261637531607</v>
      </c>
      <c r="AY62" s="13">
        <f t="shared" si="56"/>
        <v>63.261637531607</v>
      </c>
      <c r="AZ62" s="13">
        <f t="shared" si="56"/>
        <v>63.261637531607</v>
      </c>
      <c r="BA62" s="13">
        <f t="shared" si="54"/>
        <v>63.261637531607</v>
      </c>
      <c r="BB62" s="13">
        <f t="shared" si="54"/>
        <v>63.261637531607</v>
      </c>
      <c r="BC62" s="13">
        <f t="shared" si="54"/>
        <v>63.261637531607</v>
      </c>
      <c r="BD62" s="13">
        <f t="shared" si="54"/>
        <v>63.261637531607</v>
      </c>
      <c r="BE62" s="13">
        <f t="shared" si="54"/>
        <v>63.261637531607</v>
      </c>
      <c r="BF62" s="13">
        <f t="shared" si="54"/>
        <v>63.261637531607</v>
      </c>
      <c r="BG62" s="13">
        <f t="shared" si="54"/>
        <v>63.261637531607</v>
      </c>
      <c r="BH62" s="13">
        <f t="shared" si="32"/>
        <v>63.261637531607</v>
      </c>
      <c r="BI62" s="13">
        <f t="shared" si="32"/>
        <v>63.261637531607</v>
      </c>
      <c r="BJ62" s="13">
        <f t="shared" si="32"/>
        <v>63.261637531607</v>
      </c>
      <c r="BK62" s="13">
        <f t="shared" si="32"/>
        <v>63.261637531607</v>
      </c>
      <c r="BL62" s="13">
        <f t="shared" si="32"/>
        <v>63.261637531607</v>
      </c>
      <c r="BM62" s="13">
        <f t="shared" si="32"/>
        <v>63.261637531607</v>
      </c>
      <c r="BN62" s="13">
        <f t="shared" si="32"/>
        <v>63.261637531607</v>
      </c>
    </row>
    <row r="63" spans="4:66">
      <c r="D63" s="14" t="s">
        <v>27</v>
      </c>
      <c r="E63" s="13">
        <f t="shared" si="10"/>
        <v>0.157949454489184</v>
      </c>
      <c r="F63" s="13">
        <f t="shared" ref="F63:AC63" si="59">1/ABS(F30)</f>
        <v>0.190086877409199</v>
      </c>
      <c r="G63" s="13">
        <f t="shared" si="59"/>
        <v>0.908388685646082</v>
      </c>
      <c r="H63" s="13">
        <f t="shared" si="59"/>
        <v>1.25083596932067</v>
      </c>
      <c r="I63" s="13">
        <f t="shared" si="59"/>
        <v>0.395460689502671</v>
      </c>
      <c r="J63" s="13">
        <f t="shared" si="59"/>
        <v>0.462376532788747</v>
      </c>
      <c r="K63" s="13">
        <f t="shared" si="59"/>
        <v>0.70932673778474</v>
      </c>
      <c r="L63" s="13">
        <f t="shared" si="59"/>
        <v>1.06608414137618</v>
      </c>
      <c r="M63" s="13">
        <f t="shared" si="59"/>
        <v>0.149646786401006</v>
      </c>
      <c r="N63" s="13">
        <f t="shared" si="59"/>
        <v>0.240089030585142</v>
      </c>
      <c r="O63" s="13">
        <f t="shared" si="59"/>
        <v>0.267790662365909</v>
      </c>
      <c r="P63" s="13">
        <f t="shared" si="59"/>
        <v>1.34773200745503</v>
      </c>
      <c r="Q63" s="13">
        <f t="shared" si="59"/>
        <v>0.336217686676052</v>
      </c>
      <c r="R63" s="13">
        <f t="shared" si="59"/>
        <v>1.3977278530892</v>
      </c>
      <c r="S63" s="13">
        <f t="shared" si="59"/>
        <v>0.404357350221999</v>
      </c>
      <c r="T63" s="13">
        <f t="shared" si="59"/>
        <v>1.0735911042966</v>
      </c>
      <c r="U63" s="13">
        <f t="shared" si="59"/>
        <v>0.625799037867466</v>
      </c>
      <c r="V63" s="13">
        <f t="shared" si="59"/>
        <v>0.95114839122357</v>
      </c>
      <c r="W63" s="13">
        <f t="shared" si="59"/>
        <v>0.328080236920617</v>
      </c>
      <c r="X63" s="13">
        <f t="shared" si="59"/>
        <v>2.07974994981783</v>
      </c>
      <c r="Y63" s="13">
        <f t="shared" si="59"/>
        <v>1.02613258950104</v>
      </c>
      <c r="Z63" s="13">
        <f t="shared" si="59"/>
        <v>0.630701457195975</v>
      </c>
      <c r="AA63" s="13">
        <f t="shared" si="59"/>
        <v>1.32834884808802</v>
      </c>
      <c r="AB63" s="13">
        <f t="shared" si="59"/>
        <v>10.0470693148932</v>
      </c>
      <c r="AC63" s="13">
        <f t="shared" si="59"/>
        <v>3.80538372121595</v>
      </c>
      <c r="AD63" s="13">
        <f t="shared" si="58"/>
        <v>2.28045503107106</v>
      </c>
      <c r="AE63" s="13">
        <f>1/ABS(AE30)</f>
        <v>0.747044345587384</v>
      </c>
      <c r="AF63" s="13">
        <v>0</v>
      </c>
      <c r="AG63" s="13">
        <f>1/ABS(AG30)</f>
        <v>1.17066539170333</v>
      </c>
      <c r="AH63" s="13">
        <f>1/ABS(AH30)</f>
        <v>0.941833710074897</v>
      </c>
      <c r="AI63" s="13">
        <f>1/ABS(AI30)</f>
        <v>0.984637249020489</v>
      </c>
      <c r="AJ63" s="13">
        <f t="shared" si="13"/>
        <v>37.3047108435892</v>
      </c>
      <c r="AK63" s="13">
        <f t="shared" si="56"/>
        <v>37.3047108435892</v>
      </c>
      <c r="AL63" s="13">
        <f t="shared" si="56"/>
        <v>37.3047108435892</v>
      </c>
      <c r="AM63" s="13">
        <f t="shared" si="56"/>
        <v>37.3047108435892</v>
      </c>
      <c r="AN63" s="13">
        <f t="shared" si="56"/>
        <v>37.3047108435892</v>
      </c>
      <c r="AO63" s="13">
        <f t="shared" si="56"/>
        <v>37.3047108435892</v>
      </c>
      <c r="AP63" s="13">
        <f t="shared" si="56"/>
        <v>37.3047108435892</v>
      </c>
      <c r="AQ63" s="13">
        <f t="shared" si="56"/>
        <v>37.3047108435892</v>
      </c>
      <c r="AR63" s="13">
        <f t="shared" si="56"/>
        <v>37.3047108435892</v>
      </c>
      <c r="AS63" s="13">
        <f t="shared" si="56"/>
        <v>37.3047108435892</v>
      </c>
      <c r="AT63" s="13">
        <f t="shared" si="56"/>
        <v>37.3047108435892</v>
      </c>
      <c r="AU63" s="13">
        <f t="shared" si="56"/>
        <v>37.3047108435892</v>
      </c>
      <c r="AV63" s="13">
        <f t="shared" si="56"/>
        <v>37.3047108435892</v>
      </c>
      <c r="AW63" s="13">
        <f t="shared" si="56"/>
        <v>37.3047108435892</v>
      </c>
      <c r="AX63" s="13">
        <f t="shared" si="56"/>
        <v>37.3047108435892</v>
      </c>
      <c r="AY63" s="13">
        <f t="shared" si="56"/>
        <v>37.3047108435892</v>
      </c>
      <c r="AZ63" s="13">
        <f t="shared" si="56"/>
        <v>37.3047108435892</v>
      </c>
      <c r="BA63" s="13">
        <f t="shared" si="54"/>
        <v>37.3047108435892</v>
      </c>
      <c r="BB63" s="13">
        <f t="shared" si="54"/>
        <v>37.3047108435892</v>
      </c>
      <c r="BC63" s="13">
        <f t="shared" si="54"/>
        <v>37.3047108435892</v>
      </c>
      <c r="BD63" s="13">
        <f t="shared" si="54"/>
        <v>37.3047108435892</v>
      </c>
      <c r="BE63" s="13">
        <f t="shared" si="54"/>
        <v>37.3047108435892</v>
      </c>
      <c r="BF63" s="13">
        <f t="shared" si="54"/>
        <v>37.3047108435892</v>
      </c>
      <c r="BG63" s="13">
        <f t="shared" si="54"/>
        <v>37.3047108435892</v>
      </c>
      <c r="BH63" s="13">
        <f t="shared" si="32"/>
        <v>37.3047108435892</v>
      </c>
      <c r="BI63" s="13">
        <f t="shared" si="32"/>
        <v>37.3047108435892</v>
      </c>
      <c r="BJ63" s="13">
        <f t="shared" si="32"/>
        <v>37.3047108435892</v>
      </c>
      <c r="BK63" s="13">
        <f t="shared" si="32"/>
        <v>37.3047108435892</v>
      </c>
      <c r="BL63" s="13">
        <f t="shared" si="32"/>
        <v>37.3047108435892</v>
      </c>
      <c r="BM63" s="13">
        <f t="shared" si="32"/>
        <v>37.3047108435892</v>
      </c>
      <c r="BN63" s="13">
        <f t="shared" si="32"/>
        <v>37.3047108435892</v>
      </c>
    </row>
    <row r="64" spans="4:66">
      <c r="D64" s="14" t="s">
        <v>28</v>
      </c>
      <c r="E64" s="13">
        <f t="shared" si="10"/>
        <v>0.182584230398862</v>
      </c>
      <c r="F64" s="13">
        <f t="shared" ref="F64:AC64" si="60">1/ABS(F31)</f>
        <v>0.226935554426347</v>
      </c>
      <c r="G64" s="13">
        <f t="shared" si="60"/>
        <v>4.05456974234162</v>
      </c>
      <c r="H64" s="13">
        <f t="shared" si="60"/>
        <v>18.2649348863459</v>
      </c>
      <c r="I64" s="13">
        <f t="shared" si="60"/>
        <v>0.597199864327035</v>
      </c>
      <c r="J64" s="13">
        <f t="shared" si="60"/>
        <v>0.764219566718957</v>
      </c>
      <c r="K64" s="13">
        <f t="shared" si="60"/>
        <v>1.79994512985455</v>
      </c>
      <c r="L64" s="13">
        <f t="shared" si="60"/>
        <v>11.9335713146367</v>
      </c>
      <c r="M64" s="13">
        <f t="shared" si="60"/>
        <v>0.171579942725339</v>
      </c>
      <c r="N64" s="13">
        <f t="shared" si="60"/>
        <v>0.30203208546572</v>
      </c>
      <c r="O64" s="13">
        <f t="shared" si="60"/>
        <v>0.347216784861328</v>
      </c>
      <c r="P64" s="13">
        <f t="shared" si="60"/>
        <v>8.91044995534866</v>
      </c>
      <c r="Q64" s="13">
        <f t="shared" si="60"/>
        <v>0.471687329833739</v>
      </c>
      <c r="R64" s="13">
        <f t="shared" si="60"/>
        <v>7.20626216524035</v>
      </c>
      <c r="S64" s="13">
        <f t="shared" si="60"/>
        <v>0.617724374744527</v>
      </c>
      <c r="T64" s="13">
        <f t="shared" si="60"/>
        <v>12.9469500545978</v>
      </c>
      <c r="U64" s="13">
        <f t="shared" si="60"/>
        <v>1.34455223860891</v>
      </c>
      <c r="V64" s="13">
        <f t="shared" si="60"/>
        <v>5.07239303355187</v>
      </c>
      <c r="W64" s="13">
        <f t="shared" si="60"/>
        <v>0.455825950510416</v>
      </c>
      <c r="X64" s="13">
        <f t="shared" si="60"/>
        <v>2.67817912857103</v>
      </c>
      <c r="Y64" s="13">
        <f t="shared" si="60"/>
        <v>8.31131681890807</v>
      </c>
      <c r="Z64" s="13">
        <f t="shared" si="60"/>
        <v>1.36738830364629</v>
      </c>
      <c r="AA64" s="13">
        <f t="shared" si="60"/>
        <v>9.86185907018574</v>
      </c>
      <c r="AB64" s="13">
        <f t="shared" si="60"/>
        <v>1.32505871034801</v>
      </c>
      <c r="AC64" s="13">
        <f t="shared" si="60"/>
        <v>1.69081870144457</v>
      </c>
      <c r="AD64" s="13">
        <f t="shared" si="58"/>
        <v>2.40554577868612</v>
      </c>
      <c r="AE64" s="13">
        <f>1/ABS(AE31)</f>
        <v>2.0644369996845</v>
      </c>
      <c r="AF64" s="13">
        <f>1/ABS(AF31)</f>
        <v>1.17066539170333</v>
      </c>
      <c r="AG64" s="13">
        <v>0</v>
      </c>
      <c r="AH64" s="13">
        <f>1/ABS(AH31)</f>
        <v>4.81826695183992</v>
      </c>
      <c r="AI64" s="13">
        <f>1/ABS(AI31)</f>
        <v>6.19627081250532</v>
      </c>
      <c r="AJ64" s="13">
        <f t="shared" si="13"/>
        <v>117.560440872061</v>
      </c>
      <c r="AK64" s="13">
        <f t="shared" si="56"/>
        <v>117.560440872061</v>
      </c>
      <c r="AL64" s="13">
        <f t="shared" si="56"/>
        <v>117.560440872061</v>
      </c>
      <c r="AM64" s="13">
        <f t="shared" si="56"/>
        <v>117.560440872061</v>
      </c>
      <c r="AN64" s="13">
        <f t="shared" si="56"/>
        <v>117.560440872061</v>
      </c>
      <c r="AO64" s="13">
        <f t="shared" si="56"/>
        <v>117.560440872061</v>
      </c>
      <c r="AP64" s="13">
        <f t="shared" si="56"/>
        <v>117.560440872061</v>
      </c>
      <c r="AQ64" s="13">
        <f t="shared" si="56"/>
        <v>117.560440872061</v>
      </c>
      <c r="AR64" s="13">
        <f t="shared" si="56"/>
        <v>117.560440872061</v>
      </c>
      <c r="AS64" s="13">
        <f t="shared" si="56"/>
        <v>117.560440872061</v>
      </c>
      <c r="AT64" s="13">
        <f t="shared" si="56"/>
        <v>117.560440872061</v>
      </c>
      <c r="AU64" s="13">
        <f t="shared" si="56"/>
        <v>117.560440872061</v>
      </c>
      <c r="AV64" s="13">
        <f t="shared" si="56"/>
        <v>117.560440872061</v>
      </c>
      <c r="AW64" s="13">
        <f t="shared" si="56"/>
        <v>117.560440872061</v>
      </c>
      <c r="AX64" s="13">
        <f t="shared" si="56"/>
        <v>117.560440872061</v>
      </c>
      <c r="AY64" s="13">
        <f t="shared" si="56"/>
        <v>117.560440872061</v>
      </c>
      <c r="AZ64" s="13">
        <f t="shared" si="56"/>
        <v>117.560440872061</v>
      </c>
      <c r="BA64" s="13">
        <f t="shared" si="54"/>
        <v>117.560440872061</v>
      </c>
      <c r="BB64" s="13">
        <f t="shared" si="54"/>
        <v>117.560440872061</v>
      </c>
      <c r="BC64" s="13">
        <f t="shared" si="54"/>
        <v>117.560440872061</v>
      </c>
      <c r="BD64" s="13">
        <f t="shared" si="54"/>
        <v>117.560440872061</v>
      </c>
      <c r="BE64" s="13">
        <f t="shared" si="54"/>
        <v>117.560440872061</v>
      </c>
      <c r="BF64" s="13">
        <f t="shared" si="54"/>
        <v>117.560440872061</v>
      </c>
      <c r="BG64" s="13">
        <f t="shared" si="54"/>
        <v>117.560440872061</v>
      </c>
      <c r="BH64" s="13">
        <f t="shared" si="32"/>
        <v>117.560440872061</v>
      </c>
      <c r="BI64" s="13">
        <f t="shared" si="32"/>
        <v>117.560440872061</v>
      </c>
      <c r="BJ64" s="13">
        <f t="shared" si="32"/>
        <v>117.560440872061</v>
      </c>
      <c r="BK64" s="13">
        <f t="shared" si="32"/>
        <v>117.560440872061</v>
      </c>
      <c r="BL64" s="13">
        <f t="shared" si="32"/>
        <v>117.560440872061</v>
      </c>
      <c r="BM64" s="13">
        <f t="shared" si="32"/>
        <v>117.560440872061</v>
      </c>
      <c r="BN64" s="13">
        <f t="shared" si="32"/>
        <v>117.560440872061</v>
      </c>
    </row>
    <row r="65" spans="4:66">
      <c r="D65" s="14" t="s">
        <v>29</v>
      </c>
      <c r="E65" s="13">
        <f t="shared" si="10"/>
        <v>0.189775620145221</v>
      </c>
      <c r="F65" s="13">
        <f t="shared" ref="F65:AC65" si="61">1/ABS(F32)</f>
        <v>0.238152289051908</v>
      </c>
      <c r="G65" s="13">
        <f t="shared" si="61"/>
        <v>25.5808180918829</v>
      </c>
      <c r="H65" s="13">
        <f t="shared" si="61"/>
        <v>3.81252708169817</v>
      </c>
      <c r="I65" s="13">
        <f t="shared" si="61"/>
        <v>0.681692166997915</v>
      </c>
      <c r="J65" s="13">
        <f t="shared" si="61"/>
        <v>0.908280918418891</v>
      </c>
      <c r="K65" s="13">
        <f t="shared" si="61"/>
        <v>2.87332386862536</v>
      </c>
      <c r="L65" s="13">
        <f t="shared" si="61"/>
        <v>8.08105027570994</v>
      </c>
      <c r="M65" s="13">
        <f t="shared" si="61"/>
        <v>0.177915569955639</v>
      </c>
      <c r="N65" s="13">
        <f t="shared" si="61"/>
        <v>0.322231074966904</v>
      </c>
      <c r="O65" s="13">
        <f t="shared" si="61"/>
        <v>0.374181254323076</v>
      </c>
      <c r="P65" s="13">
        <f t="shared" si="61"/>
        <v>3.12723518418532</v>
      </c>
      <c r="Q65" s="13">
        <f t="shared" si="61"/>
        <v>0.522874460054304</v>
      </c>
      <c r="R65" s="13">
        <f t="shared" si="61"/>
        <v>2.88757210357214</v>
      </c>
      <c r="S65" s="13">
        <f t="shared" si="61"/>
        <v>0.708565830616014</v>
      </c>
      <c r="T65" s="13">
        <f t="shared" si="61"/>
        <v>7.67428878535393</v>
      </c>
      <c r="U65" s="13">
        <f t="shared" si="61"/>
        <v>1.86498090693404</v>
      </c>
      <c r="V65" s="13">
        <f t="shared" si="61"/>
        <v>96.1732993152962</v>
      </c>
      <c r="W65" s="13">
        <f t="shared" si="61"/>
        <v>0.503454628375722</v>
      </c>
      <c r="X65" s="13">
        <f t="shared" si="61"/>
        <v>1.72137328113668</v>
      </c>
      <c r="Y65" s="13">
        <f t="shared" si="61"/>
        <v>11.4645208854199</v>
      </c>
      <c r="Z65" s="13">
        <f t="shared" si="61"/>
        <v>1.90920705868347</v>
      </c>
      <c r="AA65" s="13">
        <f t="shared" si="61"/>
        <v>3.23682981810139</v>
      </c>
      <c r="AB65" s="13">
        <f t="shared" si="61"/>
        <v>1.03925576217029</v>
      </c>
      <c r="AC65" s="13">
        <f t="shared" si="61"/>
        <v>1.2516068008127</v>
      </c>
      <c r="AD65" s="13">
        <f t="shared" si="58"/>
        <v>1.60449365992041</v>
      </c>
      <c r="AE65" s="13">
        <f>1/ABS(AE32)</f>
        <v>3.61206346889715</v>
      </c>
      <c r="AF65" s="13">
        <f>1/ABS(AF32)</f>
        <v>0.941833710074897</v>
      </c>
      <c r="AG65" s="13">
        <f>1/ABS(AG32)</f>
        <v>4.81826695183992</v>
      </c>
      <c r="AH65" s="13">
        <v>0</v>
      </c>
      <c r="AI65" s="13">
        <f>1/ABS(AI32)</f>
        <v>21.6656046711861</v>
      </c>
      <c r="AJ65" s="13">
        <f t="shared" si="13"/>
        <v>209.967275494407</v>
      </c>
      <c r="AK65" s="13">
        <f t="shared" si="56"/>
        <v>209.967275494407</v>
      </c>
      <c r="AL65" s="13">
        <f t="shared" si="56"/>
        <v>209.967275494407</v>
      </c>
      <c r="AM65" s="13">
        <f t="shared" si="56"/>
        <v>209.967275494407</v>
      </c>
      <c r="AN65" s="13">
        <f t="shared" si="56"/>
        <v>209.967275494407</v>
      </c>
      <c r="AO65" s="13">
        <f t="shared" si="56"/>
        <v>209.967275494407</v>
      </c>
      <c r="AP65" s="13">
        <f t="shared" si="56"/>
        <v>209.967275494407</v>
      </c>
      <c r="AQ65" s="13">
        <f t="shared" si="56"/>
        <v>209.967275494407</v>
      </c>
      <c r="AR65" s="13">
        <f t="shared" si="56"/>
        <v>209.967275494407</v>
      </c>
      <c r="AS65" s="13">
        <f t="shared" si="56"/>
        <v>209.967275494407</v>
      </c>
      <c r="AT65" s="13">
        <f t="shared" si="56"/>
        <v>209.967275494407</v>
      </c>
      <c r="AU65" s="13">
        <f t="shared" si="56"/>
        <v>209.967275494407</v>
      </c>
      <c r="AV65" s="13">
        <f t="shared" si="56"/>
        <v>209.967275494407</v>
      </c>
      <c r="AW65" s="13">
        <f t="shared" si="56"/>
        <v>209.967275494407</v>
      </c>
      <c r="AX65" s="13">
        <f t="shared" si="56"/>
        <v>209.967275494407</v>
      </c>
      <c r="AY65" s="13">
        <f t="shared" si="56"/>
        <v>209.967275494407</v>
      </c>
      <c r="AZ65" s="13">
        <f t="shared" si="56"/>
        <v>209.967275494407</v>
      </c>
      <c r="BA65" s="13">
        <f t="shared" si="54"/>
        <v>209.967275494407</v>
      </c>
      <c r="BB65" s="13">
        <f t="shared" si="54"/>
        <v>209.967275494407</v>
      </c>
      <c r="BC65" s="13">
        <f t="shared" si="54"/>
        <v>209.967275494407</v>
      </c>
      <c r="BD65" s="13">
        <f t="shared" si="54"/>
        <v>209.967275494407</v>
      </c>
      <c r="BE65" s="13">
        <f t="shared" si="54"/>
        <v>209.967275494407</v>
      </c>
      <c r="BF65" s="13">
        <f t="shared" si="54"/>
        <v>209.967275494407</v>
      </c>
      <c r="BG65" s="13">
        <f t="shared" si="54"/>
        <v>209.967275494407</v>
      </c>
      <c r="BH65" s="13">
        <f t="shared" si="32"/>
        <v>209.967275494407</v>
      </c>
      <c r="BI65" s="13">
        <f t="shared" si="32"/>
        <v>209.967275494407</v>
      </c>
      <c r="BJ65" s="13">
        <f t="shared" si="32"/>
        <v>209.967275494407</v>
      </c>
      <c r="BK65" s="13">
        <f t="shared" si="32"/>
        <v>209.967275494407</v>
      </c>
      <c r="BL65" s="13">
        <f t="shared" si="32"/>
        <v>209.967275494407</v>
      </c>
      <c r="BM65" s="13">
        <f t="shared" si="32"/>
        <v>209.967275494407</v>
      </c>
      <c r="BN65" s="13">
        <f t="shared" si="32"/>
        <v>209.967275494407</v>
      </c>
    </row>
    <row r="66" spans="4:66">
      <c r="D66" s="14" t="s">
        <v>30</v>
      </c>
      <c r="E66" s="13">
        <f t="shared" si="10"/>
        <v>0.188127751953434</v>
      </c>
      <c r="F66" s="13">
        <f t="shared" ref="F66:AC66" si="62">1/ABS(F33)</f>
        <v>0.235562938152717</v>
      </c>
      <c r="G66" s="13">
        <f t="shared" si="62"/>
        <v>11.7304942793993</v>
      </c>
      <c r="H66" s="13">
        <f t="shared" si="62"/>
        <v>4.62669274449911</v>
      </c>
      <c r="I66" s="13">
        <f t="shared" si="62"/>
        <v>0.660897517250735</v>
      </c>
      <c r="J66" s="13">
        <f t="shared" si="62"/>
        <v>0.871735405530151</v>
      </c>
      <c r="K66" s="13">
        <f t="shared" si="62"/>
        <v>2.53687926630225</v>
      </c>
      <c r="L66" s="13">
        <f t="shared" si="62"/>
        <v>12.8882284618637</v>
      </c>
      <c r="M66" s="13">
        <f t="shared" si="62"/>
        <v>0.176466446843467</v>
      </c>
      <c r="N66" s="13">
        <f t="shared" si="62"/>
        <v>0.317508788204666</v>
      </c>
      <c r="O66" s="13">
        <f t="shared" si="62"/>
        <v>0.367828578686389</v>
      </c>
      <c r="P66" s="13">
        <f t="shared" si="62"/>
        <v>3.65476808852537</v>
      </c>
      <c r="Q66" s="13">
        <f t="shared" si="62"/>
        <v>0.51055285390185</v>
      </c>
      <c r="R66" s="13">
        <f t="shared" si="62"/>
        <v>3.33160545069225</v>
      </c>
      <c r="S66" s="13">
        <f t="shared" si="62"/>
        <v>0.686126315538746</v>
      </c>
      <c r="T66" s="13">
        <f t="shared" si="62"/>
        <v>11.8836647183673</v>
      </c>
      <c r="U66" s="13">
        <f t="shared" si="62"/>
        <v>1.71716674516228</v>
      </c>
      <c r="V66" s="13">
        <f t="shared" si="62"/>
        <v>27.9656039935411</v>
      </c>
      <c r="W66" s="13">
        <f t="shared" si="62"/>
        <v>0.492021280690196</v>
      </c>
      <c r="X66" s="13">
        <f t="shared" si="62"/>
        <v>1.86994385851625</v>
      </c>
      <c r="Y66" s="13">
        <f t="shared" si="62"/>
        <v>24.3489596266863</v>
      </c>
      <c r="Z66" s="13">
        <f t="shared" si="62"/>
        <v>1.75458984965997</v>
      </c>
      <c r="AA66" s="13">
        <f t="shared" si="62"/>
        <v>3.80534657273505</v>
      </c>
      <c r="AB66" s="13">
        <f t="shared" si="62"/>
        <v>1.09161852127848</v>
      </c>
      <c r="AC66" s="13">
        <f t="shared" si="62"/>
        <v>1.32834432149767</v>
      </c>
      <c r="AD66" s="13">
        <f t="shared" si="58"/>
        <v>1.73282154282176</v>
      </c>
      <c r="AE66" s="13">
        <f>1/ABS(AE33)</f>
        <v>3.09591607622479</v>
      </c>
      <c r="AF66" s="13">
        <f>1/ABS(AF33)</f>
        <v>0.984637249020489</v>
      </c>
      <c r="AG66" s="13">
        <f>1/ABS(AG33)</f>
        <v>6.19627081250532</v>
      </c>
      <c r="AH66" s="13">
        <f>1/ABS(AH33)</f>
        <v>21.6656046711861</v>
      </c>
      <c r="AI66" s="13">
        <v>0</v>
      </c>
      <c r="AJ66" s="13">
        <f t="shared" si="13"/>
        <v>152.715984727237</v>
      </c>
      <c r="AK66" s="13">
        <f t="shared" si="56"/>
        <v>152.715984727237</v>
      </c>
      <c r="AL66" s="13">
        <f t="shared" si="56"/>
        <v>152.715984727237</v>
      </c>
      <c r="AM66" s="13">
        <f t="shared" si="56"/>
        <v>152.715984727237</v>
      </c>
      <c r="AN66" s="13">
        <f t="shared" si="56"/>
        <v>152.715984727237</v>
      </c>
      <c r="AO66" s="13">
        <f t="shared" si="56"/>
        <v>152.715984727237</v>
      </c>
      <c r="AP66" s="13">
        <f t="shared" si="56"/>
        <v>152.715984727237</v>
      </c>
      <c r="AQ66" s="13">
        <f t="shared" si="56"/>
        <v>152.715984727237</v>
      </c>
      <c r="AR66" s="13">
        <f t="shared" si="56"/>
        <v>152.715984727237</v>
      </c>
      <c r="AS66" s="13">
        <f t="shared" si="56"/>
        <v>152.715984727237</v>
      </c>
      <c r="AT66" s="13">
        <f t="shared" si="56"/>
        <v>152.715984727237</v>
      </c>
      <c r="AU66" s="13">
        <f t="shared" si="56"/>
        <v>152.715984727237</v>
      </c>
      <c r="AV66" s="13">
        <f t="shared" si="56"/>
        <v>152.715984727237</v>
      </c>
      <c r="AW66" s="13">
        <f t="shared" si="56"/>
        <v>152.715984727237</v>
      </c>
      <c r="AX66" s="13">
        <f t="shared" si="56"/>
        <v>152.715984727237</v>
      </c>
      <c r="AY66" s="13">
        <f t="shared" si="56"/>
        <v>152.715984727237</v>
      </c>
      <c r="AZ66" s="13">
        <f t="shared" si="56"/>
        <v>152.715984727237</v>
      </c>
      <c r="BA66" s="13">
        <f t="shared" si="54"/>
        <v>152.715984727237</v>
      </c>
      <c r="BB66" s="13">
        <f t="shared" si="54"/>
        <v>152.715984727237</v>
      </c>
      <c r="BC66" s="13">
        <f t="shared" si="54"/>
        <v>152.715984727237</v>
      </c>
      <c r="BD66" s="13">
        <f t="shared" si="54"/>
        <v>152.715984727237</v>
      </c>
      <c r="BE66" s="13">
        <f t="shared" si="54"/>
        <v>152.715984727237</v>
      </c>
      <c r="BF66" s="13">
        <f t="shared" si="54"/>
        <v>152.715984727237</v>
      </c>
      <c r="BG66" s="13">
        <f t="shared" si="54"/>
        <v>152.715984727237</v>
      </c>
      <c r="BH66" s="13">
        <f t="shared" si="32"/>
        <v>152.715984727237</v>
      </c>
      <c r="BI66" s="13">
        <f t="shared" si="32"/>
        <v>152.715984727237</v>
      </c>
      <c r="BJ66" s="13">
        <f t="shared" si="32"/>
        <v>152.715984727237</v>
      </c>
      <c r="BK66" s="13">
        <f t="shared" ref="BK66:BN66" si="63">$AJ66</f>
        <v>152.715984727237</v>
      </c>
      <c r="BL66" s="13">
        <f t="shared" si="63"/>
        <v>152.715984727237</v>
      </c>
      <c r="BM66" s="13">
        <f t="shared" si="63"/>
        <v>152.715984727237</v>
      </c>
      <c r="BN66" s="13">
        <f t="shared" si="63"/>
        <v>152.715984727237</v>
      </c>
    </row>
    <row r="68" spans="2:3">
      <c r="B68" s="16" t="s">
        <v>35</v>
      </c>
      <c r="C68" s="16"/>
    </row>
    <row r="69" spans="5:35">
      <c r="E69" s="14" t="s">
        <v>0</v>
      </c>
      <c r="F69" s="14" t="s">
        <v>1</v>
      </c>
      <c r="G69" s="14" t="s">
        <v>2</v>
      </c>
      <c r="H69" s="14" t="s">
        <v>3</v>
      </c>
      <c r="I69" s="14" t="s">
        <v>4</v>
      </c>
      <c r="J69" s="14" t="s">
        <v>5</v>
      </c>
      <c r="K69" s="14" t="s">
        <v>6</v>
      </c>
      <c r="L69" s="14" t="s">
        <v>7</v>
      </c>
      <c r="M69" s="14" t="s">
        <v>8</v>
      </c>
      <c r="N69" s="14" t="s">
        <v>9</v>
      </c>
      <c r="O69" s="14" t="s">
        <v>10</v>
      </c>
      <c r="P69" s="14" t="s">
        <v>11</v>
      </c>
      <c r="Q69" s="14" t="s">
        <v>12</v>
      </c>
      <c r="R69" s="14" t="s">
        <v>13</v>
      </c>
      <c r="S69" s="14" t="s">
        <v>14</v>
      </c>
      <c r="T69" s="14" t="s">
        <v>15</v>
      </c>
      <c r="U69" s="14" t="s">
        <v>16</v>
      </c>
      <c r="V69" s="14" t="s">
        <v>17</v>
      </c>
      <c r="W69" s="14" t="s">
        <v>18</v>
      </c>
      <c r="X69" s="14" t="s">
        <v>19</v>
      </c>
      <c r="Y69" s="14" t="s">
        <v>20</v>
      </c>
      <c r="Z69" s="14" t="s">
        <v>21</v>
      </c>
      <c r="AA69" s="14" t="s">
        <v>22</v>
      </c>
      <c r="AB69" s="14" t="s">
        <v>23</v>
      </c>
      <c r="AC69" s="14" t="s">
        <v>24</v>
      </c>
      <c r="AD69" s="14" t="s">
        <v>25</v>
      </c>
      <c r="AE69" s="14" t="s">
        <v>26</v>
      </c>
      <c r="AF69" s="14" t="s">
        <v>27</v>
      </c>
      <c r="AG69" s="14" t="s">
        <v>28</v>
      </c>
      <c r="AH69" s="14" t="s">
        <v>29</v>
      </c>
      <c r="AI69" s="14" t="s">
        <v>30</v>
      </c>
    </row>
    <row r="70" spans="4:35">
      <c r="D70" s="14" t="s">
        <v>0</v>
      </c>
      <c r="E70" s="13">
        <f t="shared" ref="E70:E94" si="64">E36/AJ36</f>
        <v>0</v>
      </c>
      <c r="F70" s="13">
        <f t="shared" ref="F70:F94" si="65">F36/AK36</f>
        <v>0.0947776443785021</v>
      </c>
      <c r="G70" s="13">
        <f t="shared" ref="G70:G94" si="66">G36/AL36</f>
        <v>0.0193963944921246</v>
      </c>
      <c r="H70" s="13">
        <f t="shared" ref="H70:H94" si="67">H36/AM36</f>
        <v>0.0183396108532097</v>
      </c>
      <c r="I70" s="13">
        <f t="shared" ref="I70:I94" si="68">I36/AN36</f>
        <v>0.0266798868434926</v>
      </c>
      <c r="J70" s="13">
        <f t="shared" ref="J70:J94" si="69">J36/AO36</f>
        <v>0.0243375763170218</v>
      </c>
      <c r="K70" s="13">
        <f t="shared" ref="K70:K94" si="70">K36/AP36</f>
        <v>0.0206140005569543</v>
      </c>
      <c r="L70" s="13">
        <f t="shared" ref="L70:L94" si="71">L36/AQ36</f>
        <v>0.0188107469340144</v>
      </c>
      <c r="M70" s="13">
        <f t="shared" ref="M70:M94" si="72">M36/AR36</f>
        <v>0.288811538664167</v>
      </c>
      <c r="N70" s="13">
        <f t="shared" ref="N70:N94" si="73">N36/AS36</f>
        <v>0.0468365268705918</v>
      </c>
      <c r="O70" s="13">
        <f t="shared" ref="O70:O94" si="74">O36/AT36</f>
        <v>0.0390656407024332</v>
      </c>
      <c r="P70" s="13">
        <f t="shared" ref="P70:P94" si="75">P36/AU36</f>
        <v>0.0181510088466146</v>
      </c>
      <c r="Q70" s="13">
        <f t="shared" ref="Q70:Q94" si="76">Q36/AV36</f>
        <v>0.0302211801610553</v>
      </c>
      <c r="R70" s="13">
        <f t="shared" ref="R70:R94" si="77">R36/AW36</f>
        <v>0.0180652250606222</v>
      </c>
      <c r="S70" s="13">
        <f t="shared" ref="S70:S94" si="78">S36/AX36</f>
        <v>0.026295143421697</v>
      </c>
      <c r="T70" s="13">
        <f t="shared" ref="T70:T94" si="79">T36/AY36</f>
        <v>0.0187878977118893</v>
      </c>
      <c r="U70" s="13">
        <f t="shared" ref="U70:U94" si="80">U36/AZ36</f>
        <v>0.0214335182957384</v>
      </c>
      <c r="V70" s="13">
        <f t="shared" ref="V70:V94" si="81">V36/BA36</f>
        <v>0.0192145835550233</v>
      </c>
      <c r="W70" s="13">
        <f t="shared" ref="W70:W94" si="82">W36/BB36</f>
        <v>0.0309002499587423</v>
      </c>
      <c r="X70" s="13">
        <f t="shared" ref="X70:X94" si="83">X36/BC36</f>
        <v>0.0173407406718307</v>
      </c>
      <c r="Y70" s="13">
        <f t="shared" ref="Y70:Y94" si="84">Y36/BD36</f>
        <v>0.0189389962320249</v>
      </c>
      <c r="Z70" s="13">
        <f t="shared" ref="Z70:Z94" si="85">Z36/BE36</f>
        <v>0.0213774194683076</v>
      </c>
      <c r="AA70" s="13">
        <f t="shared" ref="AA70:AA94" si="86">AA36/BF36</f>
        <v>0.0181862382943047</v>
      </c>
      <c r="AB70" s="13">
        <f t="shared" ref="AB70:AB94" si="87">AB36/BG36</f>
        <v>0.0162797068288376</v>
      </c>
      <c r="AC70" s="13">
        <f t="shared" ref="AC70:AC94" si="88">AC36/BH36</f>
        <v>0.0167176721525724</v>
      </c>
      <c r="AD70" s="13">
        <f t="shared" ref="AD70:AE85" si="89">AD36/BI36</f>
        <v>0.0172162077496463</v>
      </c>
      <c r="AE70" s="13">
        <f t="shared" si="89"/>
        <v>0.0203201050362479</v>
      </c>
      <c r="AF70" s="13">
        <f t="shared" ref="AF70:AF93" si="90">AF36/BJ36</f>
        <v>0.0160237744039416</v>
      </c>
      <c r="AG70" s="13">
        <f t="shared" ref="AG70:AG93" si="91">AG36/BK36</f>
        <v>0.0185229415770412</v>
      </c>
      <c r="AH70" s="13">
        <f t="shared" ref="AH70:AH93" si="92">AH36/BL36</f>
        <v>0.0192524990631316</v>
      </c>
      <c r="AI70" s="13">
        <f t="shared" ref="AI70:AI93" si="93">AI36/BM36</f>
        <v>0.019085324898219</v>
      </c>
    </row>
    <row r="71" spans="4:35">
      <c r="D71" s="14" t="s">
        <v>1</v>
      </c>
      <c r="E71" s="13">
        <f t="shared" si="64"/>
        <v>0.0937612831388241</v>
      </c>
      <c r="F71" s="13">
        <f t="shared" si="65"/>
        <v>0</v>
      </c>
      <c r="G71" s="13">
        <f t="shared" si="66"/>
        <v>0.0241257718410036</v>
      </c>
      <c r="H71" s="13">
        <f t="shared" si="67"/>
        <v>0.0224959403919605</v>
      </c>
      <c r="I71" s="13">
        <f t="shared" si="68"/>
        <v>0.0367345491980178</v>
      </c>
      <c r="J71" s="13">
        <f t="shared" si="69"/>
        <v>0.0323952325256324</v>
      </c>
      <c r="K71" s="13">
        <f t="shared" si="70"/>
        <v>0.0260612214186125</v>
      </c>
      <c r="L71" s="13">
        <f t="shared" si="71"/>
        <v>0.0232169514441698</v>
      </c>
      <c r="M71" s="13">
        <f t="shared" si="72"/>
        <v>0.0705946404318659</v>
      </c>
      <c r="N71" s="13">
        <f t="shared" si="73"/>
        <v>0.091600969802761</v>
      </c>
      <c r="O71" s="13">
        <f t="shared" si="74"/>
        <v>0.0657460575318312</v>
      </c>
      <c r="P71" s="13">
        <f t="shared" si="75"/>
        <v>0.0222097951699122</v>
      </c>
      <c r="Q71" s="13">
        <f t="shared" si="76"/>
        <v>0.043892996065053</v>
      </c>
      <c r="R71" s="13">
        <f t="shared" si="77"/>
        <v>0.0220801103255101</v>
      </c>
      <c r="S71" s="13">
        <f t="shared" si="78"/>
        <v>0.0360014069739187</v>
      </c>
      <c r="T71" s="13">
        <f t="shared" si="79"/>
        <v>0.0231817774663235</v>
      </c>
      <c r="U71" s="13">
        <f t="shared" si="80"/>
        <v>0.0274000698477226</v>
      </c>
      <c r="V71" s="13">
        <f t="shared" si="81"/>
        <v>0.0238421258941029</v>
      </c>
      <c r="W71" s="13">
        <f t="shared" si="82"/>
        <v>0.0453563754714741</v>
      </c>
      <c r="X71" s="13">
        <f t="shared" si="83"/>
        <v>0.0209963211097291</v>
      </c>
      <c r="Y71" s="13">
        <f t="shared" si="84"/>
        <v>0.0234147711157282</v>
      </c>
      <c r="Z71" s="13">
        <f t="shared" si="85"/>
        <v>0.0273074678176771</v>
      </c>
      <c r="AA71" s="13">
        <f t="shared" si="86"/>
        <v>0.0222631379304871</v>
      </c>
      <c r="AB71" s="13">
        <f t="shared" si="87"/>
        <v>0.0194451758739516</v>
      </c>
      <c r="AC71" s="13">
        <f t="shared" si="88"/>
        <v>0.0200803349965669</v>
      </c>
      <c r="AD71" s="13">
        <f t="shared" si="89"/>
        <v>0.0208120658867587</v>
      </c>
      <c r="AE71" s="13">
        <f t="shared" ref="AE71:AE93" si="94">AE37/BI37</f>
        <v>0.0255882633047622</v>
      </c>
      <c r="AF71" s="13">
        <f t="shared" si="90"/>
        <v>0.0190772802571598</v>
      </c>
      <c r="AG71" s="13">
        <f t="shared" si="91"/>
        <v>0.022775444739332</v>
      </c>
      <c r="AH71" s="13">
        <f t="shared" si="92"/>
        <v>0.0239011657409</v>
      </c>
      <c r="AI71" s="13">
        <f t="shared" si="93"/>
        <v>0.0236412962882514</v>
      </c>
    </row>
    <row r="72" spans="4:35">
      <c r="D72" s="14" t="s">
        <v>2</v>
      </c>
      <c r="E72" s="13">
        <f t="shared" si="64"/>
        <v>0.00165419658875467</v>
      </c>
      <c r="F72" s="13">
        <f t="shared" si="65"/>
        <v>0.00207983890234559</v>
      </c>
      <c r="G72" s="13">
        <f t="shared" si="66"/>
        <v>0</v>
      </c>
      <c r="H72" s="13">
        <f t="shared" si="67"/>
        <v>0.0287072212280077</v>
      </c>
      <c r="I72" s="13">
        <f t="shared" si="68"/>
        <v>0.00605942529706604</v>
      </c>
      <c r="J72" s="13">
        <f t="shared" si="69"/>
        <v>0.00814767340058598</v>
      </c>
      <c r="K72" s="13">
        <f t="shared" si="70"/>
        <v>0.0280054529842295</v>
      </c>
      <c r="L72" s="13">
        <f t="shared" si="71"/>
        <v>0.0531320808552249</v>
      </c>
      <c r="M72" s="13">
        <f t="shared" si="72"/>
        <v>0.00155009333198762</v>
      </c>
      <c r="N72" s="13">
        <f t="shared" si="73"/>
        <v>0.00282348575837218</v>
      </c>
      <c r="O72" s="13">
        <f t="shared" si="74"/>
        <v>0.00328544616791732</v>
      </c>
      <c r="P72" s="13">
        <f t="shared" si="75"/>
        <v>0.0241092685023125</v>
      </c>
      <c r="Q72" s="13">
        <f t="shared" si="76"/>
        <v>0.00461826909645375</v>
      </c>
      <c r="R72" s="13">
        <f t="shared" si="77"/>
        <v>0.0224490083404624</v>
      </c>
      <c r="S72" s="13">
        <f t="shared" si="78"/>
        <v>0.00630510502600395</v>
      </c>
      <c r="T72" s="13">
        <f t="shared" si="79"/>
        <v>0.0510748410087909</v>
      </c>
      <c r="U72" s="13">
        <f t="shared" si="80"/>
        <v>0.0174045646057076</v>
      </c>
      <c r="V72" s="13">
        <f t="shared" si="81"/>
        <v>0.174822808120467</v>
      </c>
      <c r="W72" s="13">
        <f t="shared" si="82"/>
        <v>0.00444330061532379</v>
      </c>
      <c r="X72" s="13">
        <f t="shared" si="83"/>
        <v>0.0139541949051134</v>
      </c>
      <c r="Y72" s="13">
        <f t="shared" si="84"/>
        <v>0.0684935333042697</v>
      </c>
      <c r="Z72" s="13">
        <f t="shared" si="85"/>
        <v>0.0178505848164459</v>
      </c>
      <c r="AA72" s="13">
        <f t="shared" si="86"/>
        <v>0.0248592813084085</v>
      </c>
      <c r="AB72" s="13">
        <f t="shared" si="87"/>
        <v>0.00864053072093477</v>
      </c>
      <c r="AC72" s="13">
        <f t="shared" si="88"/>
        <v>0.0103236964273524</v>
      </c>
      <c r="AD72" s="13">
        <f t="shared" si="89"/>
        <v>0.0130626388904575</v>
      </c>
      <c r="AE72" s="13">
        <f t="shared" si="94"/>
        <v>0.0363895904923333</v>
      </c>
      <c r="AF72" s="13">
        <f t="shared" si="90"/>
        <v>0.00785931183024396</v>
      </c>
      <c r="AG72" s="13">
        <f t="shared" si="91"/>
        <v>0.0350798380099486</v>
      </c>
      <c r="AH72" s="13">
        <f t="shared" si="92"/>
        <v>0.221323349171683</v>
      </c>
      <c r="AI72" s="13">
        <f t="shared" si="93"/>
        <v>0.101491370292795</v>
      </c>
    </row>
    <row r="73" spans="4:35">
      <c r="D73" s="14" t="s">
        <v>3</v>
      </c>
      <c r="E73" s="13">
        <f t="shared" si="64"/>
        <v>0.00143781702240893</v>
      </c>
      <c r="F73" s="13">
        <f t="shared" si="65"/>
        <v>0.00178278932811818</v>
      </c>
      <c r="G73" s="13">
        <f t="shared" si="66"/>
        <v>0.0263899488477816</v>
      </c>
      <c r="H73" s="13">
        <f t="shared" si="67"/>
        <v>0</v>
      </c>
      <c r="I73" s="13">
        <f t="shared" si="68"/>
        <v>0.00459946355542808</v>
      </c>
      <c r="J73" s="13">
        <f t="shared" si="69"/>
        <v>0.00583414188092877</v>
      </c>
      <c r="K73" s="13">
        <f t="shared" si="70"/>
        <v>0.0130316985044112</v>
      </c>
      <c r="L73" s="13">
        <f t="shared" si="71"/>
        <v>0.057406794444097</v>
      </c>
      <c r="M73" s="13">
        <f t="shared" si="72"/>
        <v>0.00135196676688967</v>
      </c>
      <c r="N73" s="13">
        <f t="shared" si="73"/>
        <v>0.00236314538611736</v>
      </c>
      <c r="O73" s="13">
        <f t="shared" si="74"/>
        <v>0.00271008213352419</v>
      </c>
      <c r="P73" s="13">
        <f t="shared" si="75"/>
        <v>0.138375142262313</v>
      </c>
      <c r="Q73" s="13">
        <f t="shared" si="76"/>
        <v>0.00365713704536993</v>
      </c>
      <c r="R73" s="13">
        <f t="shared" si="77"/>
        <v>0.0946641145697117</v>
      </c>
      <c r="S73" s="13">
        <f t="shared" si="78"/>
        <v>0.00475236629263016</v>
      </c>
      <c r="T73" s="13">
        <f t="shared" si="79"/>
        <v>0.0602595383344527</v>
      </c>
      <c r="U73" s="13">
        <f t="shared" si="80"/>
        <v>0.00996069792913347</v>
      </c>
      <c r="V73" s="13">
        <f t="shared" si="81"/>
        <v>0.0315747625687616</v>
      </c>
      <c r="W73" s="13">
        <f t="shared" si="82"/>
        <v>0.00353715324627082</v>
      </c>
      <c r="X73" s="13">
        <f t="shared" si="83"/>
        <v>0.0249610135370295</v>
      </c>
      <c r="Y73" s="13">
        <f t="shared" si="84"/>
        <v>0.0454312236037064</v>
      </c>
      <c r="Z73" s="13">
        <f t="shared" si="85"/>
        <v>0.0101180888927457</v>
      </c>
      <c r="AA73" s="13">
        <f t="shared" si="86"/>
        <v>0.170489970173403</v>
      </c>
      <c r="AB73" s="13">
        <f t="shared" si="87"/>
        <v>0.0113632670849627</v>
      </c>
      <c r="AC73" s="13">
        <f t="shared" si="88"/>
        <v>0.0148198902872068</v>
      </c>
      <c r="AD73" s="13">
        <f t="shared" si="89"/>
        <v>0.0220346165016378</v>
      </c>
      <c r="AE73" s="13">
        <f t="shared" si="94"/>
        <v>0.0147521730528059</v>
      </c>
      <c r="AF73" s="13">
        <f t="shared" si="90"/>
        <v>0.0099485676583548</v>
      </c>
      <c r="AG73" s="13">
        <f t="shared" si="91"/>
        <v>0.145270798848984</v>
      </c>
      <c r="AH73" s="13">
        <f t="shared" si="92"/>
        <v>0.0303230675739072</v>
      </c>
      <c r="AI73" s="13">
        <f t="shared" si="93"/>
        <v>0.0367985626669076</v>
      </c>
    </row>
    <row r="74" spans="4:35">
      <c r="D74" s="14" t="s">
        <v>4</v>
      </c>
      <c r="E74" s="13">
        <f t="shared" si="64"/>
        <v>0.00645556914957587</v>
      </c>
      <c r="F74" s="13">
        <f t="shared" si="65"/>
        <v>0.00898478392338805</v>
      </c>
      <c r="G74" s="13">
        <f t="shared" si="66"/>
        <v>0.0171915833580638</v>
      </c>
      <c r="H74" s="13">
        <f t="shared" si="67"/>
        <v>0.0141952887622838</v>
      </c>
      <c r="I74" s="13">
        <f t="shared" si="68"/>
        <v>0</v>
      </c>
      <c r="J74" s="13">
        <f t="shared" si="69"/>
        <v>0.0670760367048101</v>
      </c>
      <c r="K74" s="13">
        <f t="shared" si="70"/>
        <v>0.0219382790508521</v>
      </c>
      <c r="L74" s="13">
        <f t="shared" si="71"/>
        <v>0.0154316836381876</v>
      </c>
      <c r="M74" s="13">
        <f t="shared" si="72"/>
        <v>0.00590964669179787</v>
      </c>
      <c r="N74" s="13">
        <f t="shared" si="73"/>
        <v>0.0150003392198589</v>
      </c>
      <c r="O74" s="13">
        <f t="shared" si="74"/>
        <v>0.0203613722506684</v>
      </c>
      <c r="P74" s="13">
        <f t="shared" si="75"/>
        <v>0.0137386292530831</v>
      </c>
      <c r="Q74" s="13">
        <f t="shared" si="76"/>
        <v>0.0550914315241627</v>
      </c>
      <c r="R74" s="13">
        <f t="shared" si="77"/>
        <v>0.0135375378071592</v>
      </c>
      <c r="S74" s="13">
        <f t="shared" si="78"/>
        <v>0.441203428156219</v>
      </c>
      <c r="T74" s="13">
        <f t="shared" si="79"/>
        <v>0.0153683147343134</v>
      </c>
      <c r="U74" s="13">
        <f t="shared" si="80"/>
        <v>0.0263735874095368</v>
      </c>
      <c r="V74" s="13">
        <f t="shared" si="81"/>
        <v>0.0166156776257633</v>
      </c>
      <c r="W74" s="13">
        <f t="shared" si="82"/>
        <v>0.047265767162795</v>
      </c>
      <c r="X74" s="13">
        <f t="shared" si="83"/>
        <v>0.0119865722684096</v>
      </c>
      <c r="Y74" s="13">
        <f t="shared" si="84"/>
        <v>0.0157943066161237</v>
      </c>
      <c r="Z74" s="13">
        <f t="shared" si="85"/>
        <v>0.0260262628418972</v>
      </c>
      <c r="AA74" s="13">
        <f t="shared" si="86"/>
        <v>0.0138223895419801</v>
      </c>
      <c r="AB74" s="13">
        <f t="shared" si="87"/>
        <v>0.0101050917407482</v>
      </c>
      <c r="AC74" s="13">
        <f t="shared" si="88"/>
        <v>0.0108331422228064</v>
      </c>
      <c r="AD74" s="13">
        <f t="shared" si="89"/>
        <v>0.011743891410432</v>
      </c>
      <c r="AE74" s="13">
        <f t="shared" si="94"/>
        <v>0.0206261546644122</v>
      </c>
      <c r="AF74" s="13">
        <f t="shared" si="90"/>
        <v>0.00970734724212505</v>
      </c>
      <c r="AG74" s="13">
        <f t="shared" si="91"/>
        <v>0.0146594253483527</v>
      </c>
      <c r="AH74" s="13">
        <f t="shared" si="92"/>
        <v>0.0167334522822167</v>
      </c>
      <c r="AI74" s="13">
        <f t="shared" si="93"/>
        <v>0.0162230073979777</v>
      </c>
    </row>
    <row r="75" spans="4:35">
      <c r="D75" s="14" t="s">
        <v>5</v>
      </c>
      <c r="E75" s="13">
        <f t="shared" si="64"/>
        <v>0.00838148800096408</v>
      </c>
      <c r="F75" s="13">
        <f t="shared" si="65"/>
        <v>0.0112773555020521</v>
      </c>
      <c r="G75" s="13">
        <f t="shared" si="66"/>
        <v>0.0329011668582119</v>
      </c>
      <c r="H75" s="13">
        <f t="shared" si="67"/>
        <v>0.0256275614182736</v>
      </c>
      <c r="I75" s="13">
        <f t="shared" si="68"/>
        <v>0.095468619091571</v>
      </c>
      <c r="J75" s="13">
        <f t="shared" si="69"/>
        <v>0</v>
      </c>
      <c r="K75" s="13">
        <f t="shared" si="70"/>
        <v>0.0464005594227108</v>
      </c>
      <c r="L75" s="13">
        <f t="shared" si="71"/>
        <v>0.0285266721280299</v>
      </c>
      <c r="M75" s="13">
        <f t="shared" si="72"/>
        <v>0.0077300887342412</v>
      </c>
      <c r="N75" s="13">
        <f t="shared" si="73"/>
        <v>0.0174479154944588</v>
      </c>
      <c r="O75" s="13">
        <f t="shared" si="74"/>
        <v>0.0222315838815687</v>
      </c>
      <c r="P75" s="13">
        <f t="shared" si="75"/>
        <v>0.0245907708242095</v>
      </c>
      <c r="Q75" s="13">
        <f t="shared" si="76"/>
        <v>0.0430515829429486</v>
      </c>
      <c r="R75" s="13">
        <f t="shared" si="77"/>
        <v>0.0241398258628825</v>
      </c>
      <c r="S75" s="13">
        <f t="shared" si="78"/>
        <v>0.112584865441514</v>
      </c>
      <c r="T75" s="13">
        <f t="shared" si="79"/>
        <v>0.0283747132833794</v>
      </c>
      <c r="U75" s="13">
        <f t="shared" si="80"/>
        <v>0.0618599129554523</v>
      </c>
      <c r="V75" s="13">
        <f t="shared" si="81"/>
        <v>0.0314360782831018</v>
      </c>
      <c r="W75" s="13">
        <f t="shared" si="82"/>
        <v>0.0394641099641965</v>
      </c>
      <c r="X75" s="13">
        <f t="shared" si="83"/>
        <v>0.0207724201680614</v>
      </c>
      <c r="Y75" s="13">
        <f t="shared" si="84"/>
        <v>0.0294034666837977</v>
      </c>
      <c r="Z75" s="13">
        <f t="shared" si="85"/>
        <v>0.0605287469287382</v>
      </c>
      <c r="AA75" s="13">
        <f t="shared" si="86"/>
        <v>0.0247796068893413</v>
      </c>
      <c r="AB75" s="13">
        <f t="shared" si="87"/>
        <v>0.0169335290978836</v>
      </c>
      <c r="AC75" s="13">
        <f t="shared" si="88"/>
        <v>0.0183885473526767</v>
      </c>
      <c r="AD75" s="13">
        <f t="shared" si="89"/>
        <v>0.0202625994302306</v>
      </c>
      <c r="AE75" s="13">
        <f t="shared" si="94"/>
        <v>0.0423930140719844</v>
      </c>
      <c r="AF75" s="13">
        <f t="shared" si="90"/>
        <v>0.0161542305555166</v>
      </c>
      <c r="AG75" s="13">
        <f t="shared" si="91"/>
        <v>0.0266998392010856</v>
      </c>
      <c r="AH75" s="13">
        <f t="shared" si="92"/>
        <v>0.0317329672352096</v>
      </c>
      <c r="AI75" s="13">
        <f t="shared" si="93"/>
        <v>0.0304561622957079</v>
      </c>
    </row>
    <row r="76" spans="4:35">
      <c r="D76" s="14" t="s">
        <v>6</v>
      </c>
      <c r="E76" s="13">
        <f t="shared" si="64"/>
        <v>0.00331995731347369</v>
      </c>
      <c r="F76" s="13">
        <f t="shared" si="65"/>
        <v>0.00424274910716825</v>
      </c>
      <c r="G76" s="13">
        <f t="shared" si="66"/>
        <v>0.0528867288108955</v>
      </c>
      <c r="H76" s="13">
        <f t="shared" si="67"/>
        <v>0.0267705772138043</v>
      </c>
      <c r="I76" s="13">
        <f t="shared" si="68"/>
        <v>0.0146023320030374</v>
      </c>
      <c r="J76" s="13">
        <f t="shared" si="69"/>
        <v>0.0216994952412235</v>
      </c>
      <c r="K76" s="13">
        <f t="shared" si="70"/>
        <v>0</v>
      </c>
      <c r="L76" s="13">
        <f t="shared" si="71"/>
        <v>0.0346323312822019</v>
      </c>
      <c r="M76" s="13">
        <f t="shared" si="72"/>
        <v>0.00309878099402287</v>
      </c>
      <c r="N76" s="13">
        <f t="shared" si="73"/>
        <v>0.00592983559485876</v>
      </c>
      <c r="O76" s="13">
        <f t="shared" si="74"/>
        <v>0.00702898271010109</v>
      </c>
      <c r="P76" s="13">
        <f t="shared" si="75"/>
        <v>0.0244664138796201</v>
      </c>
      <c r="Q76" s="13">
        <f t="shared" si="76"/>
        <v>0.0104435466215987</v>
      </c>
      <c r="R76" s="13">
        <f t="shared" si="77"/>
        <v>0.0235312118096985</v>
      </c>
      <c r="S76" s="13">
        <f t="shared" si="78"/>
        <v>0.0153664070399428</v>
      </c>
      <c r="T76" s="13">
        <f t="shared" si="79"/>
        <v>0.0341574509792533</v>
      </c>
      <c r="U76" s="13">
        <f t="shared" si="80"/>
        <v>0.0868295614015425</v>
      </c>
      <c r="V76" s="13">
        <f t="shared" si="81"/>
        <v>0.0455844091581194</v>
      </c>
      <c r="W76" s="13">
        <f t="shared" si="82"/>
        <v>0.00997326691503898</v>
      </c>
      <c r="X76" s="13">
        <f t="shared" si="83"/>
        <v>0.0175881295207091</v>
      </c>
      <c r="Y76" s="13">
        <f t="shared" si="84"/>
        <v>0.0375382069852341</v>
      </c>
      <c r="Z76" s="13">
        <f t="shared" si="85"/>
        <v>0.0929661540361796</v>
      </c>
      <c r="AA76" s="13">
        <f t="shared" si="86"/>
        <v>0.0248696240808431</v>
      </c>
      <c r="AB76" s="13">
        <f t="shared" si="87"/>
        <v>0.0124698359497412</v>
      </c>
      <c r="AC76" s="13">
        <f t="shared" si="88"/>
        <v>0.0142446817020786</v>
      </c>
      <c r="AD76" s="13">
        <f t="shared" si="89"/>
        <v>0.0168218246579918</v>
      </c>
      <c r="AE76" s="13">
        <f t="shared" si="94"/>
        <v>0.229543754744885</v>
      </c>
      <c r="AF76" s="13">
        <f t="shared" si="90"/>
        <v>0.0115894610087792</v>
      </c>
      <c r="AG76" s="13">
        <f t="shared" si="91"/>
        <v>0.0294087234967896</v>
      </c>
      <c r="AH76" s="13">
        <f t="shared" si="92"/>
        <v>0.0469463128445242</v>
      </c>
      <c r="AI76" s="13">
        <f t="shared" si="93"/>
        <v>0.0414492528966426</v>
      </c>
    </row>
    <row r="77" spans="4:35">
      <c r="D77" s="14" t="s">
        <v>7</v>
      </c>
      <c r="E77" s="13">
        <f t="shared" si="64"/>
        <v>0.000687131996845014</v>
      </c>
      <c r="F77" s="13">
        <f t="shared" si="65"/>
        <v>0.000857278028047102</v>
      </c>
      <c r="G77" s="13">
        <f t="shared" si="66"/>
        <v>0.0227575153253865</v>
      </c>
      <c r="H77" s="13">
        <f t="shared" si="67"/>
        <v>0.0267475447972545</v>
      </c>
      <c r="I77" s="13">
        <f t="shared" si="68"/>
        <v>0.00232968331142353</v>
      </c>
      <c r="J77" s="13">
        <f t="shared" si="69"/>
        <v>0.00302580851590959</v>
      </c>
      <c r="K77" s="13">
        <f t="shared" si="70"/>
        <v>0.00785499010536947</v>
      </c>
      <c r="L77" s="13">
        <f t="shared" si="71"/>
        <v>0</v>
      </c>
      <c r="M77" s="13">
        <f t="shared" si="72"/>
        <v>0.000645114670051601</v>
      </c>
      <c r="N77" s="13">
        <f t="shared" si="73"/>
        <v>0.00114833115462639</v>
      </c>
      <c r="O77" s="13">
        <f t="shared" si="74"/>
        <v>0.00132527240136636</v>
      </c>
      <c r="P77" s="13">
        <f t="shared" si="75"/>
        <v>0.0189046823151919</v>
      </c>
      <c r="Q77" s="13">
        <f t="shared" si="76"/>
        <v>0.00181990810146165</v>
      </c>
      <c r="R77" s="13">
        <f t="shared" si="77"/>
        <v>0.0166503420119352</v>
      </c>
      <c r="S77" s="13">
        <f t="shared" si="78"/>
        <v>0.00241412042192213</v>
      </c>
      <c r="T77" s="13">
        <f t="shared" si="79"/>
        <v>0.564998038033367</v>
      </c>
      <c r="U77" s="13">
        <f t="shared" si="80"/>
        <v>0.00561530312588293</v>
      </c>
      <c r="V77" s="13">
        <f t="shared" si="81"/>
        <v>0.0326938035825594</v>
      </c>
      <c r="W77" s="13">
        <f t="shared" si="82"/>
        <v>0.00175627984158916</v>
      </c>
      <c r="X77" s="13">
        <f t="shared" si="83"/>
        <v>0.00810566462955474</v>
      </c>
      <c r="Y77" s="13">
        <f t="shared" si="84"/>
        <v>0.101471045074173</v>
      </c>
      <c r="Z77" s="13">
        <f t="shared" si="85"/>
        <v>0.00572301636862179</v>
      </c>
      <c r="AA77" s="13">
        <f t="shared" si="86"/>
        <v>0.0200098852756838</v>
      </c>
      <c r="AB77" s="13">
        <f t="shared" si="87"/>
        <v>0.00441964844352762</v>
      </c>
      <c r="AC77" s="13">
        <f t="shared" si="88"/>
        <v>0.0054882164510544</v>
      </c>
      <c r="AD77" s="13">
        <f t="shared" si="89"/>
        <v>0.00741895045608482</v>
      </c>
      <c r="AE77" s="13">
        <f t="shared" si="94"/>
        <v>0.00925068367075794</v>
      </c>
      <c r="AF77" s="13">
        <f t="shared" si="90"/>
        <v>0.00395068411488321</v>
      </c>
      <c r="AG77" s="13">
        <f t="shared" si="91"/>
        <v>0.0442233110847157</v>
      </c>
      <c r="AH77" s="13">
        <f t="shared" si="92"/>
        <v>0.0299466765490083</v>
      </c>
      <c r="AI77" s="13">
        <f t="shared" si="93"/>
        <v>0.0477610701417455</v>
      </c>
    </row>
    <row r="78" spans="4:35">
      <c r="D78" s="14" t="s">
        <v>8</v>
      </c>
      <c r="E78" s="13">
        <f t="shared" si="64"/>
        <v>0.310794995938854</v>
      </c>
      <c r="F78" s="13">
        <f t="shared" si="65"/>
        <v>0.076791575210905</v>
      </c>
      <c r="G78" s="13">
        <f t="shared" si="66"/>
        <v>0.0195592056494903</v>
      </c>
      <c r="H78" s="13">
        <f t="shared" si="67"/>
        <v>0.0185571803641289</v>
      </c>
      <c r="I78" s="13">
        <f t="shared" si="68"/>
        <v>0.0262827280007046</v>
      </c>
      <c r="J78" s="13">
        <f t="shared" si="69"/>
        <v>0.0241546169883467</v>
      </c>
      <c r="K78" s="13">
        <f t="shared" si="70"/>
        <v>0.020705234078315</v>
      </c>
      <c r="L78" s="13">
        <f t="shared" si="71"/>
        <v>0.0190047545014352</v>
      </c>
      <c r="M78" s="13">
        <f t="shared" si="72"/>
        <v>0</v>
      </c>
      <c r="N78" s="13">
        <f t="shared" si="73"/>
        <v>0.0433685150407285</v>
      </c>
      <c r="O78" s="13">
        <f t="shared" si="74"/>
        <v>0.0370303467503182</v>
      </c>
      <c r="P78" s="13">
        <f t="shared" si="75"/>
        <v>0.0183776254351406</v>
      </c>
      <c r="Q78" s="13">
        <f t="shared" si="76"/>
        <v>0.0294408410523191</v>
      </c>
      <c r="R78" s="13">
        <f t="shared" si="77"/>
        <v>0.0182958836022716</v>
      </c>
      <c r="S78" s="13">
        <f t="shared" si="78"/>
        <v>0.0259353401802218</v>
      </c>
      <c r="T78" s="13">
        <f t="shared" si="79"/>
        <v>0.0189830796241367</v>
      </c>
      <c r="U78" s="13">
        <f t="shared" si="80"/>
        <v>0.0214715112529263</v>
      </c>
      <c r="V78" s="13">
        <f t="shared" si="81"/>
        <v>0.0193873051250528</v>
      </c>
      <c r="W78" s="13">
        <f t="shared" si="82"/>
        <v>0.0300384390009594</v>
      </c>
      <c r="X78" s="13">
        <f t="shared" si="83"/>
        <v>0.0176037083191647</v>
      </c>
      <c r="Y78" s="13">
        <f t="shared" si="84"/>
        <v>0.0191263526446953</v>
      </c>
      <c r="Z78" s="13">
        <f t="shared" si="85"/>
        <v>0.0214191860240181</v>
      </c>
      <c r="AA78" s="13">
        <f t="shared" si="86"/>
        <v>0.0184111817121922</v>
      </c>
      <c r="AB78" s="13">
        <f t="shared" si="87"/>
        <v>0.0165840596624735</v>
      </c>
      <c r="AC78" s="13">
        <f t="shared" si="88"/>
        <v>0.0170058006397376</v>
      </c>
      <c r="AD78" s="13">
        <f t="shared" si="89"/>
        <v>0.0174843989812562</v>
      </c>
      <c r="AE78" s="13">
        <f t="shared" si="94"/>
        <v>0.0204294419251952</v>
      </c>
      <c r="AF78" s="13">
        <f t="shared" si="90"/>
        <v>0.0163370472097682</v>
      </c>
      <c r="AG78" s="13">
        <f t="shared" si="91"/>
        <v>0.0187315056471827</v>
      </c>
      <c r="AH78" s="13">
        <f t="shared" si="92"/>
        <v>0.019423170624789</v>
      </c>
      <c r="AI78" s="13">
        <f t="shared" si="93"/>
        <v>0.0192649688132721</v>
      </c>
    </row>
    <row r="79" spans="4:35">
      <c r="D79" s="14" t="s">
        <v>9</v>
      </c>
      <c r="E79" s="13">
        <f t="shared" si="64"/>
        <v>0.0329793176016049</v>
      </c>
      <c r="F79" s="13">
        <f t="shared" si="65"/>
        <v>0.0651987729525672</v>
      </c>
      <c r="G79" s="13">
        <f t="shared" si="66"/>
        <v>0.0233118355793271</v>
      </c>
      <c r="H79" s="13">
        <f t="shared" si="67"/>
        <v>0.0212243265428765</v>
      </c>
      <c r="I79" s="13">
        <f t="shared" si="68"/>
        <v>0.0436523379195876</v>
      </c>
      <c r="J79" s="13">
        <f t="shared" si="69"/>
        <v>0.0356744043283834</v>
      </c>
      <c r="K79" s="13">
        <f t="shared" si="70"/>
        <v>0.0259256359694792</v>
      </c>
      <c r="L79" s="13">
        <f t="shared" si="71"/>
        <v>0.0221355337430099</v>
      </c>
      <c r="M79" s="13">
        <f t="shared" si="72"/>
        <v>0.0283773643844445</v>
      </c>
      <c r="N79" s="13">
        <f t="shared" si="73"/>
        <v>0</v>
      </c>
      <c r="O79" s="13">
        <f t="shared" si="74"/>
        <v>0.165792953873757</v>
      </c>
      <c r="P79" s="13">
        <f t="shared" si="75"/>
        <v>0.0208679475490625</v>
      </c>
      <c r="Q79" s="13">
        <f t="shared" si="76"/>
        <v>0.0599851400184576</v>
      </c>
      <c r="R79" s="13">
        <f t="shared" si="77"/>
        <v>0.0207073979048208</v>
      </c>
      <c r="S79" s="13">
        <f t="shared" si="78"/>
        <v>0.0422170146641487</v>
      </c>
      <c r="T79" s="13">
        <f t="shared" si="79"/>
        <v>0.0220906355958084</v>
      </c>
      <c r="U79" s="13">
        <f t="shared" si="80"/>
        <v>0.0278259484545738</v>
      </c>
      <c r="V79" s="13">
        <f t="shared" si="81"/>
        <v>0.0229413204713416</v>
      </c>
      <c r="W79" s="13">
        <f t="shared" si="82"/>
        <v>0.0639465016198735</v>
      </c>
      <c r="X79" s="13">
        <f t="shared" si="83"/>
        <v>0.0193887286207477</v>
      </c>
      <c r="Y79" s="13">
        <f t="shared" si="84"/>
        <v>0.0223889053079156</v>
      </c>
      <c r="Z79" s="13">
        <f t="shared" si="85"/>
        <v>0.0276919648048931</v>
      </c>
      <c r="AA79" s="13">
        <f t="shared" si="86"/>
        <v>0.020934160125101</v>
      </c>
      <c r="AB79" s="13">
        <f t="shared" si="87"/>
        <v>0.0175703368752252</v>
      </c>
      <c r="AC79" s="13">
        <f t="shared" si="88"/>
        <v>0.0183053912454825</v>
      </c>
      <c r="AD79" s="13">
        <f t="shared" si="89"/>
        <v>0.0191685572647765</v>
      </c>
      <c r="AE79" s="13">
        <f t="shared" si="94"/>
        <v>0.0252727612298137</v>
      </c>
      <c r="AF79" s="13">
        <f t="shared" si="90"/>
        <v>0.0171504686514463</v>
      </c>
      <c r="AG79" s="13">
        <f t="shared" si="91"/>
        <v>0.0215752956346493</v>
      </c>
      <c r="AH79" s="13">
        <f t="shared" si="92"/>
        <v>0.0230181859465751</v>
      </c>
      <c r="AI79" s="13">
        <f t="shared" si="93"/>
        <v>0.0226808551202498</v>
      </c>
    </row>
    <row r="80" spans="4:35">
      <c r="D80" s="14" t="s">
        <v>10</v>
      </c>
      <c r="E80" s="13">
        <f t="shared" si="64"/>
        <v>0.0237482458781333</v>
      </c>
      <c r="F80" s="13">
        <f t="shared" si="65"/>
        <v>0.0404006794574825</v>
      </c>
      <c r="G80" s="13">
        <f t="shared" si="66"/>
        <v>0.0234188102900877</v>
      </c>
      <c r="H80" s="13">
        <f t="shared" si="67"/>
        <v>0.0210138454407188</v>
      </c>
      <c r="I80" s="13">
        <f t="shared" si="68"/>
        <v>0.0511555872961798</v>
      </c>
      <c r="J80" s="13">
        <f t="shared" si="69"/>
        <v>0.0392430893381325</v>
      </c>
      <c r="K80" s="13">
        <f t="shared" si="70"/>
        <v>0.0265313191618077</v>
      </c>
      <c r="L80" s="13">
        <f t="shared" si="71"/>
        <v>0.0220550277107274</v>
      </c>
      <c r="M80" s="13">
        <f t="shared" si="72"/>
        <v>0.0209187093956601</v>
      </c>
      <c r="N80" s="13">
        <f t="shared" si="73"/>
        <v>0.143134943960218</v>
      </c>
      <c r="O80" s="13">
        <f t="shared" si="74"/>
        <v>0</v>
      </c>
      <c r="P80" s="13">
        <f t="shared" si="75"/>
        <v>0.0206101940496578</v>
      </c>
      <c r="Q80" s="13">
        <f t="shared" si="76"/>
        <v>0.0811468391807977</v>
      </c>
      <c r="R80" s="13">
        <f t="shared" si="77"/>
        <v>0.020428995973266</v>
      </c>
      <c r="S80" s="13">
        <f t="shared" si="78"/>
        <v>0.0488989205080692</v>
      </c>
      <c r="T80" s="13">
        <f t="shared" si="79"/>
        <v>0.0220034159917714</v>
      </c>
      <c r="U80" s="13">
        <f t="shared" si="80"/>
        <v>0.0288682468723899</v>
      </c>
      <c r="V80" s="13">
        <f t="shared" si="81"/>
        <v>0.0229868188541368</v>
      </c>
      <c r="W80" s="13">
        <f t="shared" si="82"/>
        <v>0.0898703756807943</v>
      </c>
      <c r="X80" s="13">
        <f t="shared" si="83"/>
        <v>0.0189557683857457</v>
      </c>
      <c r="Y80" s="13">
        <f t="shared" si="84"/>
        <v>0.0223468914485198</v>
      </c>
      <c r="Z80" s="13">
        <f t="shared" si="85"/>
        <v>0.0287013717803296</v>
      </c>
      <c r="AA80" s="13">
        <f t="shared" si="86"/>
        <v>0.0206850392635439</v>
      </c>
      <c r="AB80" s="13">
        <f t="shared" si="87"/>
        <v>0.0169672431571116</v>
      </c>
      <c r="AC80" s="13">
        <f t="shared" si="88"/>
        <v>0.01776516679373</v>
      </c>
      <c r="AD80" s="13">
        <f t="shared" si="89"/>
        <v>0.0187123727929733</v>
      </c>
      <c r="AE80" s="13">
        <f t="shared" si="94"/>
        <v>0.0257430280608519</v>
      </c>
      <c r="AF80" s="13">
        <f t="shared" si="90"/>
        <v>0.0165150048833265</v>
      </c>
      <c r="AG80" s="13">
        <f t="shared" si="91"/>
        <v>0.0214133190713066</v>
      </c>
      <c r="AH80" s="13">
        <f t="shared" si="92"/>
        <v>0.0230762536221335</v>
      </c>
      <c r="AI80" s="13">
        <f t="shared" si="93"/>
        <v>0.0226844757003972</v>
      </c>
    </row>
    <row r="81" spans="4:35">
      <c r="D81" s="14" t="s">
        <v>11</v>
      </c>
      <c r="E81" s="13">
        <f t="shared" si="64"/>
        <v>0.00087111738897423</v>
      </c>
      <c r="F81" s="13">
        <f t="shared" si="65"/>
        <v>0.00107746416805383</v>
      </c>
      <c r="G81" s="13">
        <f t="shared" si="66"/>
        <v>0.0135673127327356</v>
      </c>
      <c r="H81" s="13">
        <f t="shared" si="67"/>
        <v>0.0847072319625296</v>
      </c>
      <c r="I81" s="13">
        <f t="shared" si="68"/>
        <v>0.00272501416642831</v>
      </c>
      <c r="J81" s="13">
        <f t="shared" si="69"/>
        <v>0.00342692228552542</v>
      </c>
      <c r="K81" s="13">
        <f t="shared" si="70"/>
        <v>0.00729081395852966</v>
      </c>
      <c r="L81" s="13">
        <f t="shared" si="71"/>
        <v>0.0248376879655322</v>
      </c>
      <c r="M81" s="13">
        <f t="shared" si="72"/>
        <v>0.000819607328343281</v>
      </c>
      <c r="N81" s="13">
        <f t="shared" si="73"/>
        <v>0.00142232442733047</v>
      </c>
      <c r="O81" s="13">
        <f t="shared" si="74"/>
        <v>0.00162712684411136</v>
      </c>
      <c r="P81" s="13">
        <f t="shared" si="75"/>
        <v>0</v>
      </c>
      <c r="Q81" s="13">
        <f t="shared" si="76"/>
        <v>0.00218109543500197</v>
      </c>
      <c r="R81" s="13">
        <f t="shared" si="77"/>
        <v>0.183448789348447</v>
      </c>
      <c r="S81" s="13">
        <f t="shared" si="78"/>
        <v>0.00281259555193192</v>
      </c>
      <c r="T81" s="13">
        <f t="shared" si="79"/>
        <v>0.0256975200721044</v>
      </c>
      <c r="U81" s="13">
        <f t="shared" si="80"/>
        <v>0.00568805993819727</v>
      </c>
      <c r="V81" s="13">
        <f t="shared" si="81"/>
        <v>0.0157376418641269</v>
      </c>
      <c r="W81" s="13">
        <f t="shared" si="82"/>
        <v>0.00211132135834385</v>
      </c>
      <c r="X81" s="13">
        <f t="shared" si="83"/>
        <v>0.0186429890831551</v>
      </c>
      <c r="Y81" s="13">
        <f t="shared" si="84"/>
        <v>0.0209369962678326</v>
      </c>
      <c r="Z81" s="13">
        <f t="shared" si="85"/>
        <v>0.0057718139486125</v>
      </c>
      <c r="AA81" s="13">
        <f t="shared" si="86"/>
        <v>0.449690513389794</v>
      </c>
      <c r="AB81" s="13">
        <f t="shared" si="87"/>
        <v>0.00757843232748179</v>
      </c>
      <c r="AC81" s="13">
        <f t="shared" si="88"/>
        <v>0.0101602470485884</v>
      </c>
      <c r="AD81" s="13">
        <f t="shared" si="89"/>
        <v>0.0160433465381547</v>
      </c>
      <c r="AE81" s="13">
        <f t="shared" si="94"/>
        <v>0.00816063249175266</v>
      </c>
      <c r="AF81" s="13">
        <f t="shared" si="90"/>
        <v>0.00656184774007988</v>
      </c>
      <c r="AG81" s="13">
        <f t="shared" si="91"/>
        <v>0.0433832657970398</v>
      </c>
      <c r="AH81" s="13">
        <f t="shared" si="92"/>
        <v>0.0152259061983652</v>
      </c>
      <c r="AI81" s="13">
        <f t="shared" si="93"/>
        <v>0.0177943623728967</v>
      </c>
    </row>
    <row r="82" spans="4:35">
      <c r="D82" s="14" t="s">
        <v>12</v>
      </c>
      <c r="E82" s="13">
        <f t="shared" si="64"/>
        <v>0.00914536640426298</v>
      </c>
      <c r="F82" s="13">
        <f t="shared" si="65"/>
        <v>0.0134266381419955</v>
      </c>
      <c r="G82" s="13">
        <f t="shared" si="66"/>
        <v>0.0163871267272519</v>
      </c>
      <c r="H82" s="13">
        <f t="shared" si="67"/>
        <v>0.0141161875690488</v>
      </c>
      <c r="I82" s="13">
        <f t="shared" si="68"/>
        <v>0.0689006300601903</v>
      </c>
      <c r="J82" s="13">
        <f t="shared" si="69"/>
        <v>0.037829884321085</v>
      </c>
      <c r="K82" s="13">
        <f t="shared" si="70"/>
        <v>0.0196230939692804</v>
      </c>
      <c r="L82" s="13">
        <f t="shared" si="71"/>
        <v>0.0150766556910164</v>
      </c>
      <c r="M82" s="13">
        <f t="shared" si="72"/>
        <v>0.00827904847060456</v>
      </c>
      <c r="N82" s="13">
        <f t="shared" si="73"/>
        <v>0.0257796124765078</v>
      </c>
      <c r="O82" s="13">
        <f t="shared" si="74"/>
        <v>0.0403947302799975</v>
      </c>
      <c r="P82" s="13">
        <f t="shared" si="75"/>
        <v>0.0137527150348488</v>
      </c>
      <c r="Q82" s="13">
        <f t="shared" si="76"/>
        <v>0</v>
      </c>
      <c r="R82" s="13">
        <f t="shared" si="77"/>
        <v>0.0135911247606514</v>
      </c>
      <c r="S82" s="13">
        <f t="shared" si="78"/>
        <v>0.0612522849909361</v>
      </c>
      <c r="T82" s="13">
        <f t="shared" si="79"/>
        <v>0.015028248388421</v>
      </c>
      <c r="U82" s="13">
        <f t="shared" si="80"/>
        <v>0.0223059763963657</v>
      </c>
      <c r="V82" s="13">
        <f t="shared" si="81"/>
        <v>0.0159653717861987</v>
      </c>
      <c r="W82" s="13">
        <f t="shared" si="82"/>
        <v>0.416148838924346</v>
      </c>
      <c r="X82" s="13">
        <f t="shared" si="83"/>
        <v>0.0123122683273243</v>
      </c>
      <c r="Y82" s="13">
        <f t="shared" si="84"/>
        <v>0.0153519975352599</v>
      </c>
      <c r="Z82" s="13">
        <f t="shared" si="85"/>
        <v>0.0221064703814995</v>
      </c>
      <c r="AA82" s="13">
        <f t="shared" si="86"/>
        <v>0.0138197437559838</v>
      </c>
      <c r="AB82" s="13">
        <f t="shared" si="87"/>
        <v>0.010679207308717</v>
      </c>
      <c r="AC82" s="13">
        <f t="shared" si="88"/>
        <v>0.0113221865877795</v>
      </c>
      <c r="AD82" s="13">
        <f t="shared" si="89"/>
        <v>0.0121067944615016</v>
      </c>
      <c r="AE82" s="13">
        <f t="shared" si="94"/>
        <v>0.0187691542167964</v>
      </c>
      <c r="AF82" s="13">
        <f t="shared" si="90"/>
        <v>0.0103218355952017</v>
      </c>
      <c r="AG82" s="13">
        <f t="shared" si="91"/>
        <v>0.0144807345473604</v>
      </c>
      <c r="AH82" s="13">
        <f t="shared" si="92"/>
        <v>0.0160521722309345</v>
      </c>
      <c r="AI82" s="13">
        <f t="shared" si="93"/>
        <v>0.0156739006586332</v>
      </c>
    </row>
    <row r="83" spans="4:35">
      <c r="D83" s="14" t="s">
        <v>13</v>
      </c>
      <c r="E83" s="13">
        <f t="shared" si="64"/>
        <v>0.00136326776715494</v>
      </c>
      <c r="F83" s="13">
        <f t="shared" si="65"/>
        <v>0.00168430755771994</v>
      </c>
      <c r="G83" s="13">
        <f t="shared" si="66"/>
        <v>0.0198640975253547</v>
      </c>
      <c r="H83" s="13">
        <f t="shared" si="67"/>
        <v>0.0911191505309679</v>
      </c>
      <c r="I83" s="13">
        <f t="shared" si="68"/>
        <v>0.00422208447433157</v>
      </c>
      <c r="J83" s="13">
        <f t="shared" si="69"/>
        <v>0.00528966442844178</v>
      </c>
      <c r="K83" s="13">
        <f t="shared" si="70"/>
        <v>0.0110258445876662</v>
      </c>
      <c r="L83" s="13">
        <f t="shared" si="71"/>
        <v>0.0343974950789373</v>
      </c>
      <c r="M83" s="13">
        <f t="shared" si="72"/>
        <v>0.00128301490365162</v>
      </c>
      <c r="N83" s="13">
        <f t="shared" si="73"/>
        <v>0.00221925055146581</v>
      </c>
      <c r="O83" s="13">
        <f t="shared" si="74"/>
        <v>0.00253599403370145</v>
      </c>
      <c r="P83" s="13">
        <f t="shared" si="75"/>
        <v>0.288454106048806</v>
      </c>
      <c r="Q83" s="13">
        <f t="shared" si="76"/>
        <v>0.00338924917528538</v>
      </c>
      <c r="R83" s="13">
        <f t="shared" si="77"/>
        <v>0</v>
      </c>
      <c r="S83" s="13">
        <f t="shared" si="78"/>
        <v>0.00435573232768184</v>
      </c>
      <c r="T83" s="13">
        <f t="shared" si="79"/>
        <v>0.0354419602268237</v>
      </c>
      <c r="U83" s="13">
        <f t="shared" si="80"/>
        <v>0.0086749052382601</v>
      </c>
      <c r="V83" s="13">
        <f t="shared" si="81"/>
        <v>0.0227906458667774</v>
      </c>
      <c r="W83" s="13">
        <f t="shared" si="82"/>
        <v>0.00328205945061736</v>
      </c>
      <c r="X83" s="13">
        <f t="shared" si="83"/>
        <v>0.0326302031931075</v>
      </c>
      <c r="Y83" s="13">
        <f t="shared" si="84"/>
        <v>0.0295488383576895</v>
      </c>
      <c r="Z83" s="13">
        <f t="shared" si="85"/>
        <v>0.00879874286318228</v>
      </c>
      <c r="AA83" s="13">
        <f t="shared" si="86"/>
        <v>0.204876043040578</v>
      </c>
      <c r="AB83" s="13">
        <f t="shared" si="87"/>
        <v>0.0124297804320403</v>
      </c>
      <c r="AC83" s="13">
        <f t="shared" si="88"/>
        <v>0.0169126298873482</v>
      </c>
      <c r="AD83" s="13">
        <f t="shared" si="89"/>
        <v>0.0276440783884124</v>
      </c>
      <c r="AE83" s="13">
        <f t="shared" si="94"/>
        <v>0.0122852411305982</v>
      </c>
      <c r="AF83" s="13">
        <f t="shared" si="90"/>
        <v>0.0107005746534067</v>
      </c>
      <c r="AG83" s="13">
        <f t="shared" si="91"/>
        <v>0.0551689272706034</v>
      </c>
      <c r="AH83" s="13">
        <f t="shared" si="92"/>
        <v>0.0221063641202237</v>
      </c>
      <c r="AI83" s="13">
        <f t="shared" si="93"/>
        <v>0.025505746889165</v>
      </c>
    </row>
    <row r="84" spans="4:35">
      <c r="D84" s="14" t="s">
        <v>14</v>
      </c>
      <c r="E84" s="13">
        <f t="shared" si="64"/>
        <v>0.00628041622378043</v>
      </c>
      <c r="F84" s="13">
        <f t="shared" si="65"/>
        <v>0.00869190007797587</v>
      </c>
      <c r="G84" s="13">
        <f t="shared" si="66"/>
        <v>0.0176579017289641</v>
      </c>
      <c r="H84" s="13">
        <f t="shared" si="67"/>
        <v>0.0144780237587815</v>
      </c>
      <c r="I84" s="13">
        <f t="shared" si="68"/>
        <v>0.435513084014491</v>
      </c>
      <c r="J84" s="13">
        <f t="shared" si="69"/>
        <v>0.0780816702445994</v>
      </c>
      <c r="K84" s="13">
        <f t="shared" si="70"/>
        <v>0.0227884611630479</v>
      </c>
      <c r="L84" s="13">
        <f t="shared" si="71"/>
        <v>0.0157847490335715</v>
      </c>
      <c r="M84" s="13">
        <f t="shared" si="72"/>
        <v>0.00575632563877894</v>
      </c>
      <c r="N84" s="13">
        <f t="shared" si="73"/>
        <v>0.0143200132530226</v>
      </c>
      <c r="O84" s="13">
        <f t="shared" si="74"/>
        <v>0.0192121323286319</v>
      </c>
      <c r="P84" s="13">
        <f t="shared" si="75"/>
        <v>0.0139972994536511</v>
      </c>
      <c r="Q84" s="13">
        <f t="shared" si="76"/>
        <v>0.048344323496143</v>
      </c>
      <c r="R84" s="13">
        <f t="shared" si="77"/>
        <v>0.0137859365766733</v>
      </c>
      <c r="S84" s="13">
        <f t="shared" si="78"/>
        <v>0</v>
      </c>
      <c r="T84" s="13">
        <f t="shared" si="79"/>
        <v>0.0157175909996291</v>
      </c>
      <c r="U84" s="13">
        <f t="shared" si="80"/>
        <v>0.0276885635049267</v>
      </c>
      <c r="V84" s="13">
        <f t="shared" si="81"/>
        <v>0.0170432260392489</v>
      </c>
      <c r="W84" s="13">
        <f t="shared" si="82"/>
        <v>0.0421415725344481</v>
      </c>
      <c r="X84" s="13">
        <f t="shared" si="83"/>
        <v>0.0121624045835287</v>
      </c>
      <c r="Y84" s="13">
        <f t="shared" si="84"/>
        <v>0.016169439807393</v>
      </c>
      <c r="Z84" s="13">
        <f t="shared" si="85"/>
        <v>0.0273010631185968</v>
      </c>
      <c r="AA84" s="13">
        <f t="shared" si="86"/>
        <v>0.01408539676303</v>
      </c>
      <c r="AB84" s="13">
        <f t="shared" si="87"/>
        <v>0.0102085749271397</v>
      </c>
      <c r="AC84" s="13">
        <f t="shared" si="88"/>
        <v>0.0109625950796984</v>
      </c>
      <c r="AD84" s="13">
        <f t="shared" si="89"/>
        <v>0.0119094301764593</v>
      </c>
      <c r="AE84" s="13">
        <f t="shared" si="94"/>
        <v>0.021358643929278</v>
      </c>
      <c r="AF84" s="13">
        <f t="shared" si="90"/>
        <v>0.00979771757384543</v>
      </c>
      <c r="AG84" s="13">
        <f t="shared" si="91"/>
        <v>0.0149676739124547</v>
      </c>
      <c r="AH84" s="13">
        <f t="shared" si="92"/>
        <v>0.0171687936105068</v>
      </c>
      <c r="AI84" s="13">
        <f t="shared" si="93"/>
        <v>0.0166250764477041</v>
      </c>
    </row>
    <row r="85" spans="4:35">
      <c r="D85" s="14" t="s">
        <v>15</v>
      </c>
      <c r="E85" s="13">
        <f t="shared" si="64"/>
        <v>0.000697783696869987</v>
      </c>
      <c r="F85" s="13">
        <f t="shared" si="65"/>
        <v>0.000870305507994504</v>
      </c>
      <c r="G85" s="13">
        <f t="shared" si="66"/>
        <v>0.0222424970752183</v>
      </c>
      <c r="H85" s="13">
        <f t="shared" si="67"/>
        <v>0.0285466352906346</v>
      </c>
      <c r="I85" s="13">
        <f t="shared" si="68"/>
        <v>0.00235894775870569</v>
      </c>
      <c r="J85" s="13">
        <f t="shared" si="69"/>
        <v>0.00306006260608336</v>
      </c>
      <c r="K85" s="13">
        <f t="shared" si="70"/>
        <v>0.007876946008153</v>
      </c>
      <c r="L85" s="13">
        <f t="shared" si="71"/>
        <v>0.574454240263302</v>
      </c>
      <c r="M85" s="13">
        <f t="shared" si="72"/>
        <v>0.000655163694452981</v>
      </c>
      <c r="N85" s="13">
        <f t="shared" si="73"/>
        <v>0.00116518225127491</v>
      </c>
      <c r="O85" s="13">
        <f t="shared" si="74"/>
        <v>0.00134429986624499</v>
      </c>
      <c r="P85" s="13">
        <f t="shared" si="75"/>
        <v>0.0198864805862922</v>
      </c>
      <c r="Q85" s="13">
        <f t="shared" si="76"/>
        <v>0.00184442629754969</v>
      </c>
      <c r="R85" s="13">
        <f t="shared" si="77"/>
        <v>0.0174430560025852</v>
      </c>
      <c r="S85" s="13">
        <f t="shared" si="78"/>
        <v>0.00244408177056833</v>
      </c>
      <c r="T85" s="13">
        <f t="shared" si="79"/>
        <v>0</v>
      </c>
      <c r="U85" s="13">
        <f t="shared" si="80"/>
        <v>0.00565310072224016</v>
      </c>
      <c r="V85" s="13">
        <f t="shared" si="81"/>
        <v>0.0314227044618177</v>
      </c>
      <c r="W85" s="13">
        <f t="shared" si="82"/>
        <v>0.00178014065401871</v>
      </c>
      <c r="X85" s="13">
        <f t="shared" si="83"/>
        <v>0.00836128063334709</v>
      </c>
      <c r="Y85" s="13">
        <f t="shared" si="84"/>
        <v>0.0874616296303149</v>
      </c>
      <c r="Z85" s="13">
        <f t="shared" si="85"/>
        <v>0.00576045161588771</v>
      </c>
      <c r="AA85" s="13">
        <f t="shared" si="86"/>
        <v>0.0210917675652844</v>
      </c>
      <c r="AB85" s="13">
        <f t="shared" si="87"/>
        <v>0.00452904684876487</v>
      </c>
      <c r="AC85" s="13">
        <f t="shared" si="88"/>
        <v>0.00563480584286257</v>
      </c>
      <c r="AD85" s="13">
        <f t="shared" si="89"/>
        <v>0.00764348527904677</v>
      </c>
      <c r="AE85" s="13">
        <f t="shared" si="94"/>
        <v>0.00925399440895824</v>
      </c>
      <c r="AF85" s="13">
        <f t="shared" si="90"/>
        <v>0.0040450903580329</v>
      </c>
      <c r="AG85" s="13">
        <f t="shared" si="91"/>
        <v>0.0487816847794208</v>
      </c>
      <c r="AH85" s="13">
        <f t="shared" si="92"/>
        <v>0.0289152838973402</v>
      </c>
      <c r="AI85" s="13">
        <f t="shared" si="93"/>
        <v>0.0447754246267327</v>
      </c>
    </row>
    <row r="86" spans="4:35">
      <c r="D86" s="14" t="s">
        <v>16</v>
      </c>
      <c r="E86" s="13">
        <f t="shared" si="64"/>
        <v>0.00178220349560577</v>
      </c>
      <c r="F86" s="13">
        <f t="shared" si="65"/>
        <v>0.00230302081622788</v>
      </c>
      <c r="G86" s="13">
        <f t="shared" si="66"/>
        <v>0.0169691807658865</v>
      </c>
      <c r="H86" s="13">
        <f t="shared" si="67"/>
        <v>0.0105642845423735</v>
      </c>
      <c r="I86" s="13">
        <f t="shared" si="68"/>
        <v>0.00906321909374693</v>
      </c>
      <c r="J86" s="13">
        <f t="shared" si="69"/>
        <v>0.0149358288535845</v>
      </c>
      <c r="K86" s="13">
        <f t="shared" si="70"/>
        <v>0.0448292234717583</v>
      </c>
      <c r="L86" s="13">
        <f t="shared" si="71"/>
        <v>0.0127821202526476</v>
      </c>
      <c r="M86" s="13">
        <f t="shared" si="72"/>
        <v>0.00165907859684314</v>
      </c>
      <c r="N86" s="13">
        <f t="shared" si="73"/>
        <v>0.00328591873930366</v>
      </c>
      <c r="O86" s="13">
        <f t="shared" si="74"/>
        <v>0.00394864099806386</v>
      </c>
      <c r="P86" s="13">
        <f t="shared" si="75"/>
        <v>0.00985489666262584</v>
      </c>
      <c r="Q86" s="13">
        <f t="shared" si="76"/>
        <v>0.0061290811765232</v>
      </c>
      <c r="R86" s="13">
        <f t="shared" si="77"/>
        <v>0.00955852267144868</v>
      </c>
      <c r="S86" s="13">
        <f t="shared" si="78"/>
        <v>0.00963943029530965</v>
      </c>
      <c r="T86" s="13">
        <f t="shared" si="79"/>
        <v>0.012656333709234</v>
      </c>
      <c r="U86" s="13">
        <f t="shared" si="80"/>
        <v>0</v>
      </c>
      <c r="V86" s="13">
        <f t="shared" si="81"/>
        <v>0.0154327648082772</v>
      </c>
      <c r="W86" s="13">
        <f t="shared" si="82"/>
        <v>0.00581726993559764</v>
      </c>
      <c r="X86" s="13">
        <f t="shared" si="83"/>
        <v>0.00755104026693311</v>
      </c>
      <c r="Y86" s="13">
        <f t="shared" si="84"/>
        <v>0.013530906693097</v>
      </c>
      <c r="Z86" s="13">
        <f t="shared" si="85"/>
        <v>0.679139180768555</v>
      </c>
      <c r="AA86" s="13">
        <f t="shared" si="86"/>
        <v>0.00998114651207148</v>
      </c>
      <c r="AB86" s="13">
        <f t="shared" si="87"/>
        <v>0.00562957155187496</v>
      </c>
      <c r="AC86" s="13">
        <f t="shared" si="88"/>
        <v>0.00631791047548958</v>
      </c>
      <c r="AD86" s="13">
        <f t="shared" ref="AD86:AD100" si="95">AD52/BI52</f>
        <v>0.00727543900245298</v>
      </c>
      <c r="AE86" s="13">
        <f t="shared" si="94"/>
        <v>0.0325257148843813</v>
      </c>
      <c r="AF86" s="13">
        <f t="shared" si="90"/>
        <v>0.00527892397989622</v>
      </c>
      <c r="AG86" s="13">
        <f t="shared" si="91"/>
        <v>0.0113419622356769</v>
      </c>
      <c r="AH86" s="13">
        <f t="shared" si="92"/>
        <v>0.0157320351038119</v>
      </c>
      <c r="AI86" s="13">
        <f t="shared" si="93"/>
        <v>0.0144851496407019</v>
      </c>
    </row>
    <row r="87" spans="4:35">
      <c r="D87" s="14" t="s">
        <v>17</v>
      </c>
      <c r="E87" s="13">
        <f t="shared" si="64"/>
        <v>0.000883605868079555</v>
      </c>
      <c r="F87" s="13">
        <f t="shared" si="65"/>
        <v>0.00110829394446103</v>
      </c>
      <c r="G87" s="13">
        <f t="shared" si="66"/>
        <v>0.0942669801172572</v>
      </c>
      <c r="H87" s="13">
        <f t="shared" si="67"/>
        <v>0.0185205638239951</v>
      </c>
      <c r="I87" s="13">
        <f t="shared" si="68"/>
        <v>0.00315787633317205</v>
      </c>
      <c r="J87" s="13">
        <f t="shared" si="69"/>
        <v>0.00419770752128981</v>
      </c>
      <c r="K87" s="13">
        <f t="shared" si="70"/>
        <v>0.0130158857807119</v>
      </c>
      <c r="L87" s="13">
        <f t="shared" si="71"/>
        <v>0.0411584425709859</v>
      </c>
      <c r="M87" s="13">
        <f t="shared" si="72"/>
        <v>0.000828486780582677</v>
      </c>
      <c r="N87" s="13">
        <f t="shared" si="73"/>
        <v>0.00149826641487585</v>
      </c>
      <c r="O87" s="13">
        <f t="shared" si="74"/>
        <v>0.00173888116429413</v>
      </c>
      <c r="P87" s="13">
        <f t="shared" si="75"/>
        <v>0.0150796533629772</v>
      </c>
      <c r="Q87" s="13">
        <f t="shared" si="76"/>
        <v>0.00242614616365275</v>
      </c>
      <c r="R87" s="13">
        <f t="shared" si="77"/>
        <v>0.0138882158608492</v>
      </c>
      <c r="S87" s="13">
        <f t="shared" si="78"/>
        <v>0.00328145562877928</v>
      </c>
      <c r="T87" s="13">
        <f t="shared" si="79"/>
        <v>0.0389070716412074</v>
      </c>
      <c r="U87" s="13">
        <f t="shared" si="80"/>
        <v>0.00853507865382354</v>
      </c>
      <c r="V87" s="13">
        <f t="shared" si="81"/>
        <v>0</v>
      </c>
      <c r="W87" s="13">
        <f t="shared" si="82"/>
        <v>0.00233650707160187</v>
      </c>
      <c r="X87" s="13">
        <f t="shared" si="83"/>
        <v>0.00817698236704329</v>
      </c>
      <c r="Y87" s="13">
        <f t="shared" si="84"/>
        <v>0.0607234325007427</v>
      </c>
      <c r="Z87" s="13">
        <f t="shared" si="85"/>
        <v>0.00873353968767392</v>
      </c>
      <c r="AA87" s="13">
        <f t="shared" si="86"/>
        <v>0.0156265288410156</v>
      </c>
      <c r="AB87" s="13">
        <f t="shared" si="87"/>
        <v>0.00490134538061879</v>
      </c>
      <c r="AC87" s="13">
        <f t="shared" si="88"/>
        <v>0.00591604219522702</v>
      </c>
      <c r="AD87" s="13">
        <f t="shared" si="95"/>
        <v>0.00761235306829303</v>
      </c>
      <c r="AE87" s="13">
        <f t="shared" si="94"/>
        <v>0.016241171569215</v>
      </c>
      <c r="AF87" s="13">
        <f t="shared" si="90"/>
        <v>0.00443733875067586</v>
      </c>
      <c r="AG87" s="13">
        <f t="shared" si="91"/>
        <v>0.0236639481011827</v>
      </c>
      <c r="AH87" s="13">
        <f t="shared" si="92"/>
        <v>0.448671849492517</v>
      </c>
      <c r="AI87" s="13">
        <f t="shared" si="93"/>
        <v>0.130466349343198</v>
      </c>
    </row>
    <row r="88" spans="4:35">
      <c r="D88" s="14" t="s">
        <v>18</v>
      </c>
      <c r="E88" s="13">
        <f t="shared" si="64"/>
        <v>0.0095967874802276</v>
      </c>
      <c r="F88" s="13">
        <f t="shared" si="65"/>
        <v>0.014239167380561</v>
      </c>
      <c r="G88" s="13">
        <f t="shared" si="66"/>
        <v>0.0161809296338722</v>
      </c>
      <c r="H88" s="13">
        <f t="shared" si="67"/>
        <v>0.0140121331685111</v>
      </c>
      <c r="I88" s="13">
        <f t="shared" si="68"/>
        <v>0.060668050838647</v>
      </c>
      <c r="J88" s="13">
        <f t="shared" si="69"/>
        <v>0.0355895417705168</v>
      </c>
      <c r="K88" s="13">
        <f t="shared" si="70"/>
        <v>0.0192322949536881</v>
      </c>
      <c r="L88" s="13">
        <f t="shared" si="71"/>
        <v>0.0149321887178355</v>
      </c>
      <c r="M88" s="13">
        <f t="shared" si="72"/>
        <v>0.00866925480081888</v>
      </c>
      <c r="N88" s="13">
        <f t="shared" si="73"/>
        <v>0.0282048434007082</v>
      </c>
      <c r="O88" s="13">
        <f t="shared" si="74"/>
        <v>0.0459138654068518</v>
      </c>
      <c r="P88" s="13">
        <f t="shared" si="75"/>
        <v>0.013662881807686</v>
      </c>
      <c r="Q88" s="13">
        <f t="shared" si="76"/>
        <v>0.427093421611757</v>
      </c>
      <c r="R88" s="13">
        <f t="shared" si="77"/>
        <v>0.0135074241822987</v>
      </c>
      <c r="S88" s="13">
        <f t="shared" si="78"/>
        <v>0.0547976254512542</v>
      </c>
      <c r="T88" s="13">
        <f t="shared" si="79"/>
        <v>0.0148859162833629</v>
      </c>
      <c r="U88" s="13">
        <f t="shared" si="80"/>
        <v>0.0217279761759408</v>
      </c>
      <c r="V88" s="13">
        <f t="shared" si="81"/>
        <v>0.0157798681331473</v>
      </c>
      <c r="W88" s="13">
        <f t="shared" si="82"/>
        <v>0</v>
      </c>
      <c r="X88" s="13">
        <f t="shared" si="83"/>
        <v>0.0122729664810166</v>
      </c>
      <c r="Y88" s="13">
        <f t="shared" si="84"/>
        <v>0.0151951899090309</v>
      </c>
      <c r="Z88" s="13">
        <f t="shared" si="85"/>
        <v>0.0215434425425401</v>
      </c>
      <c r="AA88" s="13">
        <f t="shared" si="86"/>
        <v>0.0137273323779777</v>
      </c>
      <c r="AB88" s="13">
        <f t="shared" si="87"/>
        <v>0.0106858469817861</v>
      </c>
      <c r="AC88" s="13">
        <f t="shared" si="88"/>
        <v>0.011312185203917</v>
      </c>
      <c r="AD88" s="13">
        <f t="shared" si="95"/>
        <v>0.0120739387137361</v>
      </c>
      <c r="AE88" s="13">
        <f t="shared" si="94"/>
        <v>0.018431480006873</v>
      </c>
      <c r="AF88" s="13">
        <f t="shared" si="90"/>
        <v>0.0103369078932217</v>
      </c>
      <c r="AG88" s="13">
        <f t="shared" si="91"/>
        <v>0.0143618247474824</v>
      </c>
      <c r="AH88" s="13">
        <f t="shared" si="92"/>
        <v>0.0158624736765086</v>
      </c>
      <c r="AI88" s="13">
        <f t="shared" si="93"/>
        <v>0.0155022402682249</v>
      </c>
    </row>
    <row r="89" spans="4:35">
      <c r="D89" s="14" t="s">
        <v>19</v>
      </c>
      <c r="E89" s="13">
        <f t="shared" si="64"/>
        <v>0.00239296147324518</v>
      </c>
      <c r="F89" s="13">
        <f t="shared" si="65"/>
        <v>0.0029288264466487</v>
      </c>
      <c r="G89" s="13">
        <f t="shared" si="66"/>
        <v>0.0225791056262982</v>
      </c>
      <c r="H89" s="13">
        <f t="shared" si="67"/>
        <v>0.0439356214893226</v>
      </c>
      <c r="I89" s="13">
        <f t="shared" si="68"/>
        <v>0.00683616469359296</v>
      </c>
      <c r="J89" s="13">
        <f t="shared" si="69"/>
        <v>0.00832360304458841</v>
      </c>
      <c r="K89" s="13">
        <f t="shared" si="70"/>
        <v>0.0150701474595513</v>
      </c>
      <c r="L89" s="13">
        <f t="shared" si="71"/>
        <v>0.030621225129472</v>
      </c>
      <c r="M89" s="13">
        <f t="shared" si="72"/>
        <v>0.00225742198147584</v>
      </c>
      <c r="N89" s="13">
        <f t="shared" si="73"/>
        <v>0.00379979715023315</v>
      </c>
      <c r="O89" s="13">
        <f t="shared" si="74"/>
        <v>0.00430301511154842</v>
      </c>
      <c r="P89" s="13">
        <f t="shared" si="75"/>
        <v>0.0536052954098375</v>
      </c>
      <c r="Q89" s="13">
        <f t="shared" si="76"/>
        <v>0.00561456927474455</v>
      </c>
      <c r="R89" s="13">
        <f t="shared" si="77"/>
        <v>0.0596691774790135</v>
      </c>
      <c r="S89" s="13">
        <f t="shared" si="78"/>
        <v>0.00702707560730581</v>
      </c>
      <c r="T89" s="13">
        <f t="shared" si="79"/>
        <v>0.0310669223472818</v>
      </c>
      <c r="U89" s="13">
        <f t="shared" si="80"/>
        <v>0.0125317298497218</v>
      </c>
      <c r="V89" s="13">
        <f t="shared" si="81"/>
        <v>0.0245376806049407</v>
      </c>
      <c r="W89" s="13">
        <f t="shared" si="82"/>
        <v>0.00545322888168899</v>
      </c>
      <c r="X89" s="13">
        <f t="shared" si="83"/>
        <v>0</v>
      </c>
      <c r="Y89" s="13">
        <f t="shared" si="84"/>
        <v>0.0283560961425122</v>
      </c>
      <c r="Z89" s="13">
        <f t="shared" si="85"/>
        <v>0.0126726310821928</v>
      </c>
      <c r="AA89" s="13">
        <f t="shared" si="86"/>
        <v>0.0514714251403651</v>
      </c>
      <c r="AB89" s="13">
        <f t="shared" si="87"/>
        <v>0.0367158045847451</v>
      </c>
      <c r="AC89" s="13">
        <f t="shared" si="88"/>
        <v>0.0642060128973766</v>
      </c>
      <c r="AD89" s="13">
        <f t="shared" si="95"/>
        <v>0.330817916560917</v>
      </c>
      <c r="AE89" s="13">
        <f t="shared" si="94"/>
        <v>0.0163206719744559</v>
      </c>
      <c r="AF89" s="13">
        <f t="shared" si="90"/>
        <v>0.0291156089108232</v>
      </c>
      <c r="AG89" s="13">
        <f t="shared" si="91"/>
        <v>0.0374933612126947</v>
      </c>
      <c r="AH89" s="13">
        <f t="shared" si="92"/>
        <v>0.0240984889782093</v>
      </c>
      <c r="AI89" s="13">
        <f t="shared" si="93"/>
        <v>0.0261784134551963</v>
      </c>
    </row>
    <row r="90" spans="4:35">
      <c r="D90" s="14" t="s">
        <v>20</v>
      </c>
      <c r="E90" s="13">
        <f t="shared" si="64"/>
        <v>0.00121074913664101</v>
      </c>
      <c r="F90" s="13">
        <f t="shared" si="65"/>
        <v>0.00151310649528594</v>
      </c>
      <c r="G90" s="13">
        <f t="shared" si="66"/>
        <v>0.0513429322625097</v>
      </c>
      <c r="H90" s="13">
        <f t="shared" si="67"/>
        <v>0.037045728493993</v>
      </c>
      <c r="I90" s="13">
        <f t="shared" si="68"/>
        <v>0.00417298881779624</v>
      </c>
      <c r="J90" s="13">
        <f t="shared" si="69"/>
        <v>0.00545823143305016</v>
      </c>
      <c r="K90" s="13">
        <f t="shared" si="70"/>
        <v>0.0149004889155148</v>
      </c>
      <c r="L90" s="13">
        <f t="shared" si="71"/>
        <v>0.177584563527756</v>
      </c>
      <c r="M90" s="13">
        <f t="shared" si="72"/>
        <v>0.00113623952337744</v>
      </c>
      <c r="N90" s="13">
        <f t="shared" si="73"/>
        <v>0.00203269906596814</v>
      </c>
      <c r="O90" s="13">
        <f t="shared" si="74"/>
        <v>0.00235005347375917</v>
      </c>
      <c r="P90" s="13">
        <f t="shared" si="75"/>
        <v>0.0278891752547021</v>
      </c>
      <c r="Q90" s="13">
        <f t="shared" si="76"/>
        <v>0.00324319014992469</v>
      </c>
      <c r="R90" s="13">
        <f t="shared" si="77"/>
        <v>0.0250322468413099</v>
      </c>
      <c r="S90" s="13">
        <f t="shared" si="78"/>
        <v>0.00432792076813928</v>
      </c>
      <c r="T90" s="13">
        <f t="shared" si="79"/>
        <v>0.150547013389373</v>
      </c>
      <c r="U90" s="13">
        <f t="shared" si="80"/>
        <v>0.0104030403856652</v>
      </c>
      <c r="V90" s="13">
        <f t="shared" si="81"/>
        <v>0.0844162213161596</v>
      </c>
      <c r="W90" s="13">
        <f t="shared" si="82"/>
        <v>0.00312780347397631</v>
      </c>
      <c r="X90" s="13">
        <f t="shared" si="83"/>
        <v>0.0131363765095137</v>
      </c>
      <c r="Y90" s="13">
        <f t="shared" si="84"/>
        <v>0</v>
      </c>
      <c r="Z90" s="13">
        <f t="shared" si="85"/>
        <v>0.0106145199814958</v>
      </c>
      <c r="AA90" s="13">
        <f t="shared" si="86"/>
        <v>0.0292510662594458</v>
      </c>
      <c r="AB90" s="13">
        <f t="shared" si="87"/>
        <v>0.00741199546170487</v>
      </c>
      <c r="AC90" s="13">
        <f t="shared" si="88"/>
        <v>0.0091120909878054</v>
      </c>
      <c r="AD90" s="13">
        <f t="shared" si="95"/>
        <v>0.0120992848990592</v>
      </c>
      <c r="AE90" s="13">
        <f t="shared" si="94"/>
        <v>0.017813621601618</v>
      </c>
      <c r="AF90" s="13">
        <f t="shared" si="90"/>
        <v>0.00665498962665853</v>
      </c>
      <c r="AG90" s="13">
        <f t="shared" si="91"/>
        <v>0.0539030996380314</v>
      </c>
      <c r="AH90" s="13">
        <f t="shared" si="92"/>
        <v>0.0743532252534528</v>
      </c>
      <c r="AI90" s="13">
        <f t="shared" si="93"/>
        <v>0.157915337056313</v>
      </c>
    </row>
    <row r="91" spans="4:35">
      <c r="D91" s="14" t="s">
        <v>21</v>
      </c>
      <c r="E91" s="13">
        <f t="shared" si="64"/>
        <v>0.00176445751484546</v>
      </c>
      <c r="F91" s="13">
        <f t="shared" si="65"/>
        <v>0.00227834624577249</v>
      </c>
      <c r="G91" s="13">
        <f t="shared" si="66"/>
        <v>0.0172759629151566</v>
      </c>
      <c r="H91" s="13">
        <f t="shared" si="67"/>
        <v>0.0106522392584119</v>
      </c>
      <c r="I91" s="13">
        <f t="shared" si="68"/>
        <v>0.0088780417691084</v>
      </c>
      <c r="J91" s="13">
        <f t="shared" si="69"/>
        <v>0.0145068729869318</v>
      </c>
      <c r="K91" s="13">
        <f t="shared" si="70"/>
        <v>0.0476442588110241</v>
      </c>
      <c r="L91" s="13">
        <f t="shared" si="71"/>
        <v>0.0129314368483389</v>
      </c>
      <c r="M91" s="13">
        <f t="shared" si="72"/>
        <v>0.00164285567364533</v>
      </c>
      <c r="N91" s="13">
        <f t="shared" si="73"/>
        <v>0.00324603139066306</v>
      </c>
      <c r="O91" s="13">
        <f t="shared" si="74"/>
        <v>0.00389692453510678</v>
      </c>
      <c r="P91" s="13">
        <f t="shared" si="75"/>
        <v>0.00992641288312846</v>
      </c>
      <c r="Q91" s="13">
        <f t="shared" si="76"/>
        <v>0.00602956030757373</v>
      </c>
      <c r="R91" s="13">
        <f t="shared" si="77"/>
        <v>0.00962362657265157</v>
      </c>
      <c r="S91" s="13">
        <f t="shared" si="78"/>
        <v>0.00943458068287363</v>
      </c>
      <c r="T91" s="13">
        <f t="shared" si="79"/>
        <v>0.0128017643503962</v>
      </c>
      <c r="U91" s="13">
        <f t="shared" si="80"/>
        <v>0.674141228230222</v>
      </c>
      <c r="V91" s="13">
        <f t="shared" si="81"/>
        <v>0.0156753992015994</v>
      </c>
      <c r="W91" s="13">
        <f t="shared" si="82"/>
        <v>0.00572541728061539</v>
      </c>
      <c r="X91" s="13">
        <f t="shared" si="83"/>
        <v>0.00757974605710575</v>
      </c>
      <c r="Y91" s="13">
        <f t="shared" si="84"/>
        <v>0.0137043699912283</v>
      </c>
      <c r="Z91" s="13">
        <f t="shared" si="85"/>
        <v>0</v>
      </c>
      <c r="AA91" s="13">
        <f t="shared" si="86"/>
        <v>0.0100554757237131</v>
      </c>
      <c r="AB91" s="13">
        <f t="shared" si="87"/>
        <v>0.00563485097830274</v>
      </c>
      <c r="AC91" s="13">
        <f t="shared" si="88"/>
        <v>0.00633030511348123</v>
      </c>
      <c r="AD91" s="13">
        <f t="shared" si="95"/>
        <v>0.00730010131538724</v>
      </c>
      <c r="AE91" s="13">
        <f t="shared" si="94"/>
        <v>0.0339104063526424</v>
      </c>
      <c r="AF91" s="13">
        <f t="shared" si="90"/>
        <v>0.00528112506961118</v>
      </c>
      <c r="AG91" s="13">
        <f t="shared" si="91"/>
        <v>0.0114497097919906</v>
      </c>
      <c r="AH91" s="13">
        <f t="shared" si="92"/>
        <v>0.0159865831062428</v>
      </c>
      <c r="AI91" s="13">
        <f t="shared" si="93"/>
        <v>0.0146919090422291</v>
      </c>
    </row>
    <row r="92" spans="4:35">
      <c r="D92" s="14" t="s">
        <v>22</v>
      </c>
      <c r="E92" s="13">
        <f t="shared" si="64"/>
        <v>0.000894081236703608</v>
      </c>
      <c r="F92" s="13">
        <f t="shared" si="65"/>
        <v>0.00110637626112559</v>
      </c>
      <c r="G92" s="13">
        <f t="shared" si="66"/>
        <v>0.0143303421544687</v>
      </c>
      <c r="H92" s="13">
        <f t="shared" si="67"/>
        <v>0.10691027175503</v>
      </c>
      <c r="I92" s="13">
        <f t="shared" si="68"/>
        <v>0.00280844987710529</v>
      </c>
      <c r="J92" s="13">
        <f t="shared" si="69"/>
        <v>0.0035374044234818</v>
      </c>
      <c r="K92" s="13">
        <f t="shared" si="70"/>
        <v>0.00759159634158578</v>
      </c>
      <c r="L92" s="13">
        <f t="shared" si="71"/>
        <v>0.0269305095441107</v>
      </c>
      <c r="M92" s="13">
        <f t="shared" si="72"/>
        <v>0.000841116767103042</v>
      </c>
      <c r="N92" s="13">
        <f t="shared" si="73"/>
        <v>0.00146161389459859</v>
      </c>
      <c r="O92" s="13">
        <f t="shared" si="74"/>
        <v>0.00167283793228932</v>
      </c>
      <c r="P92" s="13">
        <f t="shared" si="75"/>
        <v>0.460650890123432</v>
      </c>
      <c r="Q92" s="13">
        <f t="shared" si="76"/>
        <v>0.00224514504782849</v>
      </c>
      <c r="R92" s="13">
        <f t="shared" si="77"/>
        <v>0.13347117725902</v>
      </c>
      <c r="S92" s="13">
        <f t="shared" si="78"/>
        <v>0.00289928097325393</v>
      </c>
      <c r="T92" s="13">
        <f t="shared" si="79"/>
        <v>0.0279192950868176</v>
      </c>
      <c r="U92" s="13">
        <f t="shared" si="80"/>
        <v>0.00590134097962063</v>
      </c>
      <c r="V92" s="13">
        <f t="shared" si="81"/>
        <v>0.0167058664865294</v>
      </c>
      <c r="W92" s="13">
        <f t="shared" si="82"/>
        <v>0.00217298319576342</v>
      </c>
      <c r="X92" s="13">
        <f t="shared" si="83"/>
        <v>0.0183371667206594</v>
      </c>
      <c r="Y92" s="13">
        <f t="shared" si="84"/>
        <v>0.0224946165620481</v>
      </c>
      <c r="Z92" s="13">
        <f t="shared" si="85"/>
        <v>0.00598936525179533</v>
      </c>
      <c r="AA92" s="13">
        <f t="shared" si="86"/>
        <v>0</v>
      </c>
      <c r="AB92" s="13">
        <f t="shared" si="87"/>
        <v>0.0076344821359313</v>
      </c>
      <c r="AC92" s="13">
        <f t="shared" si="88"/>
        <v>0.0101779256434074</v>
      </c>
      <c r="AD92" s="13">
        <f t="shared" si="95"/>
        <v>0.0158682511606585</v>
      </c>
      <c r="AE92" s="13">
        <f t="shared" si="94"/>
        <v>0.00851403899018139</v>
      </c>
      <c r="AF92" s="13">
        <f t="shared" si="90"/>
        <v>0.00662510763744146</v>
      </c>
      <c r="AG92" s="13">
        <f t="shared" si="91"/>
        <v>0.0491857827402049</v>
      </c>
      <c r="AH92" s="13">
        <f t="shared" si="92"/>
        <v>0.0161436101517067</v>
      </c>
      <c r="AI92" s="13">
        <f t="shared" si="93"/>
        <v>0.0189790736660978</v>
      </c>
    </row>
    <row r="93" spans="4:35">
      <c r="D93" s="14" t="s">
        <v>23</v>
      </c>
      <c r="E93" s="13">
        <f t="shared" si="64"/>
        <v>0.00374323229095551</v>
      </c>
      <c r="F93" s="13">
        <f t="shared" si="65"/>
        <v>0.00451954216852954</v>
      </c>
      <c r="G93" s="13">
        <f t="shared" si="66"/>
        <v>0.0232956324261445</v>
      </c>
      <c r="H93" s="13">
        <f t="shared" si="67"/>
        <v>0.0333265155740537</v>
      </c>
      <c r="I93" s="13">
        <f t="shared" si="68"/>
        <v>0.00960262359025272</v>
      </c>
      <c r="J93" s="13">
        <f t="shared" si="69"/>
        <v>0.0113058671013545</v>
      </c>
      <c r="K93" s="13">
        <f t="shared" si="70"/>
        <v>0.0178028987814112</v>
      </c>
      <c r="L93" s="13">
        <f t="shared" si="71"/>
        <v>0.0278197864966176</v>
      </c>
      <c r="M93" s="13">
        <f t="shared" si="72"/>
        <v>0.00354349295005596</v>
      </c>
      <c r="N93" s="13">
        <f t="shared" si="73"/>
        <v>0.00573750801093306</v>
      </c>
      <c r="O93" s="13">
        <f t="shared" si="74"/>
        <v>0.0064176332888277</v>
      </c>
      <c r="P93" s="13">
        <f t="shared" si="75"/>
        <v>0.0363081115622269</v>
      </c>
      <c r="Q93" s="13">
        <f t="shared" si="76"/>
        <v>0.00811427133660423</v>
      </c>
      <c r="R93" s="13">
        <f t="shared" si="77"/>
        <v>0.0378726649700544</v>
      </c>
      <c r="S93" s="13">
        <f t="shared" si="78"/>
        <v>0.00982771235570288</v>
      </c>
      <c r="T93" s="13">
        <f t="shared" si="79"/>
        <v>0.0280391200962931</v>
      </c>
      <c r="U93" s="13">
        <f t="shared" si="80"/>
        <v>0.0155672434485928</v>
      </c>
      <c r="V93" s="13">
        <f t="shared" si="81"/>
        <v>0.0245068724620346</v>
      </c>
      <c r="W93" s="13">
        <f t="shared" si="82"/>
        <v>0.00791125284583837</v>
      </c>
      <c r="X93" s="13">
        <f t="shared" si="83"/>
        <v>0.0611765787307746</v>
      </c>
      <c r="Y93" s="13">
        <f t="shared" si="84"/>
        <v>0.0266586487988227</v>
      </c>
      <c r="Z93" s="13">
        <f t="shared" si="85"/>
        <v>0.0156973632117856</v>
      </c>
      <c r="AA93" s="13">
        <f t="shared" si="86"/>
        <v>0.0357063681703126</v>
      </c>
      <c r="AB93" s="13">
        <f t="shared" si="87"/>
        <v>0</v>
      </c>
      <c r="AC93" s="13">
        <f t="shared" si="88"/>
        <v>0.14288375549343</v>
      </c>
      <c r="AD93" s="13">
        <f t="shared" si="95"/>
        <v>0.0688138829811582</v>
      </c>
      <c r="AE93" s="13">
        <f t="shared" si="94"/>
        <v>0.0188255883263654</v>
      </c>
      <c r="AF93" s="13">
        <f t="shared" si="90"/>
        <v>0.234361510840979</v>
      </c>
      <c r="AG93" s="13">
        <f t="shared" si="91"/>
        <v>0.0309087905713787</v>
      </c>
      <c r="AH93" s="13">
        <f t="shared" si="92"/>
        <v>0.0242420493915954</v>
      </c>
      <c r="AI93" s="13">
        <f t="shared" si="93"/>
        <v>0.0254634817269139</v>
      </c>
    </row>
    <row r="94" spans="4:35">
      <c r="D94" s="14" t="s">
        <v>24</v>
      </c>
      <c r="E94" s="13">
        <f t="shared" si="64"/>
        <v>0.00357921619993558</v>
      </c>
      <c r="F94" s="13">
        <f t="shared" si="65"/>
        <v>0.00434575712081261</v>
      </c>
      <c r="G94" s="13">
        <f t="shared" si="66"/>
        <v>0.0259167918830135</v>
      </c>
      <c r="H94" s="13">
        <f t="shared" si="67"/>
        <v>0.0404709698588043</v>
      </c>
      <c r="I94" s="13">
        <f t="shared" si="68"/>
        <v>0.00958552753231785</v>
      </c>
      <c r="J94" s="13">
        <f t="shared" si="69"/>
        <v>0.0114318297896004</v>
      </c>
      <c r="K94" s="13">
        <f t="shared" si="70"/>
        <v>0.0189362797694247</v>
      </c>
      <c r="L94" s="13">
        <f t="shared" si="71"/>
        <v>0.0321669014198942</v>
      </c>
      <c r="M94" s="13">
        <f t="shared" si="72"/>
        <v>0.00338337187188019</v>
      </c>
      <c r="N94" s="13">
        <f t="shared" si="73"/>
        <v>0.00556588413780708</v>
      </c>
      <c r="O94" s="13">
        <f t="shared" si="74"/>
        <v>0.00625669280637512</v>
      </c>
      <c r="P94" s="13">
        <f t="shared" si="75"/>
        <v>0.045325278546914</v>
      </c>
      <c r="Q94" s="13">
        <f t="shared" si="76"/>
        <v>0.0080103731227226</v>
      </c>
      <c r="R94" s="13">
        <f t="shared" si="77"/>
        <v>0.0479827885096088</v>
      </c>
      <c r="S94" s="13">
        <f t="shared" si="78"/>
        <v>0.00982681134403131</v>
      </c>
      <c r="T94" s="13">
        <f t="shared" si="79"/>
        <v>0.0324824256711984</v>
      </c>
      <c r="U94" s="13">
        <f t="shared" si="80"/>
        <v>0.0162675357882264</v>
      </c>
      <c r="V94" s="13">
        <f t="shared" si="81"/>
        <v>0.0275432875462256</v>
      </c>
      <c r="W94" s="13">
        <f t="shared" si="82"/>
        <v>0.00779820683841235</v>
      </c>
      <c r="X94" s="13">
        <f t="shared" si="83"/>
        <v>0.0996138594923384</v>
      </c>
      <c r="Y94" s="13">
        <f t="shared" si="84"/>
        <v>0.0305163765842261</v>
      </c>
      <c r="Z94" s="13">
        <f t="shared" si="85"/>
        <v>0.0164202908203645</v>
      </c>
      <c r="AA94" s="13">
        <f t="shared" si="86"/>
        <v>0.0443238318446323</v>
      </c>
      <c r="AB94" s="13">
        <f t="shared" si="87"/>
        <v>0.133043844464882</v>
      </c>
      <c r="AC94" s="13">
        <f t="shared" si="88"/>
        <v>0</v>
      </c>
      <c r="AD94" s="13">
        <f t="shared" si="95"/>
        <v>0.123603068749079</v>
      </c>
      <c r="AE94" s="13">
        <f t="shared" ref="AE94:AI94" si="96">AE60/BI60</f>
        <v>0.0201891475784901</v>
      </c>
      <c r="AF94" s="13">
        <f t="shared" si="96"/>
        <v>0.0826527439293094</v>
      </c>
      <c r="AG94" s="13">
        <f t="shared" si="96"/>
        <v>0.0367244975538841</v>
      </c>
      <c r="AH94" s="13">
        <f t="shared" si="96"/>
        <v>0.0271848370588759</v>
      </c>
      <c r="AI94" s="13">
        <f t="shared" si="96"/>
        <v>0.0288515721667136</v>
      </c>
    </row>
    <row r="95" spans="4:35">
      <c r="D95" s="14" t="s">
        <v>25</v>
      </c>
      <c r="E95" s="13">
        <f t="shared" ref="E95:E100" si="97">E61/AJ61</f>
        <v>0.00244171285245275</v>
      </c>
      <c r="F95" s="13">
        <f t="shared" ref="F95:AI95" si="98">F61/AK61</f>
        <v>0.0029836965696183</v>
      </c>
      <c r="G95" s="13">
        <f t="shared" si="98"/>
        <v>0.0217231050899925</v>
      </c>
      <c r="H95" s="13">
        <f t="shared" si="98"/>
        <v>0.0398610822662156</v>
      </c>
      <c r="I95" s="13">
        <f t="shared" si="98"/>
        <v>0.00688364662006564</v>
      </c>
      <c r="J95" s="13">
        <f t="shared" si="98"/>
        <v>0.00834465627338287</v>
      </c>
      <c r="K95" s="13">
        <f t="shared" si="98"/>
        <v>0.0148135783889253</v>
      </c>
      <c r="L95" s="13">
        <f t="shared" si="98"/>
        <v>0.0288048377884298</v>
      </c>
      <c r="M95" s="13">
        <f t="shared" si="98"/>
        <v>0.00230434937405767</v>
      </c>
      <c r="N95" s="13">
        <f t="shared" si="98"/>
        <v>0.00386090876189459</v>
      </c>
      <c r="O95" s="13">
        <f t="shared" si="98"/>
        <v>0.0043656545777892</v>
      </c>
      <c r="P95" s="13">
        <f t="shared" si="98"/>
        <v>0.0474106756287478</v>
      </c>
      <c r="Q95" s="13">
        <f t="shared" si="98"/>
        <v>0.0056740946217466</v>
      </c>
      <c r="R95" s="13">
        <f t="shared" si="98"/>
        <v>0.0519542907343929</v>
      </c>
      <c r="S95" s="13">
        <f t="shared" si="98"/>
        <v>0.00707188507211262</v>
      </c>
      <c r="T95" s="13">
        <f t="shared" si="98"/>
        <v>0.0291881047889489</v>
      </c>
      <c r="U95" s="13">
        <f t="shared" si="98"/>
        <v>0.0124094482784723</v>
      </c>
      <c r="V95" s="13">
        <f t="shared" si="98"/>
        <v>0.0234773136737294</v>
      </c>
      <c r="W95" s="13">
        <f t="shared" si="98"/>
        <v>0.00551368786469478</v>
      </c>
      <c r="X95" s="13">
        <f t="shared" si="98"/>
        <v>0.339999324088457</v>
      </c>
      <c r="Y95" s="13">
        <f t="shared" si="98"/>
        <v>0.0268422914276988</v>
      </c>
      <c r="Z95" s="13">
        <f t="shared" si="98"/>
        <v>0.0125438269900943</v>
      </c>
      <c r="AA95" s="13">
        <f t="shared" si="98"/>
        <v>0.0457774984772353</v>
      </c>
      <c r="AB95" s="13">
        <f t="shared" si="98"/>
        <v>0.0424456276709384</v>
      </c>
      <c r="AC95" s="13">
        <f t="shared" si="98"/>
        <v>0.0818793185433756</v>
      </c>
      <c r="AD95" s="13">
        <f t="shared" si="95"/>
        <v>0</v>
      </c>
      <c r="AE95" s="13">
        <f t="shared" si="98"/>
        <v>0.0159850204593979</v>
      </c>
      <c r="AF95" s="13">
        <f t="shared" si="98"/>
        <v>0.0328114406124618</v>
      </c>
      <c r="AG95" s="13">
        <f t="shared" si="98"/>
        <v>0.0346112602013674</v>
      </c>
      <c r="AH95" s="13">
        <f t="shared" si="98"/>
        <v>0.0230856332259373</v>
      </c>
      <c r="AI95" s="13">
        <f t="shared" si="98"/>
        <v>0.0249320290773666</v>
      </c>
    </row>
    <row r="96" spans="4:35">
      <c r="D96" s="14" t="s">
        <v>26</v>
      </c>
      <c r="E96" s="13">
        <f t="shared" si="97"/>
        <v>0.00316620352014763</v>
      </c>
      <c r="F96" s="13">
        <f t="shared" ref="F96:O100" si="99">F62/AK62</f>
        <v>0.0040302877843321</v>
      </c>
      <c r="G96" s="13">
        <f t="shared" si="99"/>
        <v>0.0664850400483662</v>
      </c>
      <c r="H96" s="13">
        <f t="shared" si="99"/>
        <v>0.0293194198391902</v>
      </c>
      <c r="I96" s="13">
        <f t="shared" si="99"/>
        <v>0.0132825235521098</v>
      </c>
      <c r="J96" s="13">
        <f t="shared" si="99"/>
        <v>0.019180652311215</v>
      </c>
      <c r="K96" s="13">
        <f t="shared" si="99"/>
        <v>0.222079332719608</v>
      </c>
      <c r="L96" s="13">
        <f t="shared" si="99"/>
        <v>0.0394595908492163</v>
      </c>
      <c r="M96" s="13">
        <f t="shared" si="99"/>
        <v>0.00295807992812258</v>
      </c>
      <c r="N96" s="13">
        <f t="shared" si="99"/>
        <v>0.00559253345627077</v>
      </c>
      <c r="O96" s="13">
        <f t="shared" si="99"/>
        <v>0.00659835874052871</v>
      </c>
      <c r="P96" s="13">
        <f t="shared" ref="P96:Y100" si="100">P62/AU62</f>
        <v>0.026494808473246</v>
      </c>
      <c r="Q96" s="13">
        <f t="shared" si="100"/>
        <v>0.00966424411518748</v>
      </c>
      <c r="R96" s="13">
        <f t="shared" si="100"/>
        <v>0.0253663963481374</v>
      </c>
      <c r="S96" s="13">
        <f t="shared" si="100"/>
        <v>0.0139339315153716</v>
      </c>
      <c r="T96" s="13">
        <f t="shared" si="100"/>
        <v>0.0388239286719625</v>
      </c>
      <c r="U96" s="13">
        <f t="shared" si="100"/>
        <v>0.0609503079819349</v>
      </c>
      <c r="V96" s="13">
        <f t="shared" si="100"/>
        <v>0.0550303934598311</v>
      </c>
      <c r="W96" s="13">
        <f t="shared" si="100"/>
        <v>0.00924717770026025</v>
      </c>
      <c r="X96" s="13">
        <f t="shared" si="100"/>
        <v>0.0184281972399363</v>
      </c>
      <c r="Y96" s="13">
        <f t="shared" si="100"/>
        <v>0.0434178077458822</v>
      </c>
      <c r="Z96" s="13">
        <f t="shared" ref="Z96:AC100" si="101">Z62/BE62</f>
        <v>0.0640162081589824</v>
      </c>
      <c r="AA96" s="13">
        <f t="shared" si="101"/>
        <v>0.0269845021593217</v>
      </c>
      <c r="AB96" s="13">
        <f t="shared" si="101"/>
        <v>0.0127573725218226</v>
      </c>
      <c r="AC96" s="13">
        <f t="shared" si="101"/>
        <v>0.0146932792719078</v>
      </c>
      <c r="AD96" s="13">
        <f t="shared" si="95"/>
        <v>0.0175617981354676</v>
      </c>
      <c r="AE96" s="13">
        <f t="shared" ref="AE96:AI100" si="102">AE62/BI62</f>
        <v>0</v>
      </c>
      <c r="AF96" s="13">
        <f t="shared" si="102"/>
        <v>0.0118088050631655</v>
      </c>
      <c r="AG96" s="13">
        <f t="shared" si="102"/>
        <v>0.032633315864659</v>
      </c>
      <c r="AH96" s="13">
        <f t="shared" si="102"/>
        <v>0.0570972173632477</v>
      </c>
      <c r="AI96" s="13">
        <f t="shared" si="102"/>
        <v>0.0489382854605683</v>
      </c>
    </row>
    <row r="97" spans="4:35">
      <c r="D97" s="14" t="s">
        <v>27</v>
      </c>
      <c r="E97" s="13">
        <f t="shared" si="97"/>
        <v>0.00423403508343578</v>
      </c>
      <c r="F97" s="13">
        <f t="shared" si="99"/>
        <v>0.00509551938912469</v>
      </c>
      <c r="G97" s="13">
        <f t="shared" si="99"/>
        <v>0.024350508691912</v>
      </c>
      <c r="H97" s="13">
        <f t="shared" si="99"/>
        <v>0.0335302416513871</v>
      </c>
      <c r="I97" s="13">
        <f t="shared" si="99"/>
        <v>0.0106008244149313</v>
      </c>
      <c r="J97" s="13">
        <f t="shared" si="99"/>
        <v>0.0123945883062167</v>
      </c>
      <c r="K97" s="13">
        <f t="shared" si="99"/>
        <v>0.0190144011773418</v>
      </c>
      <c r="L97" s="13">
        <f t="shared" si="99"/>
        <v>0.0285777350170613</v>
      </c>
      <c r="M97" s="13">
        <f t="shared" si="99"/>
        <v>0.0040114715545831</v>
      </c>
      <c r="N97" s="13">
        <f t="shared" si="99"/>
        <v>0.00643589040514975</v>
      </c>
      <c r="O97" s="13">
        <f t="shared" si="99"/>
        <v>0.0071784677138686</v>
      </c>
      <c r="P97" s="13">
        <f t="shared" si="100"/>
        <v>0.0361276626189594</v>
      </c>
      <c r="Q97" s="13">
        <f t="shared" si="100"/>
        <v>0.00901274072558134</v>
      </c>
      <c r="R97" s="13">
        <f t="shared" si="100"/>
        <v>0.0374678645533422</v>
      </c>
      <c r="S97" s="13">
        <f t="shared" si="100"/>
        <v>0.0108393106682259</v>
      </c>
      <c r="T97" s="13">
        <f t="shared" si="100"/>
        <v>0.0287789686615704</v>
      </c>
      <c r="U97" s="13">
        <f t="shared" si="100"/>
        <v>0.0167753354393044</v>
      </c>
      <c r="V97" s="13">
        <f t="shared" si="100"/>
        <v>0.0254967367314958</v>
      </c>
      <c r="W97" s="13">
        <f t="shared" si="100"/>
        <v>0.00879460608329572</v>
      </c>
      <c r="X97" s="13">
        <f t="shared" si="100"/>
        <v>0.0557503302609094</v>
      </c>
      <c r="Y97" s="13">
        <f t="shared" si="100"/>
        <v>0.0275067830924464</v>
      </c>
      <c r="Z97" s="13">
        <f t="shared" si="101"/>
        <v>0.0169067509956148</v>
      </c>
      <c r="AA97" s="13">
        <f t="shared" si="101"/>
        <v>0.035608072494048</v>
      </c>
      <c r="AB97" s="13">
        <f t="shared" si="101"/>
        <v>0.269324412056655</v>
      </c>
      <c r="AC97" s="13">
        <f t="shared" si="101"/>
        <v>0.102008128066483</v>
      </c>
      <c r="AD97" s="13">
        <f t="shared" si="95"/>
        <v>0.0611304840461712</v>
      </c>
      <c r="AE97" s="13">
        <f t="shared" si="102"/>
        <v>0.0200254694030355</v>
      </c>
      <c r="AF97" s="13">
        <f t="shared" si="102"/>
        <v>0</v>
      </c>
      <c r="AG97" s="13">
        <f t="shared" si="102"/>
        <v>0.0313811678265429</v>
      </c>
      <c r="AH97" s="13">
        <f t="shared" si="102"/>
        <v>0.0252470449114003</v>
      </c>
      <c r="AI97" s="13">
        <f t="shared" si="102"/>
        <v>0.0263944479599069</v>
      </c>
    </row>
    <row r="98" spans="4:35">
      <c r="D98" s="14" t="s">
        <v>28</v>
      </c>
      <c r="E98" s="13">
        <f t="shared" si="97"/>
        <v>0.0015531094392336</v>
      </c>
      <c r="F98" s="13">
        <f t="shared" si="99"/>
        <v>0.00193037345507505</v>
      </c>
      <c r="G98" s="13">
        <f t="shared" si="99"/>
        <v>0.0344892355988536</v>
      </c>
      <c r="H98" s="13">
        <f t="shared" si="99"/>
        <v>0.155366335400385</v>
      </c>
      <c r="I98" s="13">
        <f t="shared" si="99"/>
        <v>0.005079938964987</v>
      </c>
      <c r="J98" s="13">
        <f t="shared" si="99"/>
        <v>0.00650065243928986</v>
      </c>
      <c r="K98" s="13">
        <f t="shared" si="99"/>
        <v>0.0153108062244628</v>
      </c>
      <c r="L98" s="13">
        <f t="shared" si="99"/>
        <v>0.101510093243217</v>
      </c>
      <c r="M98" s="13">
        <f t="shared" si="99"/>
        <v>0.00145950407681837</v>
      </c>
      <c r="N98" s="13">
        <f t="shared" si="99"/>
        <v>0.00256916428030765</v>
      </c>
      <c r="O98" s="13">
        <f t="shared" si="99"/>
        <v>0.00295351720600637</v>
      </c>
      <c r="P98" s="13">
        <f t="shared" si="100"/>
        <v>0.0757946286118961</v>
      </c>
      <c r="Q98" s="13">
        <f t="shared" si="100"/>
        <v>0.00401229636716884</v>
      </c>
      <c r="R98" s="13">
        <f t="shared" si="100"/>
        <v>0.0612983594803185</v>
      </c>
      <c r="S98" s="13">
        <f t="shared" si="100"/>
        <v>0.00525452584357678</v>
      </c>
      <c r="T98" s="13">
        <f t="shared" si="100"/>
        <v>0.110130159078662</v>
      </c>
      <c r="U98" s="13">
        <f t="shared" si="100"/>
        <v>0.0114371146334179</v>
      </c>
      <c r="V98" s="13">
        <f t="shared" si="100"/>
        <v>0.043147107955065</v>
      </c>
      <c r="W98" s="13">
        <f t="shared" si="100"/>
        <v>0.00387737530694089</v>
      </c>
      <c r="X98" s="13">
        <f t="shared" si="100"/>
        <v>0.0227812953805238</v>
      </c>
      <c r="Y98" s="13">
        <f t="shared" si="100"/>
        <v>0.0706982447263285</v>
      </c>
      <c r="Z98" s="13">
        <f t="shared" si="101"/>
        <v>0.0116313642029838</v>
      </c>
      <c r="AA98" s="13">
        <f t="shared" si="101"/>
        <v>0.0838875645330234</v>
      </c>
      <c r="AB98" s="13">
        <f t="shared" si="101"/>
        <v>0.0112712975599508</v>
      </c>
      <c r="AC98" s="13">
        <f t="shared" si="101"/>
        <v>0.0143825481505692</v>
      </c>
      <c r="AD98" s="13">
        <f t="shared" si="95"/>
        <v>0.0204622044698184</v>
      </c>
      <c r="AE98" s="13">
        <f t="shared" si="102"/>
        <v>0.0175606435665819</v>
      </c>
      <c r="AF98" s="13">
        <f t="shared" si="102"/>
        <v>0.00995798742348491</v>
      </c>
      <c r="AG98" s="13">
        <f t="shared" si="102"/>
        <v>0</v>
      </c>
      <c r="AH98" s="13">
        <f t="shared" si="102"/>
        <v>0.040985444730371</v>
      </c>
      <c r="AI98" s="13">
        <f t="shared" si="102"/>
        <v>0.0527071076506815</v>
      </c>
    </row>
    <row r="99" spans="4:35">
      <c r="D99" s="14" t="s">
        <v>29</v>
      </c>
      <c r="E99" s="13">
        <f t="shared" si="97"/>
        <v>0.000903834274642845</v>
      </c>
      <c r="F99" s="13">
        <f t="shared" si="99"/>
        <v>0.00113423526828709</v>
      </c>
      <c r="G99" s="13">
        <f t="shared" si="99"/>
        <v>0.121832404748065</v>
      </c>
      <c r="H99" s="13">
        <f t="shared" si="99"/>
        <v>0.0181577204005761</v>
      </c>
      <c r="I99" s="13">
        <f t="shared" si="99"/>
        <v>0.00324665910624761</v>
      </c>
      <c r="J99" s="13">
        <f t="shared" si="99"/>
        <v>0.00432582132753867</v>
      </c>
      <c r="K99" s="13">
        <f t="shared" si="99"/>
        <v>0.0136846271013404</v>
      </c>
      <c r="L99" s="13">
        <f t="shared" si="99"/>
        <v>0.0384871892854809</v>
      </c>
      <c r="M99" s="13">
        <f t="shared" si="99"/>
        <v>0.0008473490430197</v>
      </c>
      <c r="N99" s="13">
        <f t="shared" si="99"/>
        <v>0.0015346728398897</v>
      </c>
      <c r="O99" s="13">
        <f t="shared" si="99"/>
        <v>0.00178209320210493</v>
      </c>
      <c r="P99" s="13">
        <f t="shared" si="100"/>
        <v>0.0148939170488433</v>
      </c>
      <c r="Q99" s="13">
        <f t="shared" si="100"/>
        <v>0.00249026644186862</v>
      </c>
      <c r="R99" s="13">
        <f t="shared" si="100"/>
        <v>0.0137524864137653</v>
      </c>
      <c r="S99" s="13">
        <f t="shared" si="100"/>
        <v>0.00337464887777186</v>
      </c>
      <c r="T99" s="13">
        <f t="shared" si="100"/>
        <v>0.0365499279222603</v>
      </c>
      <c r="U99" s="13">
        <f t="shared" si="100"/>
        <v>0.00888224559061691</v>
      </c>
      <c r="V99" s="13">
        <f t="shared" si="100"/>
        <v>0.458039468716439</v>
      </c>
      <c r="W99" s="13">
        <f t="shared" si="100"/>
        <v>0.00239777664014664</v>
      </c>
      <c r="X99" s="13">
        <f t="shared" si="100"/>
        <v>0.00819829317251174</v>
      </c>
      <c r="Y99" s="13">
        <f t="shared" si="100"/>
        <v>0.0546014651970152</v>
      </c>
      <c r="Z99" s="13">
        <f t="shared" si="101"/>
        <v>0.00909287913646491</v>
      </c>
      <c r="AA99" s="13">
        <f t="shared" si="101"/>
        <v>0.0154158775955904</v>
      </c>
      <c r="AB99" s="13">
        <f t="shared" si="101"/>
        <v>0.00494960826501736</v>
      </c>
      <c r="AC99" s="13">
        <f t="shared" si="101"/>
        <v>0.00596096128725567</v>
      </c>
      <c r="AD99" s="13">
        <f t="shared" si="95"/>
        <v>0.00764163680336533</v>
      </c>
      <c r="AE99" s="13">
        <f t="shared" si="102"/>
        <v>0.017202982990525</v>
      </c>
      <c r="AF99" s="13">
        <f t="shared" si="102"/>
        <v>0.00448562142770666</v>
      </c>
      <c r="AG99" s="13">
        <f t="shared" si="102"/>
        <v>0.022947704305323</v>
      </c>
      <c r="AH99" s="13">
        <f t="shared" si="102"/>
        <v>0</v>
      </c>
      <c r="AI99" s="13">
        <f t="shared" si="102"/>
        <v>0.10318562557032</v>
      </c>
    </row>
    <row r="100" spans="4:35">
      <c r="D100" s="14" t="s">
        <v>30</v>
      </c>
      <c r="E100" s="13">
        <f t="shared" si="97"/>
        <v>0.00123187989973312</v>
      </c>
      <c r="F100" s="13">
        <f t="shared" si="99"/>
        <v>0.00154249038549207</v>
      </c>
      <c r="G100" s="13">
        <f t="shared" si="99"/>
        <v>0.0768124849559847</v>
      </c>
      <c r="H100" s="13">
        <f t="shared" si="99"/>
        <v>0.0302960607087906</v>
      </c>
      <c r="I100" s="13">
        <f t="shared" si="99"/>
        <v>0.0043276250251809</v>
      </c>
      <c r="J100" s="13">
        <f t="shared" si="99"/>
        <v>0.00570821323705662</v>
      </c>
      <c r="K100" s="13">
        <f t="shared" si="99"/>
        <v>0.0166117467718478</v>
      </c>
      <c r="L100" s="13">
        <f t="shared" si="99"/>
        <v>0.0843934476465124</v>
      </c>
      <c r="M100" s="13">
        <f t="shared" si="99"/>
        <v>0.00115552047258609</v>
      </c>
      <c r="N100" s="13">
        <f t="shared" si="99"/>
        <v>0.00207908025326728</v>
      </c>
      <c r="O100" s="13">
        <f t="shared" si="99"/>
        <v>0.00240857942502456</v>
      </c>
      <c r="P100" s="13">
        <f t="shared" si="100"/>
        <v>0.0239317979388541</v>
      </c>
      <c r="Q100" s="13">
        <f t="shared" si="100"/>
        <v>0.00334315268184754</v>
      </c>
      <c r="R100" s="13">
        <f t="shared" si="100"/>
        <v>0.0218156956957896</v>
      </c>
      <c r="S100" s="13">
        <f t="shared" si="100"/>
        <v>0.00449282579531031</v>
      </c>
      <c r="T100" s="13">
        <f t="shared" si="100"/>
        <v>0.0778154607691685</v>
      </c>
      <c r="U100" s="13">
        <f t="shared" si="100"/>
        <v>0.011244184740905</v>
      </c>
      <c r="V100" s="13">
        <f t="shared" si="100"/>
        <v>0.183121655820705</v>
      </c>
      <c r="W100" s="13">
        <f t="shared" si="100"/>
        <v>0.00322180603143138</v>
      </c>
      <c r="X100" s="13">
        <f t="shared" si="100"/>
        <v>0.01224458501745</v>
      </c>
      <c r="Y100" s="13">
        <f t="shared" si="100"/>
        <v>0.159439495938657</v>
      </c>
      <c r="Z100" s="13">
        <f t="shared" si="101"/>
        <v>0.0114892350842894</v>
      </c>
      <c r="AA100" s="13">
        <f t="shared" si="101"/>
        <v>0.024917801365271</v>
      </c>
      <c r="AB100" s="13">
        <f t="shared" si="101"/>
        <v>0.00714803053019102</v>
      </c>
      <c r="AC100" s="13">
        <f t="shared" si="101"/>
        <v>0.00869813545628637</v>
      </c>
      <c r="AD100" s="13">
        <f t="shared" si="95"/>
        <v>0.0113466939686551</v>
      </c>
      <c r="AE100" s="13">
        <f t="shared" si="102"/>
        <v>0.0202723773922837</v>
      </c>
      <c r="AF100" s="13">
        <f t="shared" si="102"/>
        <v>0.00644750613879175</v>
      </c>
      <c r="AG100" s="13">
        <f t="shared" si="102"/>
        <v>0.0405738195878601</v>
      </c>
      <c r="AH100" s="13">
        <f t="shared" si="102"/>
        <v>0.141868611264778</v>
      </c>
      <c r="AI100" s="13">
        <f t="shared" si="102"/>
        <v>0</v>
      </c>
    </row>
  </sheetData>
  <sheetProtection formatCells="0" insertHyperlinks="0" autoFilter="0"/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37"/>
  <sheetViews>
    <sheetView topLeftCell="A61" workbookViewId="0">
      <selection activeCell="H68" sqref="H68"/>
    </sheetView>
  </sheetViews>
  <sheetFormatPr defaultColWidth="8.875" defaultRowHeight="14"/>
  <cols>
    <col min="1" max="36" width="7.625" customWidth="1"/>
  </cols>
  <sheetData>
    <row r="1" spans="1:36">
      <c r="A1" s="13"/>
      <c r="B1" s="2" t="s">
        <v>50</v>
      </c>
      <c r="C1" s="2" t="s">
        <v>51</v>
      </c>
      <c r="D1" s="2"/>
      <c r="E1" s="13"/>
      <c r="F1" s="14" t="s">
        <v>0</v>
      </c>
      <c r="G1" s="14" t="s">
        <v>1</v>
      </c>
      <c r="H1" s="14" t="s">
        <v>2</v>
      </c>
      <c r="I1" s="14" t="s">
        <v>3</v>
      </c>
      <c r="J1" s="14" t="s">
        <v>4</v>
      </c>
      <c r="K1" s="14" t="s">
        <v>5</v>
      </c>
      <c r="L1" s="14" t="s">
        <v>6</v>
      </c>
      <c r="M1" s="14" t="s">
        <v>7</v>
      </c>
      <c r="N1" s="14" t="s">
        <v>8</v>
      </c>
      <c r="O1" s="14" t="s">
        <v>9</v>
      </c>
      <c r="P1" s="14" t="s">
        <v>10</v>
      </c>
      <c r="Q1" s="14" t="s">
        <v>11</v>
      </c>
      <c r="R1" s="14" t="s">
        <v>12</v>
      </c>
      <c r="S1" s="14" t="s">
        <v>13</v>
      </c>
      <c r="T1" s="14" t="s">
        <v>14</v>
      </c>
      <c r="U1" s="14" t="s">
        <v>15</v>
      </c>
      <c r="V1" s="14" t="s">
        <v>16</v>
      </c>
      <c r="W1" s="14" t="s">
        <v>17</v>
      </c>
      <c r="X1" s="14" t="s">
        <v>18</v>
      </c>
      <c r="Y1" s="14" t="s">
        <v>19</v>
      </c>
      <c r="Z1" s="14" t="s">
        <v>20</v>
      </c>
      <c r="AA1" s="14" t="s">
        <v>21</v>
      </c>
      <c r="AB1" s="14" t="s">
        <v>22</v>
      </c>
      <c r="AC1" s="14" t="s">
        <v>23</v>
      </c>
      <c r="AD1" s="14" t="s">
        <v>24</v>
      </c>
      <c r="AE1" s="14" t="s">
        <v>25</v>
      </c>
      <c r="AF1" s="14" t="s">
        <v>26</v>
      </c>
      <c r="AG1" s="14" t="s">
        <v>27</v>
      </c>
      <c r="AH1" s="14" t="s">
        <v>28</v>
      </c>
      <c r="AI1" s="14" t="s">
        <v>29</v>
      </c>
      <c r="AJ1" s="14" t="s">
        <v>30</v>
      </c>
    </row>
    <row r="2" spans="1:36">
      <c r="A2" s="14" t="s">
        <v>0</v>
      </c>
      <c r="B2" s="13">
        <v>39.55</v>
      </c>
      <c r="C2" s="13">
        <v>116.24</v>
      </c>
      <c r="D2" s="13"/>
      <c r="E2" s="14" t="s">
        <v>0</v>
      </c>
      <c r="F2" s="13">
        <v>0</v>
      </c>
      <c r="G2" s="13">
        <v>0.863028414002362</v>
      </c>
      <c r="H2" s="13">
        <v>2.15110815715204</v>
      </c>
      <c r="I2" s="13">
        <v>3.65893292797581</v>
      </c>
      <c r="J2" s="13">
        <v>3.81373286798189</v>
      </c>
      <c r="K2" s="13">
        <v>5.66589045993106</v>
      </c>
      <c r="L2" s="13">
        <v>7.79030702319072</v>
      </c>
      <c r="M2" s="13">
        <v>9.49381175025169</v>
      </c>
      <c r="N2" s="13">
        <v>9.3603264167803</v>
      </c>
      <c r="O2" s="13">
        <v>7.73182861101265</v>
      </c>
      <c r="P2" s="13">
        <v>9.90700877568719</v>
      </c>
      <c r="Q2" s="13">
        <v>8.06543633365979</v>
      </c>
      <c r="R2" s="13">
        <v>13.721993718636</v>
      </c>
      <c r="S2" s="13">
        <v>11.1645631507735</v>
      </c>
      <c r="T2" s="13">
        <v>3.20642384352141</v>
      </c>
      <c r="U2" s="13">
        <v>5.57155992129702</v>
      </c>
      <c r="V2" s="13">
        <v>9.35432251027581</v>
      </c>
      <c r="W2" s="13">
        <v>11.8221963237345</v>
      </c>
      <c r="X2" s="13">
        <v>16.6784920036603</v>
      </c>
      <c r="Y2" s="13">
        <v>18.3908776424246</v>
      </c>
      <c r="Z2" s="13">
        <v>20.2080031237148</v>
      </c>
      <c r="AA2" s="13">
        <v>12.749871625864</v>
      </c>
      <c r="AB2" s="13">
        <v>13.528010684636</v>
      </c>
      <c r="AC2" s="13">
        <v>15.5375025214753</v>
      </c>
      <c r="AD2" s="13">
        <v>18.5799133217509</v>
      </c>
      <c r="AE2" s="13">
        <v>22.9637325256658</v>
      </c>
      <c r="AF2" s="13">
        <v>8.15536728840743</v>
      </c>
      <c r="AG2" s="13">
        <v>10.6426119116503</v>
      </c>
      <c r="AH2" s="13">
        <v>12.0447933336047</v>
      </c>
      <c r="AI2" s="13">
        <v>7.9429206284739</v>
      </c>
      <c r="AJ2" s="13">
        <v>21.8645867840463</v>
      </c>
    </row>
    <row r="3" spans="1:36">
      <c r="A3" s="14" t="s">
        <v>1</v>
      </c>
      <c r="B3" s="13">
        <v>39.02</v>
      </c>
      <c r="C3" s="13">
        <v>117.12</v>
      </c>
      <c r="D3" s="13"/>
      <c r="E3" s="14" t="s">
        <v>1</v>
      </c>
      <c r="F3" s="13">
        <v>0.863028414002362</v>
      </c>
      <c r="G3" s="13">
        <v>0</v>
      </c>
      <c r="H3" s="13">
        <v>2.42223155925727</v>
      </c>
      <c r="I3" s="13">
        <v>4.04022861360655</v>
      </c>
      <c r="J3" s="13">
        <v>4.62544380906178</v>
      </c>
      <c r="K3" s="13">
        <v>5.28410103315221</v>
      </c>
      <c r="L3" s="13">
        <v>7.55775133551549</v>
      </c>
      <c r="M3" s="13">
        <v>9.37071880789679</v>
      </c>
      <c r="N3" s="13">
        <v>8.58442978024367</v>
      </c>
      <c r="O3" s="13">
        <v>7.07429867531322</v>
      </c>
      <c r="P3" s="13">
        <v>9.19175801872327</v>
      </c>
      <c r="Q3" s="13">
        <v>7.50011069783787</v>
      </c>
      <c r="R3" s="13">
        <v>13.0846583520146</v>
      </c>
      <c r="S3" s="13">
        <v>10.6994681509372</v>
      </c>
      <c r="T3" s="13">
        <v>2.62171853534734</v>
      </c>
      <c r="U3" s="13">
        <v>5.44670729865843</v>
      </c>
      <c r="V3" s="13">
        <v>9.00141188154828</v>
      </c>
      <c r="W3" s="13">
        <v>11.5305777997818</v>
      </c>
      <c r="X3" s="13">
        <v>16.2957505518351</v>
      </c>
      <c r="Y3" s="13">
        <v>18.2096417029277</v>
      </c>
      <c r="Z3" s="13">
        <v>19.9146725029327</v>
      </c>
      <c r="AA3" s="13">
        <v>12.8383193454207</v>
      </c>
      <c r="AB3" s="13">
        <v>13.7557652560682</v>
      </c>
      <c r="AC3" s="13">
        <v>15.518418653072</v>
      </c>
      <c r="AD3" s="13">
        <v>18.6768531415402</v>
      </c>
      <c r="AE3" s="13">
        <v>23.455874634573</v>
      </c>
      <c r="AF3" s="13">
        <v>8.39871984117543</v>
      </c>
      <c r="AG3" s="13">
        <v>11.1846732193539</v>
      </c>
      <c r="AH3" s="13">
        <v>12.6361023548776</v>
      </c>
      <c r="AI3" s="13">
        <v>8.58762599458178</v>
      </c>
      <c r="AJ3" s="13">
        <v>22.6872538626569</v>
      </c>
    </row>
    <row r="4" spans="1:36">
      <c r="A4" s="14" t="s">
        <v>2</v>
      </c>
      <c r="B4" s="13">
        <v>38.02</v>
      </c>
      <c r="C4" s="13">
        <v>114.3</v>
      </c>
      <c r="D4" s="13"/>
      <c r="E4" s="14" t="s">
        <v>2</v>
      </c>
      <c r="F4" s="13">
        <v>2.15110815715204</v>
      </c>
      <c r="G4" s="13">
        <v>2.42223155925727</v>
      </c>
      <c r="H4" s="13">
        <v>0</v>
      </c>
      <c r="I4" s="13">
        <v>1.62929522274944</v>
      </c>
      <c r="J4" s="13">
        <v>3.32527965057696</v>
      </c>
      <c r="K4" s="13">
        <v>7.6966185650149</v>
      </c>
      <c r="L4" s="13">
        <v>9.91019598463396</v>
      </c>
      <c r="M4" s="13">
        <v>11.6423565312355</v>
      </c>
      <c r="N4" s="13">
        <v>8.96358205173621</v>
      </c>
      <c r="O4" s="13">
        <v>6.88893254692098</v>
      </c>
      <c r="P4" s="13">
        <v>9.2064793256183</v>
      </c>
      <c r="Q4" s="13">
        <v>6.91325530375837</v>
      </c>
      <c r="R4" s="13">
        <v>12.6592336672867</v>
      </c>
      <c r="S4" s="13">
        <v>9.67637730662538</v>
      </c>
      <c r="T4" s="13">
        <v>2.69206859355106</v>
      </c>
      <c r="U4" s="13">
        <v>3.63319061578338</v>
      </c>
      <c r="V4" s="13">
        <v>7.67075117251637</v>
      </c>
      <c r="W4" s="13">
        <v>10.0025887813009</v>
      </c>
      <c r="X4" s="13">
        <v>14.972973642992</v>
      </c>
      <c r="Y4" s="13">
        <v>16.4011031309069</v>
      </c>
      <c r="Z4" s="13">
        <v>18.3479799771341</v>
      </c>
      <c r="AA4" s="13">
        <v>10.6040835285214</v>
      </c>
      <c r="AB4" s="13">
        <v>11.3904518828778</v>
      </c>
      <c r="AC4" s="13">
        <v>13.4279032913404</v>
      </c>
      <c r="AD4" s="13">
        <v>16.4310983096021</v>
      </c>
      <c r="AE4" s="13">
        <v>21.0551272987646</v>
      </c>
      <c r="AF4" s="13">
        <v>6.01938274656522</v>
      </c>
      <c r="AG4" s="13">
        <v>8.83286949426528</v>
      </c>
      <c r="AH4" s="13">
        <v>10.3337187464971</v>
      </c>
      <c r="AI4" s="13">
        <v>6.40451479266499</v>
      </c>
      <c r="AJ4" s="13">
        <v>21.021060354498</v>
      </c>
    </row>
    <row r="5" spans="1:36">
      <c r="A5" s="14" t="s">
        <v>3</v>
      </c>
      <c r="B5" s="13">
        <v>37.54</v>
      </c>
      <c r="C5" s="13">
        <v>112.33</v>
      </c>
      <c r="D5" s="13"/>
      <c r="E5" s="14" t="s">
        <v>3</v>
      </c>
      <c r="F5" s="13">
        <v>3.65893292797581</v>
      </c>
      <c r="G5" s="13">
        <v>4.04022861360655</v>
      </c>
      <c r="H5" s="13">
        <v>1.62929522274944</v>
      </c>
      <c r="I5" s="13">
        <v>0</v>
      </c>
      <c r="J5" s="13">
        <v>3.02560844174858</v>
      </c>
      <c r="K5" s="13">
        <v>9.29143880633843</v>
      </c>
      <c r="L5" s="13">
        <v>11.4482524285133</v>
      </c>
      <c r="M5" s="13">
        <v>13.1160175314088</v>
      </c>
      <c r="N5" s="13">
        <v>9.77357522328795</v>
      </c>
      <c r="O5" s="13">
        <v>7.45997200180141</v>
      </c>
      <c r="P5" s="13">
        <v>9.79540928307249</v>
      </c>
      <c r="Q5" s="13">
        <v>7.21808674545726</v>
      </c>
      <c r="R5" s="13">
        <v>12.8709117680964</v>
      </c>
      <c r="S5" s="13">
        <v>9.52899433216259</v>
      </c>
      <c r="T5" s="13">
        <v>3.90085509655919</v>
      </c>
      <c r="U5" s="13">
        <v>3.19926131551685</v>
      </c>
      <c r="V5" s="13">
        <v>7.34974583302467</v>
      </c>
      <c r="W5" s="13">
        <v>9.42252028526366</v>
      </c>
      <c r="X5" s="13">
        <v>14.4767163329495</v>
      </c>
      <c r="Y5" s="13">
        <v>15.4759728059021</v>
      </c>
      <c r="Z5" s="13">
        <v>17.6177073993164</v>
      </c>
      <c r="AA5" s="13">
        <v>9.29441503389968</v>
      </c>
      <c r="AB5" s="13">
        <v>9.90337572933012</v>
      </c>
      <c r="AC5" s="13">
        <v>12.255048003426</v>
      </c>
      <c r="AD5" s="13">
        <v>15.0770417594804</v>
      </c>
      <c r="AE5" s="13">
        <v>19.4259579210906</v>
      </c>
      <c r="AF5" s="13">
        <v>4.54269310557686</v>
      </c>
      <c r="AG5" s="13">
        <v>7.21790981161932</v>
      </c>
      <c r="AH5" s="13">
        <v>8.74196270831575</v>
      </c>
      <c r="AI5" s="13">
        <v>4.92177480345996</v>
      </c>
      <c r="AJ5" s="13">
        <v>19.8003607557237</v>
      </c>
    </row>
    <row r="6" spans="1:36">
      <c r="A6" s="14" t="s">
        <v>4</v>
      </c>
      <c r="B6" s="13">
        <v>40.48</v>
      </c>
      <c r="C6" s="13">
        <v>111.41</v>
      </c>
      <c r="D6" s="13"/>
      <c r="E6" s="14" t="s">
        <v>4</v>
      </c>
      <c r="F6" s="13">
        <v>3.81373286798189</v>
      </c>
      <c r="G6" s="13">
        <v>4.62544380906178</v>
      </c>
      <c r="H6" s="13">
        <v>3.32527965057696</v>
      </c>
      <c r="I6" s="13">
        <v>3.02560844174858</v>
      </c>
      <c r="J6" s="13">
        <v>0</v>
      </c>
      <c r="K6" s="13">
        <v>8.98705566368057</v>
      </c>
      <c r="L6" s="13">
        <v>10.6717742173192</v>
      </c>
      <c r="M6" s="13">
        <v>11.9882593428538</v>
      </c>
      <c r="N6" s="13">
        <v>12.2887433717237</v>
      </c>
      <c r="O6" s="13">
        <v>10.176194912209</v>
      </c>
      <c r="P6" s="13">
        <v>12.506148039278</v>
      </c>
      <c r="Q6" s="13">
        <v>10.093353965554</v>
      </c>
      <c r="R6" s="13">
        <v>15.8082625383934</v>
      </c>
      <c r="S6" s="13">
        <v>12.5490278549958</v>
      </c>
      <c r="T6" s="13">
        <v>5.98227993719833</v>
      </c>
      <c r="U6" s="13">
        <v>6.22322188088931</v>
      </c>
      <c r="V6" s="13">
        <v>10.3751069855507</v>
      </c>
      <c r="W6" s="13">
        <v>12.3980225976684</v>
      </c>
      <c r="X6" s="13">
        <v>17.4610073532148</v>
      </c>
      <c r="Y6" s="13">
        <v>18.2046144420841</v>
      </c>
      <c r="Z6" s="13">
        <v>20.4861053150283</v>
      </c>
      <c r="AA6" s="13">
        <v>11.5918460943467</v>
      </c>
      <c r="AB6" s="13">
        <v>11.7221607273487</v>
      </c>
      <c r="AC6" s="13">
        <v>14.7240887022916</v>
      </c>
      <c r="AD6" s="13">
        <v>17.1678594968689</v>
      </c>
      <c r="AE6" s="13">
        <v>19.915184857665</v>
      </c>
      <c r="AF6" s="13">
        <v>6.70088806394426</v>
      </c>
      <c r="AG6" s="13">
        <v>7.62325818908529</v>
      </c>
      <c r="AH6" s="13">
        <v>8.78562545002083</v>
      </c>
      <c r="AI6" s="13">
        <v>4.61986260542903</v>
      </c>
      <c r="AJ6" s="13">
        <v>18.0622163178966</v>
      </c>
    </row>
    <row r="7" spans="1:36">
      <c r="A7" s="14" t="s">
        <v>5</v>
      </c>
      <c r="B7" s="13">
        <v>41.48</v>
      </c>
      <c r="C7" s="13">
        <v>123.25</v>
      </c>
      <c r="D7" s="13"/>
      <c r="E7" s="14" t="s">
        <v>5</v>
      </c>
      <c r="F7" s="13">
        <v>5.66589045993106</v>
      </c>
      <c r="G7" s="13">
        <v>5.28410103315221</v>
      </c>
      <c r="H7" s="13">
        <v>7.6966185650149</v>
      </c>
      <c r="I7" s="13">
        <v>9.29143880633843</v>
      </c>
      <c r="J7" s="13">
        <v>8.98705566368057</v>
      </c>
      <c r="K7" s="13">
        <v>0</v>
      </c>
      <c r="L7" s="13">
        <v>2.50756662054337</v>
      </c>
      <c r="M7" s="13">
        <v>4.55734620002998</v>
      </c>
      <c r="N7" s="13">
        <v>10.4590774285302</v>
      </c>
      <c r="O7" s="13">
        <v>10.1950177697416</v>
      </c>
      <c r="P7" s="13">
        <v>11.6022111637739</v>
      </c>
      <c r="Q7" s="13">
        <v>11.0870001946924</v>
      </c>
      <c r="R7" s="13">
        <v>15.7914150546494</v>
      </c>
      <c r="S7" s="13">
        <v>14.5079794473585</v>
      </c>
      <c r="T7" s="13">
        <v>7.02732783849125</v>
      </c>
      <c r="U7" s="13">
        <v>10.4550030305999</v>
      </c>
      <c r="V7" s="13">
        <v>13.3220614481908</v>
      </c>
      <c r="W7" s="13">
        <v>15.9432485123138</v>
      </c>
      <c r="X7" s="13">
        <v>20.252840644628</v>
      </c>
      <c r="Y7" s="13">
        <v>22.8178403639377</v>
      </c>
      <c r="Z7" s="13">
        <v>24.1477665534159</v>
      </c>
      <c r="AA7" s="13">
        <v>18.0040773379197</v>
      </c>
      <c r="AB7" s="13">
        <v>19.0244413257031</v>
      </c>
      <c r="AC7" s="13">
        <v>20.5149096568437</v>
      </c>
      <c r="AD7" s="13">
        <v>23.8294990819275</v>
      </c>
      <c r="AE7" s="13">
        <v>28.6199817041584</v>
      </c>
      <c r="AF7" s="13">
        <v>13.6785393632629</v>
      </c>
      <c r="AG7" s="13">
        <v>16.2814062790559</v>
      </c>
      <c r="AH7" s="13">
        <v>17.6317451018488</v>
      </c>
      <c r="AI7" s="13">
        <v>13.4780708411467</v>
      </c>
      <c r="AJ7" s="13">
        <v>26.3437299474608</v>
      </c>
    </row>
    <row r="8" spans="1:36">
      <c r="A8" s="14" t="s">
        <v>6</v>
      </c>
      <c r="B8" s="13">
        <v>43.54</v>
      </c>
      <c r="C8" s="13">
        <v>125.19</v>
      </c>
      <c r="D8" s="13"/>
      <c r="E8" s="14" t="s">
        <v>6</v>
      </c>
      <c r="F8" s="13">
        <v>7.79030702319072</v>
      </c>
      <c r="G8" s="13">
        <v>7.55775133551549</v>
      </c>
      <c r="H8" s="13">
        <v>9.91019598463396</v>
      </c>
      <c r="I8" s="13">
        <v>11.4482524285133</v>
      </c>
      <c r="J8" s="13">
        <v>10.6717742173192</v>
      </c>
      <c r="K8" s="13">
        <v>2.50756662054337</v>
      </c>
      <c r="L8" s="13">
        <v>0</v>
      </c>
      <c r="M8" s="13">
        <v>2.07518038213731</v>
      </c>
      <c r="N8" s="13">
        <v>12.7776997444355</v>
      </c>
      <c r="O8" s="13">
        <v>12.668481116382</v>
      </c>
      <c r="P8" s="13">
        <v>13.9788125793571</v>
      </c>
      <c r="Q8" s="13">
        <v>13.5828970151351</v>
      </c>
      <c r="R8" s="13">
        <v>18.1599948873438</v>
      </c>
      <c r="S8" s="13">
        <v>17.0035799184168</v>
      </c>
      <c r="T8" s="13">
        <v>9.49682818956918</v>
      </c>
      <c r="U8" s="13">
        <v>12.8747408734486</v>
      </c>
      <c r="V8" s="13">
        <v>15.828189493758</v>
      </c>
      <c r="W8" s="13">
        <v>18.4490325615575</v>
      </c>
      <c r="X8" s="13">
        <v>22.7468167325547</v>
      </c>
      <c r="Y8" s="13">
        <v>25.3194974649124</v>
      </c>
      <c r="Z8" s="13">
        <v>26.6524483121431</v>
      </c>
      <c r="AA8" s="13">
        <v>20.3795391208583</v>
      </c>
      <c r="AB8" s="13">
        <v>21.2984034837329</v>
      </c>
      <c r="AC8" s="13">
        <v>22.9590203220938</v>
      </c>
      <c r="AD8" s="13">
        <v>26.2154267299422</v>
      </c>
      <c r="AE8" s="13">
        <v>30.5449781785</v>
      </c>
      <c r="AF8" s="13">
        <v>15.9292554154903</v>
      </c>
      <c r="AG8" s="13">
        <v>18.1983074119348</v>
      </c>
      <c r="AH8" s="13">
        <v>19.4485874114142</v>
      </c>
      <c r="AI8" s="13">
        <v>15.275608241305</v>
      </c>
      <c r="AJ8" s="13">
        <v>27.2023086562317</v>
      </c>
    </row>
    <row r="9" spans="1:36">
      <c r="A9" s="14" t="s">
        <v>7</v>
      </c>
      <c r="B9" s="13">
        <v>45.44</v>
      </c>
      <c r="C9" s="13">
        <v>126.36</v>
      </c>
      <c r="D9" s="13"/>
      <c r="E9" s="14" t="s">
        <v>7</v>
      </c>
      <c r="F9" s="13">
        <v>9.49381175025169</v>
      </c>
      <c r="G9" s="13">
        <v>9.37071880789679</v>
      </c>
      <c r="H9" s="13">
        <v>11.6423565312355</v>
      </c>
      <c r="I9" s="13">
        <v>13.1160175314088</v>
      </c>
      <c r="J9" s="13">
        <v>11.9882593428538</v>
      </c>
      <c r="K9" s="13">
        <v>4.55734620002998</v>
      </c>
      <c r="L9" s="13">
        <v>2.07518038213731</v>
      </c>
      <c r="M9" s="13">
        <v>0</v>
      </c>
      <c r="N9" s="13">
        <v>14.8352478815861</v>
      </c>
      <c r="O9" s="13">
        <v>14.7400732094748</v>
      </c>
      <c r="P9" s="13">
        <v>16.0476576571988</v>
      </c>
      <c r="Q9" s="13">
        <v>15.6441548566335</v>
      </c>
      <c r="R9" s="13">
        <v>20.2257971248846</v>
      </c>
      <c r="S9" s="13">
        <v>19.0651583351423</v>
      </c>
      <c r="T9" s="13">
        <v>11.4611498831758</v>
      </c>
      <c r="U9" s="13">
        <v>14.7700567890568</v>
      </c>
      <c r="V9" s="13">
        <v>17.8493401814268</v>
      </c>
      <c r="W9" s="13">
        <v>20.4674396778289</v>
      </c>
      <c r="X9" s="13">
        <v>24.8098039864556</v>
      </c>
      <c r="Y9" s="13">
        <v>27.3210986620594</v>
      </c>
      <c r="Z9" s="13">
        <v>28.7010816282441</v>
      </c>
      <c r="AA9" s="13">
        <v>22.205177431627</v>
      </c>
      <c r="AB9" s="13">
        <v>23.0149972860371</v>
      </c>
      <c r="AC9" s="13">
        <v>24.8634504567397</v>
      </c>
      <c r="AD9" s="13">
        <v>28.0433039591065</v>
      </c>
      <c r="AE9" s="13">
        <v>31.8989797279714</v>
      </c>
      <c r="AF9" s="13">
        <v>17.6441002825799</v>
      </c>
      <c r="AG9" s="13">
        <v>19.6015959179032</v>
      </c>
      <c r="AH9" s="13">
        <v>20.7563735406363</v>
      </c>
      <c r="AI9" s="13">
        <v>16.6049659331722</v>
      </c>
      <c r="AJ9" s="13">
        <v>27.6401722332814</v>
      </c>
    </row>
    <row r="10" spans="1:36">
      <c r="A10" s="14" t="s">
        <v>8</v>
      </c>
      <c r="B10" s="13">
        <v>31.14</v>
      </c>
      <c r="C10" s="13">
        <v>121.29</v>
      </c>
      <c r="D10" s="13"/>
      <c r="E10" s="14" t="s">
        <v>8</v>
      </c>
      <c r="F10" s="13">
        <v>9.3603264167803</v>
      </c>
      <c r="G10" s="13">
        <v>8.58442978024367</v>
      </c>
      <c r="H10" s="13">
        <v>8.96358205173621</v>
      </c>
      <c r="I10" s="13">
        <v>9.77357522328795</v>
      </c>
      <c r="J10" s="13">
        <v>12.2887433717237</v>
      </c>
      <c r="K10" s="13">
        <v>10.4590774285302</v>
      </c>
      <c r="L10" s="13">
        <v>12.7776997444355</v>
      </c>
      <c r="M10" s="13">
        <v>14.8352478815861</v>
      </c>
      <c r="N10" s="13">
        <v>0</v>
      </c>
      <c r="O10" s="13">
        <v>2.56970119590452</v>
      </c>
      <c r="P10" s="13">
        <v>1.41718382221842</v>
      </c>
      <c r="Q10" s="13">
        <v>3.53948803898639</v>
      </c>
      <c r="R10" s="13">
        <v>5.4162704928376</v>
      </c>
      <c r="S10" s="13">
        <v>5.68489877150828</v>
      </c>
      <c r="T10" s="13">
        <v>6.3531429185938</v>
      </c>
      <c r="U10" s="13">
        <v>7.41341258270079</v>
      </c>
      <c r="V10" s="13">
        <v>6.16895426286351</v>
      </c>
      <c r="W10" s="13">
        <v>8.13981608078385</v>
      </c>
      <c r="X10" s="13">
        <v>10.8360018416002</v>
      </c>
      <c r="Y10" s="13">
        <v>14.5297151268879</v>
      </c>
      <c r="Z10" s="13">
        <v>14.9373569751705</v>
      </c>
      <c r="AA10" s="13">
        <v>12.8109348565517</v>
      </c>
      <c r="AB10" s="13">
        <v>14.8252027214055</v>
      </c>
      <c r="AC10" s="13">
        <v>13.8748513603105</v>
      </c>
      <c r="AD10" s="13">
        <v>17.7001623999499</v>
      </c>
      <c r="AE10" s="13">
        <v>26.0498390921458</v>
      </c>
      <c r="AF10" s="13">
        <v>11.1209310485749</v>
      </c>
      <c r="AG10" s="13">
        <v>15.5731941579826</v>
      </c>
      <c r="AH10" s="13">
        <v>17.2458136567442</v>
      </c>
      <c r="AI10" s="13">
        <v>14.3097026933939</v>
      </c>
      <c r="AJ10" s="13">
        <v>29.4013555591378</v>
      </c>
    </row>
    <row r="11" spans="1:36">
      <c r="A11" s="14" t="s">
        <v>9</v>
      </c>
      <c r="B11" s="13">
        <v>32.03</v>
      </c>
      <c r="C11" s="13">
        <v>118.46</v>
      </c>
      <c r="D11" s="13"/>
      <c r="E11" s="14" t="s">
        <v>9</v>
      </c>
      <c r="F11" s="13">
        <v>7.73182861101265</v>
      </c>
      <c r="G11" s="13">
        <v>7.07429867531322</v>
      </c>
      <c r="H11" s="13">
        <v>6.88893254692098</v>
      </c>
      <c r="I11" s="13">
        <v>7.45997200180141</v>
      </c>
      <c r="J11" s="13">
        <v>10.176194912209</v>
      </c>
      <c r="K11" s="13">
        <v>10.1950177697416</v>
      </c>
      <c r="L11" s="13">
        <v>12.668481116382</v>
      </c>
      <c r="M11" s="13">
        <v>14.7400732094748</v>
      </c>
      <c r="N11" s="13">
        <v>2.56970119590452</v>
      </c>
      <c r="O11" s="13">
        <v>0</v>
      </c>
      <c r="P11" s="13">
        <v>2.33852567006445</v>
      </c>
      <c r="Q11" s="13">
        <v>1.20943282900747</v>
      </c>
      <c r="R11" s="13">
        <v>6.01298212728865</v>
      </c>
      <c r="S11" s="13">
        <v>4.41540304743046</v>
      </c>
      <c r="T11" s="13">
        <v>4.53352136368441</v>
      </c>
      <c r="U11" s="13">
        <v>4.87891473420229</v>
      </c>
      <c r="V11" s="13">
        <v>4.03569762900173</v>
      </c>
      <c r="W11" s="13">
        <v>6.40826930248277</v>
      </c>
      <c r="X11" s="13">
        <v>10.112493005403</v>
      </c>
      <c r="Y11" s="13">
        <v>13.1970258680381</v>
      </c>
      <c r="Z11" s="13">
        <v>14.105593419187</v>
      </c>
      <c r="AA11" s="13">
        <v>10.5182046588447</v>
      </c>
      <c r="AB11" s="13">
        <v>12.4300776890448</v>
      </c>
      <c r="AC11" s="13">
        <v>11.9361323225605</v>
      </c>
      <c r="AD11" s="13">
        <v>15.7056852450772</v>
      </c>
      <c r="AE11" s="13">
        <v>23.6030280881385</v>
      </c>
      <c r="AF11" s="13">
        <v>8.55291620753846</v>
      </c>
      <c r="AG11" s="13">
        <v>13.0055778866574</v>
      </c>
      <c r="AH11" s="13">
        <v>14.6779917147599</v>
      </c>
      <c r="AI11" s="13">
        <v>11.8196505288017</v>
      </c>
      <c r="AJ11" s="13">
        <v>26.9072522345684</v>
      </c>
    </row>
    <row r="12" spans="1:36">
      <c r="A12" s="14" t="s">
        <v>10</v>
      </c>
      <c r="B12" s="13">
        <v>30.16</v>
      </c>
      <c r="C12" s="13">
        <v>120.1</v>
      </c>
      <c r="D12" s="13"/>
      <c r="E12" s="14" t="s">
        <v>10</v>
      </c>
      <c r="F12" s="13">
        <v>9.90700877568719</v>
      </c>
      <c r="G12" s="13">
        <v>9.19175801872327</v>
      </c>
      <c r="H12" s="13">
        <v>9.2064793256183</v>
      </c>
      <c r="I12" s="13">
        <v>9.79540928307249</v>
      </c>
      <c r="J12" s="13">
        <v>12.506148039278</v>
      </c>
      <c r="K12" s="13">
        <v>11.6022111637739</v>
      </c>
      <c r="L12" s="13">
        <v>13.9788125793571</v>
      </c>
      <c r="M12" s="13">
        <v>16.0476576571988</v>
      </c>
      <c r="N12" s="13">
        <v>1.41718382221842</v>
      </c>
      <c r="O12" s="13">
        <v>2.33852567006445</v>
      </c>
      <c r="P12" s="13">
        <v>0</v>
      </c>
      <c r="Q12" s="13">
        <v>2.85961388547897</v>
      </c>
      <c r="R12" s="13">
        <v>4.18928820011348</v>
      </c>
      <c r="S12" s="13">
        <v>4.34093654215682</v>
      </c>
      <c r="T12" s="13">
        <v>6.75560885346219</v>
      </c>
      <c r="U12" s="13">
        <v>7.10716528732468</v>
      </c>
      <c r="V12" s="13">
        <v>5.12522126250688</v>
      </c>
      <c r="W12" s="13">
        <v>6.86767356796569</v>
      </c>
      <c r="X12" s="13">
        <v>9.42053312523289</v>
      </c>
      <c r="Y12" s="13">
        <v>13.1364893446685</v>
      </c>
      <c r="Z12" s="13">
        <v>13.5211605761546</v>
      </c>
      <c r="AA12" s="13">
        <v>11.7649515812903</v>
      </c>
      <c r="AB12" s="13">
        <v>13.8594093429962</v>
      </c>
      <c r="AC12" s="13">
        <v>12.6279011451116</v>
      </c>
      <c r="AD12" s="13">
        <v>16.4615977247</v>
      </c>
      <c r="AE12" s="13">
        <v>25.112272856955</v>
      </c>
      <c r="AF12" s="13">
        <v>10.5436361789407</v>
      </c>
      <c r="AG12" s="13">
        <v>15.064235678803</v>
      </c>
      <c r="AH12" s="13">
        <v>16.7290493734452</v>
      </c>
      <c r="AI12" s="13">
        <v>14.0682520500969</v>
      </c>
      <c r="AJ12" s="13">
        <v>29.1321714198793</v>
      </c>
    </row>
    <row r="13" spans="1:36">
      <c r="A13" s="14" t="s">
        <v>11</v>
      </c>
      <c r="B13" s="13">
        <v>31.52</v>
      </c>
      <c r="C13" s="13">
        <v>117.17</v>
      </c>
      <c r="D13" s="13"/>
      <c r="E13" s="14" t="s">
        <v>11</v>
      </c>
      <c r="F13" s="13">
        <v>8.06543633365979</v>
      </c>
      <c r="G13" s="13">
        <v>7.50011069783787</v>
      </c>
      <c r="H13" s="13">
        <v>6.91325530375837</v>
      </c>
      <c r="I13" s="13">
        <v>7.21808674545726</v>
      </c>
      <c r="J13" s="13">
        <v>10.093353965554</v>
      </c>
      <c r="K13" s="13">
        <v>11.0870001946924</v>
      </c>
      <c r="L13" s="13">
        <v>13.5828970151351</v>
      </c>
      <c r="M13" s="13">
        <v>15.6441548566335</v>
      </c>
      <c r="N13" s="13">
        <v>3.53948803898639</v>
      </c>
      <c r="O13" s="13">
        <v>1.20943282900747</v>
      </c>
      <c r="P13" s="13">
        <v>2.85961388547897</v>
      </c>
      <c r="Q13" s="13">
        <v>0</v>
      </c>
      <c r="R13" s="13">
        <v>5.74627464748177</v>
      </c>
      <c r="S13" s="13">
        <v>3.421005877165</v>
      </c>
      <c r="T13" s="13">
        <v>4.8820337336774</v>
      </c>
      <c r="U13" s="13">
        <v>4.31702804219056</v>
      </c>
      <c r="V13" s="13">
        <v>2.82659755230237</v>
      </c>
      <c r="W13" s="13">
        <v>5.22857382609204</v>
      </c>
      <c r="X13" s="13">
        <v>9.16598015470017</v>
      </c>
      <c r="Y13" s="13">
        <v>12.061415046369</v>
      </c>
      <c r="Z13" s="13">
        <v>13.0925141846101</v>
      </c>
      <c r="AA13" s="13">
        <v>9.35098649724508</v>
      </c>
      <c r="AB13" s="13">
        <v>11.3080092414615</v>
      </c>
      <c r="AC13" s="13">
        <v>10.7268115991105</v>
      </c>
      <c r="AD13" s="13">
        <v>14.4972498072842</v>
      </c>
      <c r="AE13" s="13">
        <v>22.5166571231301</v>
      </c>
      <c r="AF13" s="13">
        <v>7.69261741426724</v>
      </c>
      <c r="AG13" s="13">
        <v>12.2063620451426</v>
      </c>
      <c r="AH13" s="13">
        <v>13.8724464887538</v>
      </c>
      <c r="AI13" s="13">
        <v>11.2603944219846</v>
      </c>
      <c r="AJ13" s="13">
        <v>26.2966738279042</v>
      </c>
    </row>
    <row r="14" spans="1:36">
      <c r="A14" s="14" t="s">
        <v>12</v>
      </c>
      <c r="B14" s="13">
        <v>26.05</v>
      </c>
      <c r="C14" s="13">
        <v>119.18</v>
      </c>
      <c r="D14" s="13"/>
      <c r="E14" s="14" t="s">
        <v>12</v>
      </c>
      <c r="F14" s="13">
        <v>13.721993718636</v>
      </c>
      <c r="G14" s="13">
        <v>13.0846583520146</v>
      </c>
      <c r="H14" s="13">
        <v>12.6592336672867</v>
      </c>
      <c r="I14" s="13">
        <v>12.8709117680964</v>
      </c>
      <c r="J14" s="13">
        <v>15.8082625383934</v>
      </c>
      <c r="K14" s="13">
        <v>15.7914150546494</v>
      </c>
      <c r="L14" s="13">
        <v>18.1599948873438</v>
      </c>
      <c r="M14" s="13">
        <v>20.2257971248846</v>
      </c>
      <c r="N14" s="13">
        <v>5.4162704928376</v>
      </c>
      <c r="O14" s="13">
        <v>6.01298212728865</v>
      </c>
      <c r="P14" s="13">
        <v>4.18928820011348</v>
      </c>
      <c r="Q14" s="13">
        <v>5.74627464748177</v>
      </c>
      <c r="R14" s="13">
        <v>0</v>
      </c>
      <c r="S14" s="13">
        <v>3.99226892947299</v>
      </c>
      <c r="T14" s="13">
        <v>10.5155946233292</v>
      </c>
      <c r="U14" s="13">
        <v>9.7754480123154</v>
      </c>
      <c r="V14" s="13">
        <v>6.16160017780534</v>
      </c>
      <c r="W14" s="13">
        <v>6.22056351157178</v>
      </c>
      <c r="X14" s="13">
        <v>6.24352828072914</v>
      </c>
      <c r="Y14" s="13">
        <v>10.631202713759</v>
      </c>
      <c r="Z14" s="13">
        <v>10.2242673620725</v>
      </c>
      <c r="AA14" s="13">
        <v>11.7183116919202</v>
      </c>
      <c r="AB14" s="13">
        <v>14.0171582913847</v>
      </c>
      <c r="AC14" s="13">
        <v>11.4482956932212</v>
      </c>
      <c r="AD14" s="13">
        <v>15.1449490821882</v>
      </c>
      <c r="AE14" s="13">
        <v>25.0202415072173</v>
      </c>
      <c r="AF14" s="13">
        <v>12.2405752390062</v>
      </c>
      <c r="AG14" s="13">
        <v>16.6969309727371</v>
      </c>
      <c r="AH14" s="13">
        <v>18.2771213107827</v>
      </c>
      <c r="AI14" s="13">
        <v>16.4213422013615</v>
      </c>
      <c r="AJ14" s="13">
        <v>31.1055820961958</v>
      </c>
    </row>
    <row r="15" spans="1:36">
      <c r="A15" s="14" t="s">
        <v>13</v>
      </c>
      <c r="B15" s="13">
        <v>28.4</v>
      </c>
      <c r="C15" s="13">
        <v>115.55</v>
      </c>
      <c r="D15" s="13"/>
      <c r="E15" s="14" t="s">
        <v>13</v>
      </c>
      <c r="F15" s="13">
        <v>11.1645631507735</v>
      </c>
      <c r="G15" s="13">
        <v>10.6994681509372</v>
      </c>
      <c r="H15" s="13">
        <v>9.67637730662538</v>
      </c>
      <c r="I15" s="13">
        <v>9.52899433216259</v>
      </c>
      <c r="J15" s="13">
        <v>12.5490278549958</v>
      </c>
      <c r="K15" s="13">
        <v>14.5079794473585</v>
      </c>
      <c r="L15" s="13">
        <v>17.0035799184168</v>
      </c>
      <c r="M15" s="13">
        <v>19.0651583351423</v>
      </c>
      <c r="N15" s="13">
        <v>5.68489877150828</v>
      </c>
      <c r="O15" s="13">
        <v>4.41540304743046</v>
      </c>
      <c r="P15" s="13">
        <v>4.34093654215682</v>
      </c>
      <c r="Q15" s="13">
        <v>3.421005877165</v>
      </c>
      <c r="R15" s="13">
        <v>3.99226892947299</v>
      </c>
      <c r="S15" s="13">
        <v>0</v>
      </c>
      <c r="T15" s="13">
        <v>8.09280202999645</v>
      </c>
      <c r="U15" s="13">
        <v>6.33106628019134</v>
      </c>
      <c r="V15" s="13">
        <v>2.29093578511696</v>
      </c>
      <c r="W15" s="13">
        <v>2.62211479396634</v>
      </c>
      <c r="X15" s="13">
        <v>5.74536130514128</v>
      </c>
      <c r="Y15" s="13">
        <v>8.89623581662546</v>
      </c>
      <c r="Z15" s="13">
        <v>9.69341832703998</v>
      </c>
      <c r="AA15" s="13">
        <v>7.96788507019065</v>
      </c>
      <c r="AB15" s="13">
        <v>10.2202014888108</v>
      </c>
      <c r="AC15" s="13">
        <v>8.36022404571965</v>
      </c>
      <c r="AD15" s="13">
        <v>12.1918728053755</v>
      </c>
      <c r="AE15" s="13">
        <v>21.3889440451186</v>
      </c>
      <c r="AF15" s="13">
        <v>8.29455682008352</v>
      </c>
      <c r="AG15" s="13">
        <v>12.7152040581076</v>
      </c>
      <c r="AH15" s="13">
        <v>14.2874022748479</v>
      </c>
      <c r="AI15" s="13">
        <v>12.5924622112806</v>
      </c>
      <c r="AJ15" s="13">
        <v>27.132743754682</v>
      </c>
    </row>
    <row r="16" spans="1:36">
      <c r="A16" s="14" t="s">
        <v>14</v>
      </c>
      <c r="B16" s="13">
        <v>36.4</v>
      </c>
      <c r="C16" s="13">
        <v>117</v>
      </c>
      <c r="D16" s="13"/>
      <c r="E16" s="14" t="s">
        <v>14</v>
      </c>
      <c r="F16" s="13">
        <v>3.20642384352141</v>
      </c>
      <c r="G16" s="13">
        <v>2.62171853534734</v>
      </c>
      <c r="H16" s="13">
        <v>2.69206859355106</v>
      </c>
      <c r="I16" s="13">
        <v>3.90085509655919</v>
      </c>
      <c r="J16" s="13">
        <v>5.98227993719833</v>
      </c>
      <c r="K16" s="13">
        <v>7.02732783849125</v>
      </c>
      <c r="L16" s="13">
        <v>9.49682818956918</v>
      </c>
      <c r="M16" s="13">
        <v>11.4611498831758</v>
      </c>
      <c r="N16" s="13">
        <v>6.3531429185938</v>
      </c>
      <c r="O16" s="13">
        <v>4.53352136368441</v>
      </c>
      <c r="P16" s="13">
        <v>6.75560885346219</v>
      </c>
      <c r="Q16" s="13">
        <v>4.8820337336774</v>
      </c>
      <c r="R16" s="13">
        <v>10.5155946233292</v>
      </c>
      <c r="S16" s="13">
        <v>8.09280202999645</v>
      </c>
      <c r="T16" s="13">
        <v>0</v>
      </c>
      <c r="U16" s="13">
        <v>3.51642207185983</v>
      </c>
      <c r="V16" s="13">
        <v>6.49425787259721</v>
      </c>
      <c r="W16" s="13">
        <v>9.07802540814106</v>
      </c>
      <c r="X16" s="13">
        <v>13.7314982594496</v>
      </c>
      <c r="Y16" s="13">
        <v>15.8756266382106</v>
      </c>
      <c r="Z16" s="13">
        <v>17.4282840586842</v>
      </c>
      <c r="AA16" s="13">
        <v>11.0938050615584</v>
      </c>
      <c r="AB16" s="13">
        <v>12.3558011681494</v>
      </c>
      <c r="AC16" s="13">
        <v>13.4940941063646</v>
      </c>
      <c r="AD16" s="13">
        <v>16.8779951518101</v>
      </c>
      <c r="AE16" s="13">
        <v>22.7589172530125</v>
      </c>
      <c r="AF16" s="13">
        <v>7.23062210827718</v>
      </c>
      <c r="AG16" s="13">
        <v>10.8802171777101</v>
      </c>
      <c r="AH16" s="13">
        <v>12.4800709922848</v>
      </c>
      <c r="AI16" s="13">
        <v>8.81378987878867</v>
      </c>
      <c r="AJ16" s="13">
        <v>23.6547956415962</v>
      </c>
    </row>
    <row r="17" spans="1:36">
      <c r="A17" s="14" t="s">
        <v>15</v>
      </c>
      <c r="B17" s="13">
        <v>34.46</v>
      </c>
      <c r="C17" s="13">
        <v>113.4</v>
      </c>
      <c r="D17" s="13"/>
      <c r="E17" s="14" t="s">
        <v>15</v>
      </c>
      <c r="F17" s="13">
        <v>5.57155992129702</v>
      </c>
      <c r="G17" s="13">
        <v>5.44670729865843</v>
      </c>
      <c r="H17" s="13">
        <v>3.63319061578338</v>
      </c>
      <c r="I17" s="13">
        <v>3.19926131551685</v>
      </c>
      <c r="J17" s="13">
        <v>6.22322188088931</v>
      </c>
      <c r="K17" s="13">
        <v>10.4550030305999</v>
      </c>
      <c r="L17" s="13">
        <v>12.8747408734486</v>
      </c>
      <c r="M17" s="13">
        <v>14.7700567890568</v>
      </c>
      <c r="N17" s="13">
        <v>7.41341258270079</v>
      </c>
      <c r="O17" s="13">
        <v>4.87891473420229</v>
      </c>
      <c r="P17" s="13">
        <v>7.10716528732468</v>
      </c>
      <c r="Q17" s="13">
        <v>4.31702804219056</v>
      </c>
      <c r="R17" s="13">
        <v>9.7754480123154</v>
      </c>
      <c r="S17" s="13">
        <v>6.33106628019134</v>
      </c>
      <c r="T17" s="13">
        <v>3.51642207185983</v>
      </c>
      <c r="U17" s="13">
        <v>0</v>
      </c>
      <c r="V17" s="13">
        <v>4.16104833552968</v>
      </c>
      <c r="W17" s="13">
        <v>6.37759255243783</v>
      </c>
      <c r="X17" s="13">
        <v>11.3822675680115</v>
      </c>
      <c r="Y17" s="13">
        <v>12.8198590680555</v>
      </c>
      <c r="Z17" s="13">
        <v>14.714981127148</v>
      </c>
      <c r="AA17" s="13">
        <v>7.58204194794089</v>
      </c>
      <c r="AB17" s="13">
        <v>8.87695303325799</v>
      </c>
      <c r="AC17" s="13">
        <v>10.0934773440683</v>
      </c>
      <c r="AD17" s="13">
        <v>13.3841833030251</v>
      </c>
      <c r="AE17" s="13">
        <v>19.5415605711636</v>
      </c>
      <c r="AF17" s="13">
        <v>3.99948397611616</v>
      </c>
      <c r="AG17" s="13">
        <v>8.22576769593614</v>
      </c>
      <c r="AH17" s="13">
        <v>9.89493114065569</v>
      </c>
      <c r="AI17" s="13">
        <v>6.96109279080603</v>
      </c>
      <c r="AJ17" s="13">
        <v>22.03539385692</v>
      </c>
    </row>
    <row r="18" spans="1:36">
      <c r="A18" s="14" t="s">
        <v>16</v>
      </c>
      <c r="B18" s="13">
        <v>30.35</v>
      </c>
      <c r="C18" s="13">
        <v>114.17</v>
      </c>
      <c r="D18" s="13"/>
      <c r="E18" s="14" t="s">
        <v>16</v>
      </c>
      <c r="F18" s="13">
        <v>9.35432251027581</v>
      </c>
      <c r="G18" s="13">
        <v>9.00141188154828</v>
      </c>
      <c r="H18" s="13">
        <v>7.67075117251637</v>
      </c>
      <c r="I18" s="13">
        <v>7.34974583302467</v>
      </c>
      <c r="J18" s="13">
        <v>10.3751069855507</v>
      </c>
      <c r="K18" s="13">
        <v>13.3220614481908</v>
      </c>
      <c r="L18" s="13">
        <v>15.828189493758</v>
      </c>
      <c r="M18" s="13">
        <v>17.8493401814268</v>
      </c>
      <c r="N18" s="13">
        <v>6.16895426286351</v>
      </c>
      <c r="O18" s="13">
        <v>4.03569762900173</v>
      </c>
      <c r="P18" s="13">
        <v>5.12522126250688</v>
      </c>
      <c r="Q18" s="13">
        <v>2.82659755230237</v>
      </c>
      <c r="R18" s="13">
        <v>6.16160017780534</v>
      </c>
      <c r="S18" s="13">
        <v>2.29093578511696</v>
      </c>
      <c r="T18" s="13">
        <v>6.49425787259721</v>
      </c>
      <c r="U18" s="13">
        <v>4.16104833552968</v>
      </c>
      <c r="V18" s="13">
        <v>0</v>
      </c>
      <c r="W18" s="13">
        <v>2.62170662327252</v>
      </c>
      <c r="X18" s="13">
        <v>7.32785027789892</v>
      </c>
      <c r="Y18" s="13">
        <v>9.51505515457304</v>
      </c>
      <c r="Z18" s="13">
        <v>10.9341912526971</v>
      </c>
      <c r="AA18" s="13">
        <v>6.65201130924</v>
      </c>
      <c r="AB18" s="13">
        <v>8.73672488858646</v>
      </c>
      <c r="AC18" s="13">
        <v>7.90364862809604</v>
      </c>
      <c r="AD18" s="13">
        <v>11.6710053198457</v>
      </c>
      <c r="AE18" s="13">
        <v>19.9910519451159</v>
      </c>
      <c r="AF18" s="13">
        <v>6.08231385759868</v>
      </c>
      <c r="AG18" s="13">
        <v>10.5703105126242</v>
      </c>
      <c r="AH18" s="13">
        <v>12.1782854122076</v>
      </c>
      <c r="AI18" s="13">
        <v>10.3107378932139</v>
      </c>
      <c r="AJ18" s="13">
        <v>24.9558132408791</v>
      </c>
    </row>
    <row r="19" spans="1:36">
      <c r="A19" s="14" t="s">
        <v>17</v>
      </c>
      <c r="B19" s="13">
        <v>28.12</v>
      </c>
      <c r="C19" s="13">
        <v>112.59</v>
      </c>
      <c r="D19" s="13"/>
      <c r="E19" s="14" t="s">
        <v>17</v>
      </c>
      <c r="F19" s="13">
        <v>11.8221963237345</v>
      </c>
      <c r="G19" s="13">
        <v>11.5305777997818</v>
      </c>
      <c r="H19" s="13">
        <v>10.0025887813009</v>
      </c>
      <c r="I19" s="13">
        <v>9.42252028526366</v>
      </c>
      <c r="J19" s="13">
        <v>12.3980225976684</v>
      </c>
      <c r="K19" s="13">
        <v>15.9432485123138</v>
      </c>
      <c r="L19" s="13">
        <v>18.4490325615575</v>
      </c>
      <c r="M19" s="13">
        <v>20.4674396778289</v>
      </c>
      <c r="N19" s="13">
        <v>8.13981608078385</v>
      </c>
      <c r="O19" s="13">
        <v>6.40826930248277</v>
      </c>
      <c r="P19" s="13">
        <v>6.86767356796569</v>
      </c>
      <c r="Q19" s="13">
        <v>5.22857382609204</v>
      </c>
      <c r="R19" s="13">
        <v>6.22056351157178</v>
      </c>
      <c r="S19" s="13">
        <v>2.62211479396634</v>
      </c>
      <c r="T19" s="13">
        <v>9.07802540814106</v>
      </c>
      <c r="U19" s="13">
        <v>6.37759255243783</v>
      </c>
      <c r="V19" s="13">
        <v>2.62170662327252</v>
      </c>
      <c r="W19" s="13">
        <v>0</v>
      </c>
      <c r="X19" s="13">
        <v>5.06432181962651</v>
      </c>
      <c r="Y19" s="13">
        <v>6.90007361454751</v>
      </c>
      <c r="Z19" s="13">
        <v>8.38803458709173</v>
      </c>
      <c r="AA19" s="13">
        <v>5.49815801641651</v>
      </c>
      <c r="AB19" s="13">
        <v>7.79729313054236</v>
      </c>
      <c r="AC19" s="13">
        <v>5.7635432299318</v>
      </c>
      <c r="AD19" s="13">
        <v>9.59840811623044</v>
      </c>
      <c r="AE19" s="13">
        <v>18.8557306632594</v>
      </c>
      <c r="AF19" s="13">
        <v>6.95813209111944</v>
      </c>
      <c r="AG19" s="13">
        <v>11.0307074781436</v>
      </c>
      <c r="AH19" s="13">
        <v>12.4939215075102</v>
      </c>
      <c r="AI19" s="13">
        <v>11.4800726648083</v>
      </c>
      <c r="AJ19" s="13">
        <v>25.3995408734813</v>
      </c>
    </row>
    <row r="20" spans="1:36">
      <c r="A20" s="14" t="s">
        <v>18</v>
      </c>
      <c r="B20" s="13">
        <v>23.08</v>
      </c>
      <c r="C20" s="13">
        <v>113.14</v>
      </c>
      <c r="D20" s="13"/>
      <c r="E20" s="14" t="s">
        <v>18</v>
      </c>
      <c r="F20" s="13">
        <v>16.6784920036603</v>
      </c>
      <c r="G20" s="13">
        <v>16.2957505518351</v>
      </c>
      <c r="H20" s="13">
        <v>14.972973642992</v>
      </c>
      <c r="I20" s="13">
        <v>14.4767163329495</v>
      </c>
      <c r="J20" s="13">
        <v>17.4610073532148</v>
      </c>
      <c r="K20" s="13">
        <v>20.252840644628</v>
      </c>
      <c r="L20" s="13">
        <v>22.7468167325547</v>
      </c>
      <c r="M20" s="13">
        <v>24.8098039864556</v>
      </c>
      <c r="N20" s="13">
        <v>10.8360018416002</v>
      </c>
      <c r="O20" s="13">
        <v>10.112493005403</v>
      </c>
      <c r="P20" s="13">
        <v>9.42053312523289</v>
      </c>
      <c r="Q20" s="13">
        <v>9.16598015470017</v>
      </c>
      <c r="R20" s="13">
        <v>6.24352828072914</v>
      </c>
      <c r="S20" s="13">
        <v>5.74536130514128</v>
      </c>
      <c r="T20" s="13">
        <v>13.7314982594496</v>
      </c>
      <c r="U20" s="13">
        <v>11.3822675680115</v>
      </c>
      <c r="V20" s="13">
        <v>7.32785027789892</v>
      </c>
      <c r="W20" s="13">
        <v>5.06432181962651</v>
      </c>
      <c r="X20" s="13">
        <v>0</v>
      </c>
      <c r="Y20" s="13">
        <v>4.60292024097942</v>
      </c>
      <c r="Z20" s="13">
        <v>4.10343570458852</v>
      </c>
      <c r="AA20" s="13">
        <v>8.79173555187875</v>
      </c>
      <c r="AB20" s="13">
        <v>10.9289092821037</v>
      </c>
      <c r="AC20" s="13">
        <v>6.92337036327606</v>
      </c>
      <c r="AD20" s="13">
        <v>9.97985287088826</v>
      </c>
      <c r="AE20" s="13">
        <v>20.7170799674081</v>
      </c>
      <c r="AF20" s="13">
        <v>11.7890785880956</v>
      </c>
      <c r="AG20" s="13">
        <v>15.4109816696137</v>
      </c>
      <c r="AH20" s="13">
        <v>16.6855904873218</v>
      </c>
      <c r="AI20" s="13">
        <v>16.3195834787841</v>
      </c>
      <c r="AJ20" s="13">
        <v>29.4258739250444</v>
      </c>
    </row>
    <row r="21" spans="1:36">
      <c r="A21" s="14" t="s">
        <v>19</v>
      </c>
      <c r="B21" s="13">
        <v>22.48</v>
      </c>
      <c r="C21" s="13">
        <v>108.19</v>
      </c>
      <c r="D21" s="13"/>
      <c r="E21" s="14" t="s">
        <v>19</v>
      </c>
      <c r="F21" s="13">
        <v>18.3908776424246</v>
      </c>
      <c r="G21" s="13">
        <v>18.2096417029277</v>
      </c>
      <c r="H21" s="13">
        <v>16.4011031309069</v>
      </c>
      <c r="I21" s="13">
        <v>15.4759728059021</v>
      </c>
      <c r="J21" s="13">
        <v>18.2046144420841</v>
      </c>
      <c r="K21" s="13">
        <v>22.8178403639377</v>
      </c>
      <c r="L21" s="13">
        <v>25.3194974649124</v>
      </c>
      <c r="M21" s="13">
        <v>27.3210986620594</v>
      </c>
      <c r="N21" s="13">
        <v>14.5297151268879</v>
      </c>
      <c r="O21" s="13">
        <v>13.1970258680381</v>
      </c>
      <c r="P21" s="13">
        <v>13.1364893446685</v>
      </c>
      <c r="Q21" s="13">
        <v>12.061415046369</v>
      </c>
      <c r="R21" s="13">
        <v>10.631202713759</v>
      </c>
      <c r="S21" s="13">
        <v>8.89623581662546</v>
      </c>
      <c r="T21" s="13">
        <v>15.8756266382106</v>
      </c>
      <c r="U21" s="13">
        <v>12.8198590680555</v>
      </c>
      <c r="V21" s="13">
        <v>9.51505515457304</v>
      </c>
      <c r="W21" s="13">
        <v>6.90007361454751</v>
      </c>
      <c r="X21" s="13">
        <v>4.60292024097942</v>
      </c>
      <c r="Y21" s="13">
        <v>0</v>
      </c>
      <c r="Z21" s="13">
        <v>3.09195019959709</v>
      </c>
      <c r="AA21" s="13">
        <v>7.2625915205907</v>
      </c>
      <c r="AB21" s="13">
        <v>8.74613575447979</v>
      </c>
      <c r="AC21" s="13">
        <v>4.19200466614778</v>
      </c>
      <c r="AD21" s="13">
        <v>5.86777433373029</v>
      </c>
      <c r="AE21" s="13">
        <v>16.833190628987</v>
      </c>
      <c r="AF21" s="13">
        <v>11.6947536995066</v>
      </c>
      <c r="AG21" s="13">
        <v>14.1559104176252</v>
      </c>
      <c r="AH21" s="13">
        <v>15.0673757048351</v>
      </c>
      <c r="AI21" s="13">
        <v>15.8855807514858</v>
      </c>
      <c r="AJ21" s="13">
        <v>27.1363611202576</v>
      </c>
    </row>
    <row r="22" spans="1:36">
      <c r="A22" s="14" t="s">
        <v>20</v>
      </c>
      <c r="B22" s="13">
        <v>20.02</v>
      </c>
      <c r="C22" s="13">
        <v>110.2</v>
      </c>
      <c r="D22" s="13"/>
      <c r="E22" s="14" t="s">
        <v>20</v>
      </c>
      <c r="F22" s="13">
        <v>20.2080031237148</v>
      </c>
      <c r="G22" s="13">
        <v>19.9146725029327</v>
      </c>
      <c r="H22" s="13">
        <v>18.3479799771341</v>
      </c>
      <c r="I22" s="13">
        <v>17.6177073993164</v>
      </c>
      <c r="J22" s="13">
        <v>20.4861053150283</v>
      </c>
      <c r="K22" s="13">
        <v>24.1477665534159</v>
      </c>
      <c r="L22" s="13">
        <v>26.6524483121431</v>
      </c>
      <c r="M22" s="13">
        <v>28.7010816282441</v>
      </c>
      <c r="N22" s="13">
        <v>14.9373569751705</v>
      </c>
      <c r="O22" s="13">
        <v>14.105593419187</v>
      </c>
      <c r="P22" s="13">
        <v>13.5211605761546</v>
      </c>
      <c r="Q22" s="13">
        <v>13.0925141846101</v>
      </c>
      <c r="R22" s="13">
        <v>10.2242673620725</v>
      </c>
      <c r="S22" s="13">
        <v>9.69341832703998</v>
      </c>
      <c r="T22" s="13">
        <v>17.4282840586842</v>
      </c>
      <c r="U22" s="13">
        <v>14.714981127148</v>
      </c>
      <c r="V22" s="13">
        <v>10.9341912526971</v>
      </c>
      <c r="W22" s="13">
        <v>8.38803458709173</v>
      </c>
      <c r="X22" s="13">
        <v>4.10343570458852</v>
      </c>
      <c r="Y22" s="13">
        <v>3.09195019959709</v>
      </c>
      <c r="Z22" s="13">
        <v>0</v>
      </c>
      <c r="AA22" s="13">
        <v>10.1281768795864</v>
      </c>
      <c r="AB22" s="13">
        <v>11.7753431135886</v>
      </c>
      <c r="AC22" s="13">
        <v>7.21961628956022</v>
      </c>
      <c r="AD22" s="13">
        <v>8.76244300716011</v>
      </c>
      <c r="AE22" s="13">
        <v>19.687857387971</v>
      </c>
      <c r="AF22" s="13">
        <v>14.2235380496345</v>
      </c>
      <c r="AG22" s="13">
        <v>17.0611218074885</v>
      </c>
      <c r="AH22" s="13">
        <v>18.0535931423857</v>
      </c>
      <c r="AI22" s="13">
        <v>18.5824397184547</v>
      </c>
      <c r="AJ22" s="13">
        <v>30.2239776988607</v>
      </c>
    </row>
    <row r="23" spans="1:36">
      <c r="A23" s="14" t="s">
        <v>21</v>
      </c>
      <c r="B23" s="13">
        <v>29.59</v>
      </c>
      <c r="C23" s="13">
        <v>106.54</v>
      </c>
      <c r="D23" s="13"/>
      <c r="E23" s="14" t="s">
        <v>21</v>
      </c>
      <c r="F23" s="13">
        <v>12.749871625864</v>
      </c>
      <c r="G23" s="13">
        <v>12.8383193454207</v>
      </c>
      <c r="H23" s="13">
        <v>10.6040835285214</v>
      </c>
      <c r="I23" s="13">
        <v>9.29441503389968</v>
      </c>
      <c r="J23" s="13">
        <v>11.5918460943467</v>
      </c>
      <c r="K23" s="13">
        <v>18.0040773379197</v>
      </c>
      <c r="L23" s="13">
        <v>20.3795391208583</v>
      </c>
      <c r="M23" s="13">
        <v>22.205177431627</v>
      </c>
      <c r="N23" s="13">
        <v>12.8109348565517</v>
      </c>
      <c r="O23" s="13">
        <v>10.5182046588447</v>
      </c>
      <c r="P23" s="13">
        <v>11.7649515812903</v>
      </c>
      <c r="Q23" s="13">
        <v>9.35098649724508</v>
      </c>
      <c r="R23" s="13">
        <v>11.7183116919202</v>
      </c>
      <c r="S23" s="13">
        <v>7.96788507019065</v>
      </c>
      <c r="T23" s="13">
        <v>11.0938050615584</v>
      </c>
      <c r="U23" s="13">
        <v>7.58204194794089</v>
      </c>
      <c r="V23" s="13">
        <v>6.65201130924</v>
      </c>
      <c r="W23" s="13">
        <v>5.49815801641651</v>
      </c>
      <c r="X23" s="13">
        <v>8.79173555187875</v>
      </c>
      <c r="Y23" s="13">
        <v>7.2625915205907</v>
      </c>
      <c r="Z23" s="13">
        <v>10.1281768795864</v>
      </c>
      <c r="AA23" s="13">
        <v>0</v>
      </c>
      <c r="AB23" s="13">
        <v>2.31165098553649</v>
      </c>
      <c r="AC23" s="13">
        <v>3.24173208490031</v>
      </c>
      <c r="AD23" s="13">
        <v>5.83854892412294</v>
      </c>
      <c r="AE23" s="13">
        <v>13.4295755179275</v>
      </c>
      <c r="AF23" s="13">
        <v>4.89329488535212</v>
      </c>
      <c r="AG23" s="13">
        <v>6.93334338327357</v>
      </c>
      <c r="AH23" s="13">
        <v>8.0042328248294</v>
      </c>
      <c r="AI23" s="13">
        <v>8.68569865596908</v>
      </c>
      <c r="AJ23" s="13">
        <v>20.6354725155573</v>
      </c>
    </row>
    <row r="24" spans="1:36">
      <c r="A24" s="14" t="s">
        <v>22</v>
      </c>
      <c r="B24" s="13">
        <v>30.4</v>
      </c>
      <c r="C24" s="13">
        <v>104.04</v>
      </c>
      <c r="D24" s="13"/>
      <c r="E24" s="14" t="s">
        <v>22</v>
      </c>
      <c r="F24" s="13">
        <v>13.528010684636</v>
      </c>
      <c r="G24" s="13">
        <v>13.7557652560682</v>
      </c>
      <c r="H24" s="13">
        <v>11.3904518828778</v>
      </c>
      <c r="I24" s="13">
        <v>9.90337572933012</v>
      </c>
      <c r="J24" s="13">
        <v>11.7221607273487</v>
      </c>
      <c r="K24" s="13">
        <v>19.0244413257031</v>
      </c>
      <c r="L24" s="13">
        <v>21.2984034837329</v>
      </c>
      <c r="M24" s="13">
        <v>23.0149972860371</v>
      </c>
      <c r="N24" s="13">
        <v>14.8252027214055</v>
      </c>
      <c r="O24" s="13">
        <v>12.4300776890448</v>
      </c>
      <c r="P24" s="13">
        <v>13.8594093429962</v>
      </c>
      <c r="Q24" s="13">
        <v>11.3080092414615</v>
      </c>
      <c r="R24" s="13">
        <v>14.0171582913847</v>
      </c>
      <c r="S24" s="13">
        <v>10.2202014888108</v>
      </c>
      <c r="T24" s="13">
        <v>12.3558011681494</v>
      </c>
      <c r="U24" s="13">
        <v>8.87695303325799</v>
      </c>
      <c r="V24" s="13">
        <v>8.73672488858646</v>
      </c>
      <c r="W24" s="13">
        <v>7.79729313054236</v>
      </c>
      <c r="X24" s="13">
        <v>10.9289092821037</v>
      </c>
      <c r="Y24" s="13">
        <v>8.74613575447979</v>
      </c>
      <c r="Z24" s="13">
        <v>11.7753431135886</v>
      </c>
      <c r="AA24" s="13">
        <v>2.31165098553649</v>
      </c>
      <c r="AB24" s="13">
        <v>0</v>
      </c>
      <c r="AC24" s="13">
        <v>4.55894822000554</v>
      </c>
      <c r="AD24" s="13">
        <v>5.54827877016222</v>
      </c>
      <c r="AE24" s="13">
        <v>11.2544823420513</v>
      </c>
      <c r="AF24" s="13">
        <v>5.37265832158168</v>
      </c>
      <c r="AG24" s="13">
        <v>5.65736913808964</v>
      </c>
      <c r="AH24" s="13">
        <v>6.34975048107488</v>
      </c>
      <c r="AI24" s="13">
        <v>8.06162566562171</v>
      </c>
      <c r="AJ24" s="13">
        <v>18.5896236568139</v>
      </c>
    </row>
    <row r="25" spans="1:36">
      <c r="A25" s="14" t="s">
        <v>23</v>
      </c>
      <c r="B25" s="13">
        <v>26.35</v>
      </c>
      <c r="C25" s="13">
        <v>106.42</v>
      </c>
      <c r="D25" s="13"/>
      <c r="E25" s="14" t="s">
        <v>23</v>
      </c>
      <c r="F25" s="13">
        <v>15.5375025214753</v>
      </c>
      <c r="G25" s="13">
        <v>15.518418653072</v>
      </c>
      <c r="H25" s="13">
        <v>13.4279032913404</v>
      </c>
      <c r="I25" s="13">
        <v>12.255048003426</v>
      </c>
      <c r="J25" s="13">
        <v>14.7240887022916</v>
      </c>
      <c r="K25" s="13">
        <v>20.5149096568437</v>
      </c>
      <c r="L25" s="13">
        <v>22.9590203220938</v>
      </c>
      <c r="M25" s="13">
        <v>24.8634504567397</v>
      </c>
      <c r="N25" s="13">
        <v>13.8748513603105</v>
      </c>
      <c r="O25" s="13">
        <v>11.9361323225605</v>
      </c>
      <c r="P25" s="13">
        <v>12.6279011451116</v>
      </c>
      <c r="Q25" s="13">
        <v>10.7268115991105</v>
      </c>
      <c r="R25" s="13">
        <v>11.4482956932212</v>
      </c>
      <c r="S25" s="13">
        <v>8.36022404571965</v>
      </c>
      <c r="T25" s="13">
        <v>13.4940941063646</v>
      </c>
      <c r="U25" s="13">
        <v>10.0934773440683</v>
      </c>
      <c r="V25" s="13">
        <v>7.90364862809604</v>
      </c>
      <c r="W25" s="13">
        <v>5.7635432299318</v>
      </c>
      <c r="X25" s="13">
        <v>6.92337036327606</v>
      </c>
      <c r="Y25" s="13">
        <v>4.19200466614778</v>
      </c>
      <c r="Z25" s="13">
        <v>7.21961628956022</v>
      </c>
      <c r="AA25" s="13">
        <v>3.24173208490031</v>
      </c>
      <c r="AB25" s="13">
        <v>4.55894822000554</v>
      </c>
      <c r="AC25" s="13">
        <v>0</v>
      </c>
      <c r="AD25" s="13">
        <v>3.83487631565831</v>
      </c>
      <c r="AE25" s="13">
        <v>13.8716717278426</v>
      </c>
      <c r="AF25" s="13">
        <v>8.03679839406041</v>
      </c>
      <c r="AG25" s="13">
        <v>10.0030497972805</v>
      </c>
      <c r="AH25" s="13">
        <v>10.8763107083391</v>
      </c>
      <c r="AI25" s="13">
        <v>11.9220091974986</v>
      </c>
      <c r="AJ25" s="13">
        <v>23.0551640682776</v>
      </c>
    </row>
    <row r="26" spans="1:36">
      <c r="A26" s="14" t="s">
        <v>24</v>
      </c>
      <c r="B26" s="13">
        <v>25.04</v>
      </c>
      <c r="C26" s="13">
        <v>102.42</v>
      </c>
      <c r="D26" s="13"/>
      <c r="E26" s="14" t="s">
        <v>24</v>
      </c>
      <c r="F26" s="13">
        <v>18.5799133217509</v>
      </c>
      <c r="G26" s="13">
        <v>18.6768531415402</v>
      </c>
      <c r="H26" s="13">
        <v>16.4310983096021</v>
      </c>
      <c r="I26" s="13">
        <v>15.0770417594804</v>
      </c>
      <c r="J26" s="13">
        <v>17.1678594968689</v>
      </c>
      <c r="K26" s="13">
        <v>23.8294990819275</v>
      </c>
      <c r="L26" s="13">
        <v>26.2154267299422</v>
      </c>
      <c r="M26" s="13">
        <v>28.0433039591065</v>
      </c>
      <c r="N26" s="13">
        <v>17.7001623999499</v>
      </c>
      <c r="O26" s="13">
        <v>15.7056852450772</v>
      </c>
      <c r="P26" s="13">
        <v>16.4615977247</v>
      </c>
      <c r="Q26" s="13">
        <v>14.4972498072842</v>
      </c>
      <c r="R26" s="13">
        <v>15.1449490821882</v>
      </c>
      <c r="S26" s="13">
        <v>12.1918728053755</v>
      </c>
      <c r="T26" s="13">
        <v>16.8779951518101</v>
      </c>
      <c r="U26" s="13">
        <v>13.3841833030251</v>
      </c>
      <c r="V26" s="13">
        <v>11.6710053198457</v>
      </c>
      <c r="W26" s="13">
        <v>9.59840811623044</v>
      </c>
      <c r="X26" s="13">
        <v>9.97985287088826</v>
      </c>
      <c r="Y26" s="13">
        <v>5.86777433373029</v>
      </c>
      <c r="Z26" s="13">
        <v>8.76244300716011</v>
      </c>
      <c r="AA26" s="13">
        <v>5.83854892412294</v>
      </c>
      <c r="AB26" s="13">
        <v>5.54827877016222</v>
      </c>
      <c r="AC26" s="13">
        <v>3.83487631565831</v>
      </c>
      <c r="AD26" s="13">
        <v>0</v>
      </c>
      <c r="AE26" s="13">
        <v>10.9664284669384</v>
      </c>
      <c r="AF26" s="13">
        <v>10.5746257933909</v>
      </c>
      <c r="AG26" s="13">
        <v>11.0397361505789</v>
      </c>
      <c r="AH26" s="13">
        <v>11.3685684708915</v>
      </c>
      <c r="AI26" s="13">
        <v>13.60405844966</v>
      </c>
      <c r="AJ26" s="13">
        <v>22.1453946557608</v>
      </c>
    </row>
    <row r="27" spans="1:36">
      <c r="A27" s="14" t="s">
        <v>25</v>
      </c>
      <c r="B27" s="13">
        <v>29.41</v>
      </c>
      <c r="C27" s="13">
        <v>91.1</v>
      </c>
      <c r="D27" s="13"/>
      <c r="E27" s="14" t="s">
        <v>25</v>
      </c>
      <c r="F27" s="13">
        <v>22.9637325256658</v>
      </c>
      <c r="G27" s="13">
        <v>23.455874634573</v>
      </c>
      <c r="H27" s="13">
        <v>21.0551272987646</v>
      </c>
      <c r="I27" s="13">
        <v>19.4259579210906</v>
      </c>
      <c r="J27" s="13">
        <v>19.915184857665</v>
      </c>
      <c r="K27" s="13">
        <v>28.6199817041584</v>
      </c>
      <c r="L27" s="13">
        <v>30.5449781785</v>
      </c>
      <c r="M27" s="13">
        <v>31.8989797279714</v>
      </c>
      <c r="N27" s="13">
        <v>26.0498390921458</v>
      </c>
      <c r="O27" s="13">
        <v>23.6030280881385</v>
      </c>
      <c r="P27" s="13">
        <v>25.112272856955</v>
      </c>
      <c r="Q27" s="13">
        <v>22.5166571231301</v>
      </c>
      <c r="R27" s="13">
        <v>25.0202415072173</v>
      </c>
      <c r="S27" s="13">
        <v>21.3889440451186</v>
      </c>
      <c r="T27" s="13">
        <v>22.7589172530125</v>
      </c>
      <c r="U27" s="13">
        <v>19.5415605711636</v>
      </c>
      <c r="V27" s="13">
        <v>19.9910519451159</v>
      </c>
      <c r="W27" s="13">
        <v>18.8557306632594</v>
      </c>
      <c r="X27" s="13">
        <v>20.7170799674081</v>
      </c>
      <c r="Y27" s="13">
        <v>16.833190628987</v>
      </c>
      <c r="Z27" s="13">
        <v>19.687857387971</v>
      </c>
      <c r="AA27" s="13">
        <v>13.4295755179275</v>
      </c>
      <c r="AB27" s="13">
        <v>11.2544823420513</v>
      </c>
      <c r="AC27" s="13">
        <v>13.8716717278426</v>
      </c>
      <c r="AD27" s="13">
        <v>10.9664284669384</v>
      </c>
      <c r="AE27" s="13">
        <v>0</v>
      </c>
      <c r="AF27" s="13">
        <v>15.5694236972321</v>
      </c>
      <c r="AG27" s="13">
        <v>12.3514204714935</v>
      </c>
      <c r="AH27" s="13">
        <v>11.1477446410164</v>
      </c>
      <c r="AI27" s="13">
        <v>15.2955780720991</v>
      </c>
      <c r="AJ27" s="13">
        <v>14.3546372892306</v>
      </c>
    </row>
    <row r="28" spans="1:36">
      <c r="A28" s="14" t="s">
        <v>26</v>
      </c>
      <c r="B28" s="13">
        <v>34.17</v>
      </c>
      <c r="C28" s="13">
        <v>108.57</v>
      </c>
      <c r="D28" s="13"/>
      <c r="E28" s="14" t="s">
        <v>26</v>
      </c>
      <c r="F28" s="13">
        <v>8.15536728840743</v>
      </c>
      <c r="G28" s="13">
        <v>8.39871984117543</v>
      </c>
      <c r="H28" s="13">
        <v>6.01938274656522</v>
      </c>
      <c r="I28" s="13">
        <v>4.54269310557686</v>
      </c>
      <c r="J28" s="13">
        <v>6.70088806394426</v>
      </c>
      <c r="K28" s="13">
        <v>13.6785393632629</v>
      </c>
      <c r="L28" s="13">
        <v>15.9292554154903</v>
      </c>
      <c r="M28" s="13">
        <v>17.6441002825799</v>
      </c>
      <c r="N28" s="13">
        <v>11.1209310485749</v>
      </c>
      <c r="O28" s="13">
        <v>8.55291620753846</v>
      </c>
      <c r="P28" s="13">
        <v>10.5436361789407</v>
      </c>
      <c r="Q28" s="13">
        <v>7.69261741426724</v>
      </c>
      <c r="R28" s="13">
        <v>12.2405752390062</v>
      </c>
      <c r="S28" s="13">
        <v>8.29455682008352</v>
      </c>
      <c r="T28" s="13">
        <v>7.23062210827718</v>
      </c>
      <c r="U28" s="13">
        <v>3.99948397611616</v>
      </c>
      <c r="V28" s="13">
        <v>6.08231385759868</v>
      </c>
      <c r="W28" s="13">
        <v>6.95813209111944</v>
      </c>
      <c r="X28" s="13">
        <v>11.7890785880956</v>
      </c>
      <c r="Y28" s="13">
        <v>11.6947536995066</v>
      </c>
      <c r="Z28" s="13">
        <v>14.2235380496345</v>
      </c>
      <c r="AA28" s="13">
        <v>4.89329488535212</v>
      </c>
      <c r="AB28" s="13">
        <v>5.37265832158168</v>
      </c>
      <c r="AC28" s="13">
        <v>8.03679839406041</v>
      </c>
      <c r="AD28" s="13">
        <v>10.5746257933909</v>
      </c>
      <c r="AE28" s="13">
        <v>15.5694236972321</v>
      </c>
      <c r="AF28" s="13">
        <v>0</v>
      </c>
      <c r="AG28" s="13">
        <v>4.54154062900581</v>
      </c>
      <c r="AH28" s="13">
        <v>6.19376521688962</v>
      </c>
      <c r="AI28" s="13">
        <v>4.53715875221164</v>
      </c>
      <c r="AJ28" s="13">
        <v>18.8754222345359</v>
      </c>
    </row>
    <row r="29" spans="1:36">
      <c r="A29" s="14" t="s">
        <v>27</v>
      </c>
      <c r="B29" s="13">
        <v>36.04</v>
      </c>
      <c r="C29" s="13">
        <v>103.51</v>
      </c>
      <c r="D29" s="13"/>
      <c r="E29" s="14" t="s">
        <v>27</v>
      </c>
      <c r="F29" s="13">
        <v>10.6426119116503</v>
      </c>
      <c r="G29" s="13">
        <v>11.1846732193539</v>
      </c>
      <c r="H29" s="13">
        <v>8.83286949426528</v>
      </c>
      <c r="I29" s="13">
        <v>7.21790981161932</v>
      </c>
      <c r="J29" s="13">
        <v>7.62325818908529</v>
      </c>
      <c r="K29" s="13">
        <v>16.2814062790559</v>
      </c>
      <c r="L29" s="13">
        <v>18.1983074119348</v>
      </c>
      <c r="M29" s="13">
        <v>19.6015959179032</v>
      </c>
      <c r="N29" s="13">
        <v>15.5731941579826</v>
      </c>
      <c r="O29" s="13">
        <v>13.0055778866574</v>
      </c>
      <c r="P29" s="13">
        <v>15.064235678803</v>
      </c>
      <c r="Q29" s="13">
        <v>12.2063620451426</v>
      </c>
      <c r="R29" s="13">
        <v>16.6969309727371</v>
      </c>
      <c r="S29" s="13">
        <v>12.7152040581076</v>
      </c>
      <c r="T29" s="13">
        <v>10.8802171777101</v>
      </c>
      <c r="U29" s="13">
        <v>8.22576769593614</v>
      </c>
      <c r="V29" s="13">
        <v>10.5703105126242</v>
      </c>
      <c r="W29" s="13">
        <v>11.0307074781436</v>
      </c>
      <c r="X29" s="13">
        <v>15.4109816696137</v>
      </c>
      <c r="Y29" s="13">
        <v>14.1559104176252</v>
      </c>
      <c r="Z29" s="13">
        <v>17.0611218074885</v>
      </c>
      <c r="AA29" s="13">
        <v>6.93334338327357</v>
      </c>
      <c r="AB29" s="13">
        <v>5.65736913808964</v>
      </c>
      <c r="AC29" s="13">
        <v>10.0030497972805</v>
      </c>
      <c r="AD29" s="13">
        <v>11.0397361505789</v>
      </c>
      <c r="AE29" s="13">
        <v>12.3514204714935</v>
      </c>
      <c r="AF29" s="13">
        <v>4.54154062900581</v>
      </c>
      <c r="AG29" s="13">
        <v>0</v>
      </c>
      <c r="AH29" s="13">
        <v>1.67280123124534</v>
      </c>
      <c r="AI29" s="13">
        <v>3.07113697496595</v>
      </c>
      <c r="AJ29" s="13">
        <v>14.4231362306128</v>
      </c>
    </row>
    <row r="30" spans="1:36">
      <c r="A30" s="14" t="s">
        <v>28</v>
      </c>
      <c r="B30" s="13">
        <v>36.38</v>
      </c>
      <c r="C30" s="13">
        <v>101.48</v>
      </c>
      <c r="D30" s="13"/>
      <c r="E30" s="14" t="s">
        <v>28</v>
      </c>
      <c r="F30" s="13">
        <v>12.0447933336047</v>
      </c>
      <c r="G30" s="13">
        <v>12.6361023548776</v>
      </c>
      <c r="H30" s="13">
        <v>10.3337187464971</v>
      </c>
      <c r="I30" s="13">
        <v>8.74196270831575</v>
      </c>
      <c r="J30" s="13">
        <v>8.78562545002083</v>
      </c>
      <c r="K30" s="13">
        <v>17.6317451018488</v>
      </c>
      <c r="L30" s="13">
        <v>19.4485874114142</v>
      </c>
      <c r="M30" s="13">
        <v>20.7563735406363</v>
      </c>
      <c r="N30" s="13">
        <v>17.2458136567442</v>
      </c>
      <c r="O30" s="13">
        <v>14.6779917147599</v>
      </c>
      <c r="P30" s="13">
        <v>16.7290493734452</v>
      </c>
      <c r="Q30" s="13">
        <v>13.8724464887538</v>
      </c>
      <c r="R30" s="13">
        <v>18.2771213107827</v>
      </c>
      <c r="S30" s="13">
        <v>14.2874022748479</v>
      </c>
      <c r="T30" s="13">
        <v>12.4800709922848</v>
      </c>
      <c r="U30" s="13">
        <v>9.89493114065569</v>
      </c>
      <c r="V30" s="13">
        <v>12.1782854122076</v>
      </c>
      <c r="W30" s="13">
        <v>12.4939215075102</v>
      </c>
      <c r="X30" s="13">
        <v>16.6855904873218</v>
      </c>
      <c r="Y30" s="13">
        <v>15.0673757048351</v>
      </c>
      <c r="Z30" s="13">
        <v>18.0535931423857</v>
      </c>
      <c r="AA30" s="13">
        <v>8.0042328248294</v>
      </c>
      <c r="AB30" s="13">
        <v>6.34975048107488</v>
      </c>
      <c r="AC30" s="13">
        <v>10.8763107083391</v>
      </c>
      <c r="AD30" s="13">
        <v>11.3685684708915</v>
      </c>
      <c r="AE30" s="13">
        <v>11.1477446410164</v>
      </c>
      <c r="AF30" s="13">
        <v>6.19376521688962</v>
      </c>
      <c r="AG30" s="13">
        <v>1.67280123124534</v>
      </c>
      <c r="AH30" s="13">
        <v>0</v>
      </c>
      <c r="AI30" s="13">
        <v>4.17324390931712</v>
      </c>
      <c r="AJ30" s="13">
        <v>12.906082571712</v>
      </c>
    </row>
    <row r="31" spans="1:36">
      <c r="A31" s="14" t="s">
        <v>29</v>
      </c>
      <c r="B31" s="13">
        <v>38.27</v>
      </c>
      <c r="C31" s="13">
        <v>106.16</v>
      </c>
      <c r="D31" s="13"/>
      <c r="E31" s="14" t="s">
        <v>29</v>
      </c>
      <c r="F31" s="13">
        <v>7.9429206284739</v>
      </c>
      <c r="G31" s="13">
        <v>8.58762599458178</v>
      </c>
      <c r="H31" s="13">
        <v>6.40451479266499</v>
      </c>
      <c r="I31" s="13">
        <v>4.92177480345996</v>
      </c>
      <c r="J31" s="13">
        <v>4.61986260542903</v>
      </c>
      <c r="K31" s="13">
        <v>13.4780708411467</v>
      </c>
      <c r="L31" s="13">
        <v>15.275608241305</v>
      </c>
      <c r="M31" s="13">
        <v>16.6049659331722</v>
      </c>
      <c r="N31" s="13">
        <v>14.3097026933939</v>
      </c>
      <c r="O31" s="13">
        <v>11.8196505288017</v>
      </c>
      <c r="P31" s="13">
        <v>14.0682520500969</v>
      </c>
      <c r="Q31" s="13">
        <v>11.2603944219846</v>
      </c>
      <c r="R31" s="13">
        <v>16.4213422013615</v>
      </c>
      <c r="S31" s="13">
        <v>12.5924622112806</v>
      </c>
      <c r="T31" s="13">
        <v>8.81378987878867</v>
      </c>
      <c r="U31" s="13">
        <v>6.96109279080603</v>
      </c>
      <c r="V31" s="13">
        <v>10.3107378932139</v>
      </c>
      <c r="W31" s="13">
        <v>11.4800726648083</v>
      </c>
      <c r="X31" s="13">
        <v>16.3195834787841</v>
      </c>
      <c r="Y31" s="13">
        <v>15.8855807514858</v>
      </c>
      <c r="Z31" s="13">
        <v>18.5824397184547</v>
      </c>
      <c r="AA31" s="13">
        <v>8.68569865596908</v>
      </c>
      <c r="AB31" s="13">
        <v>8.06162566562171</v>
      </c>
      <c r="AC31" s="13">
        <v>11.9220091974986</v>
      </c>
      <c r="AD31" s="13">
        <v>13.60405844966</v>
      </c>
      <c r="AE31" s="13">
        <v>15.2955780720991</v>
      </c>
      <c r="AF31" s="13">
        <v>4.53715875221164</v>
      </c>
      <c r="AG31" s="13">
        <v>3.07113697496595</v>
      </c>
      <c r="AH31" s="13">
        <v>4.17324390931712</v>
      </c>
      <c r="AI31" s="13">
        <v>0</v>
      </c>
      <c r="AJ31" s="13">
        <v>15.0922174207556</v>
      </c>
    </row>
    <row r="32" spans="1:36">
      <c r="A32" s="14" t="s">
        <v>30</v>
      </c>
      <c r="B32" s="13">
        <v>43.45</v>
      </c>
      <c r="C32" s="13">
        <v>87.36</v>
      </c>
      <c r="D32" s="13"/>
      <c r="E32" s="14" t="s">
        <v>30</v>
      </c>
      <c r="F32" s="13">
        <v>21.8645867840463</v>
      </c>
      <c r="G32" s="13">
        <v>22.6872538626569</v>
      </c>
      <c r="H32" s="13">
        <v>21.021060354498</v>
      </c>
      <c r="I32" s="13">
        <v>19.8003607557237</v>
      </c>
      <c r="J32" s="13">
        <v>18.0622163178966</v>
      </c>
      <c r="K32" s="13">
        <v>26.3437299474608</v>
      </c>
      <c r="L32" s="13">
        <v>27.2023086562317</v>
      </c>
      <c r="M32" s="13">
        <v>27.6401722332814</v>
      </c>
      <c r="N32" s="13">
        <v>29.4013555591378</v>
      </c>
      <c r="O32" s="13">
        <v>26.9072522345684</v>
      </c>
      <c r="P32" s="13">
        <v>29.1321714198793</v>
      </c>
      <c r="Q32" s="13">
        <v>26.2966738279042</v>
      </c>
      <c r="R32" s="13">
        <v>31.1055820961958</v>
      </c>
      <c r="S32" s="13">
        <v>27.132743754682</v>
      </c>
      <c r="T32" s="13">
        <v>23.6547956415962</v>
      </c>
      <c r="U32" s="13">
        <v>22.03539385692</v>
      </c>
      <c r="V32" s="13">
        <v>24.9558132408791</v>
      </c>
      <c r="W32" s="13">
        <v>25.3995408734813</v>
      </c>
      <c r="X32" s="13">
        <v>29.4258739250444</v>
      </c>
      <c r="Y32" s="13">
        <v>27.1363611202576</v>
      </c>
      <c r="Z32" s="13">
        <v>30.2239776988607</v>
      </c>
      <c r="AA32" s="13">
        <v>20.6354725155573</v>
      </c>
      <c r="AB32" s="13">
        <v>18.5896236568139</v>
      </c>
      <c r="AC32" s="13">
        <v>23.0551640682776</v>
      </c>
      <c r="AD32" s="13">
        <v>22.1453946557608</v>
      </c>
      <c r="AE32" s="13">
        <v>14.3546372892306</v>
      </c>
      <c r="AF32" s="13">
        <v>18.8754222345359</v>
      </c>
      <c r="AG32" s="13">
        <v>14.4231362306128</v>
      </c>
      <c r="AH32" s="13">
        <v>12.906082571712</v>
      </c>
      <c r="AI32" s="13">
        <v>15.0922174207556</v>
      </c>
      <c r="AJ32" s="13">
        <v>0</v>
      </c>
    </row>
    <row r="33" spans="2:36">
      <c r="B33" s="13"/>
      <c r="C33" s="13"/>
      <c r="D33" s="13"/>
      <c r="E33" s="14" t="s">
        <v>52</v>
      </c>
      <c r="F33" s="14" t="s">
        <v>0</v>
      </c>
      <c r="G33" s="14" t="s">
        <v>1</v>
      </c>
      <c r="H33" s="14" t="s">
        <v>2</v>
      </c>
      <c r="I33" s="14" t="s">
        <v>3</v>
      </c>
      <c r="J33" s="14" t="s">
        <v>4</v>
      </c>
      <c r="K33" s="14" t="s">
        <v>5</v>
      </c>
      <c r="L33" s="14" t="s">
        <v>6</v>
      </c>
      <c r="M33" s="14" t="s">
        <v>7</v>
      </c>
      <c r="N33" s="14" t="s">
        <v>8</v>
      </c>
      <c r="O33" s="14" t="s">
        <v>9</v>
      </c>
      <c r="P33" s="14" t="s">
        <v>10</v>
      </c>
      <c r="Q33" s="14" t="s">
        <v>11</v>
      </c>
      <c r="R33" s="14" t="s">
        <v>12</v>
      </c>
      <c r="S33" s="14" t="s">
        <v>13</v>
      </c>
      <c r="T33" s="14" t="s">
        <v>14</v>
      </c>
      <c r="U33" s="14" t="s">
        <v>15</v>
      </c>
      <c r="V33" s="14" t="s">
        <v>16</v>
      </c>
      <c r="W33" s="14" t="s">
        <v>17</v>
      </c>
      <c r="X33" s="14" t="s">
        <v>18</v>
      </c>
      <c r="Y33" s="14" t="s">
        <v>19</v>
      </c>
      <c r="Z33" s="14" t="s">
        <v>20</v>
      </c>
      <c r="AA33" s="14" t="s">
        <v>21</v>
      </c>
      <c r="AB33" s="14" t="s">
        <v>22</v>
      </c>
      <c r="AC33" s="14" t="s">
        <v>23</v>
      </c>
      <c r="AD33" s="14" t="s">
        <v>24</v>
      </c>
      <c r="AE33" s="14" t="s">
        <v>25</v>
      </c>
      <c r="AF33" s="14" t="s">
        <v>26</v>
      </c>
      <c r="AG33" s="14" t="s">
        <v>27</v>
      </c>
      <c r="AH33" s="14" t="s">
        <v>28</v>
      </c>
      <c r="AI33" s="14" t="s">
        <v>29</v>
      </c>
      <c r="AJ33" s="14" t="s">
        <v>30</v>
      </c>
    </row>
    <row r="34" spans="1:36">
      <c r="A34" s="13"/>
      <c r="B34" s="13"/>
      <c r="C34" s="17" t="s">
        <v>53</v>
      </c>
      <c r="D34" s="17"/>
      <c r="E34" s="14" t="s">
        <v>0</v>
      </c>
      <c r="F34" s="13">
        <f t="shared" ref="F34:U59" si="0">F2*PI()/180*6378.2</f>
        <v>0</v>
      </c>
      <c r="G34" s="13">
        <f t="shared" ref="G34:AJ34" si="1">G2*PI()/180*6378.2</f>
        <v>96.0728325361733</v>
      </c>
      <c r="H34" s="13">
        <f t="shared" si="1"/>
        <v>239.462629962376</v>
      </c>
      <c r="I34" s="13">
        <f t="shared" si="1"/>
        <v>407.314573595891</v>
      </c>
      <c r="J34" s="13">
        <f t="shared" si="1"/>
        <v>424.546994303621</v>
      </c>
      <c r="K34" s="13">
        <f t="shared" si="1"/>
        <v>630.730270861938</v>
      </c>
      <c r="L34" s="13">
        <f t="shared" si="1"/>
        <v>867.221576834813</v>
      </c>
      <c r="M34" s="13">
        <f t="shared" si="1"/>
        <v>1056.85672871645</v>
      </c>
      <c r="N34" s="13">
        <f t="shared" si="1"/>
        <v>1041.99706259126</v>
      </c>
      <c r="O34" s="13">
        <f t="shared" si="1"/>
        <v>860.711725468379</v>
      </c>
      <c r="P34" s="13">
        <f t="shared" si="1"/>
        <v>1102.85406551909</v>
      </c>
      <c r="Q34" s="13">
        <f t="shared" si="1"/>
        <v>897.849134099012</v>
      </c>
      <c r="R34" s="13">
        <f t="shared" si="1"/>
        <v>1527.54044154719</v>
      </c>
      <c r="S34" s="13">
        <f t="shared" si="1"/>
        <v>1242.8457609518</v>
      </c>
      <c r="T34" s="13">
        <f t="shared" si="1"/>
        <v>356.940995175371</v>
      </c>
      <c r="U34" s="13">
        <f t="shared" si="1"/>
        <v>620.229339613097</v>
      </c>
      <c r="V34" s="13">
        <f t="shared" si="1"/>
        <v>1041.32870417477</v>
      </c>
      <c r="W34" s="13">
        <f t="shared" si="1"/>
        <v>1316.05387400003</v>
      </c>
      <c r="X34" s="13">
        <f t="shared" si="1"/>
        <v>1856.65957600693</v>
      </c>
      <c r="Y34" s="13">
        <f t="shared" si="1"/>
        <v>2047.28335622224</v>
      </c>
      <c r="Z34" s="13">
        <f t="shared" si="1"/>
        <v>2249.56683754077</v>
      </c>
      <c r="AA34" s="13">
        <f t="shared" si="1"/>
        <v>1419.32323628685</v>
      </c>
      <c r="AB34" s="13">
        <f t="shared" si="1"/>
        <v>1505.94613568429</v>
      </c>
      <c r="AC34" s="13">
        <f t="shared" si="1"/>
        <v>1729.64395326616</v>
      </c>
      <c r="AD34" s="13">
        <f t="shared" si="1"/>
        <v>2068.32691964219</v>
      </c>
      <c r="AE34" s="13">
        <f t="shared" si="1"/>
        <v>2556.33626141274</v>
      </c>
      <c r="AF34" s="13">
        <f t="shared" si="1"/>
        <v>907.860301072321</v>
      </c>
      <c r="AG34" s="13">
        <f t="shared" si="1"/>
        <v>1184.74184087833</v>
      </c>
      <c r="AH34" s="13">
        <f t="shared" si="1"/>
        <v>1340.83350454908</v>
      </c>
      <c r="AI34" s="13">
        <f t="shared" si="1"/>
        <v>884.210613470486</v>
      </c>
      <c r="AJ34" s="13">
        <f t="shared" si="1"/>
        <v>2433.9787085742</v>
      </c>
    </row>
    <row r="35" spans="1:36">
      <c r="A35" s="13"/>
      <c r="B35" s="13"/>
      <c r="C35" s="13"/>
      <c r="D35" s="13"/>
      <c r="E35" s="14" t="s">
        <v>1</v>
      </c>
      <c r="F35" s="13">
        <f t="shared" si="0"/>
        <v>96.0728325361733</v>
      </c>
      <c r="G35" s="13">
        <f t="shared" ref="G35:AE35" si="2">G3*PI()/180*6378.2</f>
        <v>0</v>
      </c>
      <c r="H35" s="13">
        <f t="shared" si="2"/>
        <v>269.644247142622</v>
      </c>
      <c r="I35" s="13">
        <f t="shared" si="2"/>
        <v>449.760634418481</v>
      </c>
      <c r="J35" s="13">
        <f t="shared" si="2"/>
        <v>514.907135458759</v>
      </c>
      <c r="K35" s="13">
        <f t="shared" si="2"/>
        <v>588.22924648326</v>
      </c>
      <c r="L35" s="13">
        <f t="shared" si="2"/>
        <v>841.333340393393</v>
      </c>
      <c r="M35" s="13">
        <f t="shared" si="2"/>
        <v>1043.1539497055</v>
      </c>
      <c r="N35" s="13">
        <f t="shared" si="2"/>
        <v>955.623790960875</v>
      </c>
      <c r="O35" s="13">
        <f t="shared" si="2"/>
        <v>787.515104853059</v>
      </c>
      <c r="P35" s="13">
        <f t="shared" si="2"/>
        <v>1023.23192900508</v>
      </c>
      <c r="Q35" s="13">
        <f t="shared" si="2"/>
        <v>834.91675057893</v>
      </c>
      <c r="R35" s="13">
        <f t="shared" si="2"/>
        <v>1456.59189228351</v>
      </c>
      <c r="S35" s="13">
        <f t="shared" si="2"/>
        <v>1191.07111100087</v>
      </c>
      <c r="T35" s="13">
        <f t="shared" si="2"/>
        <v>291.851255088244</v>
      </c>
      <c r="U35" s="13">
        <f t="shared" si="2"/>
        <v>606.330671954136</v>
      </c>
      <c r="V35" s="13">
        <f t="shared" si="2"/>
        <v>1002.04248464378</v>
      </c>
      <c r="W35" s="13">
        <f t="shared" si="2"/>
        <v>1283.59072775641</v>
      </c>
      <c r="X35" s="13">
        <f t="shared" si="2"/>
        <v>1814.05257163807</v>
      </c>
      <c r="Y35" s="13">
        <f t="shared" si="2"/>
        <v>2027.10806444468</v>
      </c>
      <c r="Z35" s="13">
        <f t="shared" si="2"/>
        <v>2216.91309966737</v>
      </c>
      <c r="AA35" s="13">
        <f t="shared" si="2"/>
        <v>1429.16928864307</v>
      </c>
      <c r="AB35" s="13">
        <f t="shared" si="2"/>
        <v>1531.29990903119</v>
      </c>
      <c r="AC35" s="13">
        <f t="shared" si="2"/>
        <v>1727.51952576933</v>
      </c>
      <c r="AD35" s="13">
        <f t="shared" si="2"/>
        <v>2079.11831760962</v>
      </c>
      <c r="AE35" s="13">
        <f t="shared" si="2"/>
        <v>2611.12181151273</v>
      </c>
      <c r="AF35" s="13">
        <f t="shared" ref="AF35:AJ42" si="3">AF3*PI()/180*6378.2</f>
        <v>934.950450909806</v>
      </c>
      <c r="AG35" s="13">
        <f t="shared" si="3"/>
        <v>1245.08442565817</v>
      </c>
      <c r="AH35" s="13">
        <f t="shared" si="3"/>
        <v>1406.65837387687</v>
      </c>
      <c r="AI35" s="13">
        <f t="shared" si="3"/>
        <v>955.979595427881</v>
      </c>
      <c r="AJ35" s="13">
        <f t="shared" si="3"/>
        <v>2525.55849342722</v>
      </c>
    </row>
    <row r="36" spans="1:36">
      <c r="A36" s="13"/>
      <c r="B36" s="13"/>
      <c r="C36" s="13"/>
      <c r="D36" s="13"/>
      <c r="E36" s="14" t="s">
        <v>2</v>
      </c>
      <c r="F36" s="13">
        <f t="shared" si="0"/>
        <v>239.462629962376</v>
      </c>
      <c r="G36" s="13">
        <f t="shared" ref="G36:AE36" si="4">G4*PI()/180*6378.2</f>
        <v>269.644247142622</v>
      </c>
      <c r="H36" s="13">
        <f t="shared" si="4"/>
        <v>0</v>
      </c>
      <c r="I36" s="13">
        <f t="shared" si="4"/>
        <v>181.374106052047</v>
      </c>
      <c r="J36" s="13">
        <f t="shared" si="4"/>
        <v>370.172093783404</v>
      </c>
      <c r="K36" s="13">
        <f t="shared" si="4"/>
        <v>856.792122361634</v>
      </c>
      <c r="L36" s="13">
        <f t="shared" si="4"/>
        <v>1103.20886750061</v>
      </c>
      <c r="M36" s="13">
        <f t="shared" si="4"/>
        <v>1296.03400213049</v>
      </c>
      <c r="N36" s="13">
        <f t="shared" si="4"/>
        <v>997.831245656235</v>
      </c>
      <c r="O36" s="13">
        <f t="shared" si="4"/>
        <v>766.880038009411</v>
      </c>
      <c r="P36" s="13">
        <f t="shared" si="4"/>
        <v>1024.87071357936</v>
      </c>
      <c r="Q36" s="13">
        <f t="shared" si="4"/>
        <v>769.587661659506</v>
      </c>
      <c r="R36" s="13">
        <f t="shared" si="4"/>
        <v>1409.23336522984</v>
      </c>
      <c r="S36" s="13">
        <f t="shared" si="4"/>
        <v>1077.18003422968</v>
      </c>
      <c r="T36" s="13">
        <f t="shared" si="4"/>
        <v>299.682665098689</v>
      </c>
      <c r="U36" s="13">
        <f t="shared" si="4"/>
        <v>404.448924205638</v>
      </c>
      <c r="V36" s="13">
        <f t="shared" si="4"/>
        <v>853.912548957864</v>
      </c>
      <c r="W36" s="13">
        <f t="shared" si="4"/>
        <v>1113.49408816973</v>
      </c>
      <c r="X36" s="13">
        <f t="shared" si="4"/>
        <v>1666.80026524338</v>
      </c>
      <c r="Y36" s="13">
        <f t="shared" si="4"/>
        <v>1825.78048293531</v>
      </c>
      <c r="Z36" s="13">
        <f t="shared" si="4"/>
        <v>2042.50796279743</v>
      </c>
      <c r="AA36" s="13">
        <f t="shared" si="4"/>
        <v>1180.45283852316</v>
      </c>
      <c r="AB36" s="13">
        <f t="shared" si="4"/>
        <v>1267.99182796323</v>
      </c>
      <c r="AC36" s="13">
        <f t="shared" si="4"/>
        <v>1494.80212156415</v>
      </c>
      <c r="AD36" s="13">
        <f t="shared" si="4"/>
        <v>1829.11956393533</v>
      </c>
      <c r="AE36" s="13">
        <f t="shared" si="4"/>
        <v>2343.86920080766</v>
      </c>
      <c r="AF36" s="13">
        <f t="shared" si="3"/>
        <v>670.081240894472</v>
      </c>
      <c r="AG36" s="13">
        <f t="shared" si="3"/>
        <v>983.280246592321</v>
      </c>
      <c r="AH36" s="13">
        <f t="shared" si="3"/>
        <v>1150.35567137818</v>
      </c>
      <c r="AI36" s="13">
        <f t="shared" si="3"/>
        <v>712.954367629273</v>
      </c>
      <c r="AJ36" s="13">
        <f t="shared" si="3"/>
        <v>2340.07684846046</v>
      </c>
    </row>
    <row r="37" spans="1:36">
      <c r="A37" s="13"/>
      <c r="B37" s="13"/>
      <c r="C37" s="13"/>
      <c r="D37" s="13"/>
      <c r="E37" s="14" t="s">
        <v>3</v>
      </c>
      <c r="F37" s="13">
        <f t="shared" si="0"/>
        <v>407.314573595891</v>
      </c>
      <c r="G37" s="13">
        <f t="shared" ref="G37:AE37" si="5">G5*PI()/180*6378.2</f>
        <v>449.760634418481</v>
      </c>
      <c r="H37" s="13">
        <f t="shared" si="5"/>
        <v>181.374106052047</v>
      </c>
      <c r="I37" s="13">
        <f t="shared" si="5"/>
        <v>0</v>
      </c>
      <c r="J37" s="13">
        <f t="shared" si="5"/>
        <v>336.81251790552</v>
      </c>
      <c r="K37" s="13">
        <f t="shared" si="5"/>
        <v>1034.32845312902</v>
      </c>
      <c r="L37" s="13">
        <f t="shared" si="5"/>
        <v>1274.42621882596</v>
      </c>
      <c r="M37" s="13">
        <f t="shared" si="5"/>
        <v>1460.08281464659</v>
      </c>
      <c r="N37" s="13">
        <f t="shared" si="5"/>
        <v>1088.00016369341</v>
      </c>
      <c r="O37" s="13">
        <f t="shared" si="5"/>
        <v>830.448487240243</v>
      </c>
      <c r="P37" s="13">
        <f t="shared" si="5"/>
        <v>1090.43074411838</v>
      </c>
      <c r="Q37" s="13">
        <f t="shared" si="5"/>
        <v>803.521677706882</v>
      </c>
      <c r="R37" s="13">
        <f t="shared" si="5"/>
        <v>1432.79749637629</v>
      </c>
      <c r="S37" s="13">
        <f t="shared" si="5"/>
        <v>1060.77327450484</v>
      </c>
      <c r="T37" s="13">
        <f t="shared" si="5"/>
        <v>434.245492221515</v>
      </c>
      <c r="U37" s="13">
        <f t="shared" si="5"/>
        <v>356.1436583295</v>
      </c>
      <c r="V37" s="13">
        <f t="shared" si="5"/>
        <v>818.178045059921</v>
      </c>
      <c r="W37" s="13">
        <f t="shared" si="5"/>
        <v>1048.92052074702</v>
      </c>
      <c r="X37" s="13">
        <f t="shared" si="5"/>
        <v>1611.55660852359</v>
      </c>
      <c r="Y37" s="13">
        <f t="shared" si="5"/>
        <v>1722.79442900444</v>
      </c>
      <c r="Z37" s="13">
        <f t="shared" si="5"/>
        <v>1961.21358831784</v>
      </c>
      <c r="AA37" s="13">
        <f t="shared" si="5"/>
        <v>1034.65976853816</v>
      </c>
      <c r="AB37" s="13">
        <f t="shared" si="5"/>
        <v>1102.44963265385</v>
      </c>
      <c r="AC37" s="13">
        <f t="shared" si="5"/>
        <v>1364.23917851758</v>
      </c>
      <c r="AD37" s="13">
        <f t="shared" si="5"/>
        <v>1678.38518940755</v>
      </c>
      <c r="AE37" s="13">
        <f t="shared" si="5"/>
        <v>2162.50910390371</v>
      </c>
      <c r="AF37" s="13">
        <f t="shared" si="3"/>
        <v>505.695278294881</v>
      </c>
      <c r="AG37" s="13">
        <f t="shared" si="3"/>
        <v>803.501981327589</v>
      </c>
      <c r="AH37" s="13">
        <f t="shared" si="3"/>
        <v>973.160449513534</v>
      </c>
      <c r="AI37" s="13">
        <f t="shared" si="3"/>
        <v>547.894876694375</v>
      </c>
      <c r="AJ37" s="13">
        <f t="shared" si="3"/>
        <v>2204.18784848404</v>
      </c>
    </row>
    <row r="38" spans="1:36">
      <c r="A38" s="13"/>
      <c r="B38" s="13"/>
      <c r="C38" s="13"/>
      <c r="D38" s="13"/>
      <c r="E38" s="14" t="s">
        <v>4</v>
      </c>
      <c r="F38" s="13">
        <f t="shared" si="0"/>
        <v>424.546994303621</v>
      </c>
      <c r="G38" s="13">
        <f t="shared" ref="G38:AE38" si="6">G6*PI()/180*6378.2</f>
        <v>514.907135458759</v>
      </c>
      <c r="H38" s="13">
        <f t="shared" si="6"/>
        <v>370.172093783404</v>
      </c>
      <c r="I38" s="13">
        <f t="shared" si="6"/>
        <v>336.81251790552</v>
      </c>
      <c r="J38" s="13">
        <f t="shared" si="6"/>
        <v>0</v>
      </c>
      <c r="K38" s="13">
        <f t="shared" si="6"/>
        <v>1000.44434199554</v>
      </c>
      <c r="L38" s="13">
        <f t="shared" si="6"/>
        <v>1187.98820596138</v>
      </c>
      <c r="M38" s="13">
        <f t="shared" si="6"/>
        <v>1334.54010732381</v>
      </c>
      <c r="N38" s="13">
        <f t="shared" si="6"/>
        <v>1367.99016680856</v>
      </c>
      <c r="O38" s="13">
        <f t="shared" si="6"/>
        <v>1132.82002515092</v>
      </c>
      <c r="P38" s="13">
        <f t="shared" si="6"/>
        <v>1392.19178274571</v>
      </c>
      <c r="Q38" s="13">
        <f t="shared" si="6"/>
        <v>1123.59812206407</v>
      </c>
      <c r="R38" s="13">
        <f t="shared" si="6"/>
        <v>1759.78511819285</v>
      </c>
      <c r="S38" s="13">
        <f t="shared" si="6"/>
        <v>1396.96518914554</v>
      </c>
      <c r="T38" s="13">
        <f t="shared" si="6"/>
        <v>665.950934252081</v>
      </c>
      <c r="U38" s="13">
        <f t="shared" si="6"/>
        <v>692.772733664006</v>
      </c>
      <c r="V38" s="13">
        <f t="shared" si="6"/>
        <v>1154.9630345832</v>
      </c>
      <c r="W38" s="13">
        <f t="shared" si="6"/>
        <v>1380.15519475379</v>
      </c>
      <c r="X38" s="13">
        <f t="shared" si="6"/>
        <v>1943.76964667783</v>
      </c>
      <c r="Y38" s="13">
        <f t="shared" si="6"/>
        <v>2026.54842679972</v>
      </c>
      <c r="Z38" s="13">
        <f t="shared" si="6"/>
        <v>2280.52533765561</v>
      </c>
      <c r="AA38" s="13">
        <f t="shared" si="6"/>
        <v>1290.41115047716</v>
      </c>
      <c r="AB38" s="13">
        <f t="shared" si="6"/>
        <v>1304.91785235428</v>
      </c>
      <c r="AC38" s="13">
        <f t="shared" si="6"/>
        <v>1639.09424671521</v>
      </c>
      <c r="AD38" s="13">
        <f t="shared" si="6"/>
        <v>1911.13625424936</v>
      </c>
      <c r="AE38" s="13">
        <f t="shared" si="6"/>
        <v>2216.97013529864</v>
      </c>
      <c r="AF38" s="13">
        <f t="shared" si="3"/>
        <v>745.94681515225</v>
      </c>
      <c r="AG38" s="13">
        <f t="shared" si="3"/>
        <v>848.6256020048</v>
      </c>
      <c r="AH38" s="13">
        <f t="shared" si="3"/>
        <v>978.021011696474</v>
      </c>
      <c r="AI38" s="13">
        <f t="shared" si="3"/>
        <v>514.285832575493</v>
      </c>
      <c r="AJ38" s="13">
        <f t="shared" si="3"/>
        <v>2010.69658355034</v>
      </c>
    </row>
    <row r="39" spans="1:36">
      <c r="A39" s="13"/>
      <c r="B39" s="13"/>
      <c r="C39" s="13"/>
      <c r="D39" s="13"/>
      <c r="E39" s="14" t="s">
        <v>5</v>
      </c>
      <c r="F39" s="13">
        <f t="shared" si="0"/>
        <v>630.730270861938</v>
      </c>
      <c r="G39" s="13">
        <f t="shared" ref="G39:AE39" si="7">G7*PI()/180*6378.2</f>
        <v>588.22924648326</v>
      </c>
      <c r="H39" s="13">
        <f t="shared" si="7"/>
        <v>856.792122361634</v>
      </c>
      <c r="I39" s="13">
        <f t="shared" si="7"/>
        <v>1034.32845312902</v>
      </c>
      <c r="J39" s="13">
        <f t="shared" si="7"/>
        <v>1000.44434199554</v>
      </c>
      <c r="K39" s="13">
        <f t="shared" si="7"/>
        <v>0</v>
      </c>
      <c r="L39" s="13">
        <f t="shared" si="7"/>
        <v>279.143796542604</v>
      </c>
      <c r="M39" s="13">
        <f t="shared" si="7"/>
        <v>507.326469419867</v>
      </c>
      <c r="N39" s="13">
        <f t="shared" si="7"/>
        <v>1164.31067386769</v>
      </c>
      <c r="O39" s="13">
        <f t="shared" si="7"/>
        <v>1134.91539676354</v>
      </c>
      <c r="P39" s="13">
        <f t="shared" si="7"/>
        <v>1291.56499612482</v>
      </c>
      <c r="Q39" s="13">
        <f t="shared" si="7"/>
        <v>1234.21140689151</v>
      </c>
      <c r="R39" s="13">
        <f t="shared" si="7"/>
        <v>1757.90964635654</v>
      </c>
      <c r="S39" s="13">
        <f t="shared" si="7"/>
        <v>1615.0368368758</v>
      </c>
      <c r="T39" s="13">
        <f t="shared" si="7"/>
        <v>782.286283568771</v>
      </c>
      <c r="U39" s="13">
        <f t="shared" si="7"/>
        <v>1163.85710948476</v>
      </c>
      <c r="V39" s="13">
        <f t="shared" si="7"/>
        <v>1483.01974510093</v>
      </c>
      <c r="W39" s="13">
        <f t="shared" si="7"/>
        <v>1774.81183649873</v>
      </c>
      <c r="X39" s="13">
        <f t="shared" si="7"/>
        <v>2254.55817683869</v>
      </c>
      <c r="Y39" s="13">
        <f t="shared" si="7"/>
        <v>2540.09545984163</v>
      </c>
      <c r="Z39" s="13">
        <f t="shared" si="7"/>
        <v>2688.1436283772</v>
      </c>
      <c r="AA39" s="13">
        <f t="shared" si="7"/>
        <v>2004.22451797692</v>
      </c>
      <c r="AB39" s="13">
        <f t="shared" si="7"/>
        <v>2117.81203946957</v>
      </c>
      <c r="AC39" s="13">
        <f t="shared" si="7"/>
        <v>2283.73185399116</v>
      </c>
      <c r="AD39" s="13">
        <f t="shared" si="7"/>
        <v>2652.71390556169</v>
      </c>
      <c r="AE39" s="13">
        <f t="shared" si="7"/>
        <v>3185.99325913321</v>
      </c>
      <c r="AF39" s="13">
        <f t="shared" si="3"/>
        <v>1522.70307705375</v>
      </c>
      <c r="AG39" s="13">
        <f t="shared" si="3"/>
        <v>1812.45575872413</v>
      </c>
      <c r="AH39" s="13">
        <f t="shared" si="3"/>
        <v>1962.77627365091</v>
      </c>
      <c r="AI39" s="13">
        <f t="shared" si="3"/>
        <v>1500.38680282504</v>
      </c>
      <c r="AJ39" s="13">
        <f t="shared" si="3"/>
        <v>2932.59956979081</v>
      </c>
    </row>
    <row r="40" spans="1:36">
      <c r="A40" s="13"/>
      <c r="B40" s="13"/>
      <c r="C40" s="13"/>
      <c r="D40" s="13"/>
      <c r="E40" s="14" t="s">
        <v>6</v>
      </c>
      <c r="F40" s="13">
        <f t="shared" si="0"/>
        <v>867.221576834813</v>
      </c>
      <c r="G40" s="13">
        <f t="shared" ref="G40:AE40" si="8">G8*PI()/180*6378.2</f>
        <v>841.333340393393</v>
      </c>
      <c r="H40" s="13">
        <f t="shared" si="8"/>
        <v>1103.20886750061</v>
      </c>
      <c r="I40" s="13">
        <f t="shared" si="8"/>
        <v>1274.42621882596</v>
      </c>
      <c r="J40" s="13">
        <f t="shared" si="8"/>
        <v>1187.98820596138</v>
      </c>
      <c r="K40" s="13">
        <f t="shared" si="8"/>
        <v>279.143796542604</v>
      </c>
      <c r="L40" s="13">
        <f t="shared" si="8"/>
        <v>0</v>
      </c>
      <c r="M40" s="13">
        <f t="shared" si="8"/>
        <v>231.010305223721</v>
      </c>
      <c r="N40" s="13">
        <f t="shared" si="8"/>
        <v>1422.42107887458</v>
      </c>
      <c r="O40" s="13">
        <f t="shared" si="8"/>
        <v>1410.26279672237</v>
      </c>
      <c r="P40" s="13">
        <f t="shared" si="8"/>
        <v>1556.12966873586</v>
      </c>
      <c r="Q40" s="13">
        <f t="shared" si="8"/>
        <v>1512.05611439763</v>
      </c>
      <c r="R40" s="13">
        <f t="shared" si="8"/>
        <v>2021.58135162485</v>
      </c>
      <c r="S40" s="13">
        <f t="shared" si="8"/>
        <v>1892.84855459351</v>
      </c>
      <c r="T40" s="13">
        <f t="shared" si="8"/>
        <v>1057.19252052203</v>
      </c>
      <c r="U40" s="13">
        <f t="shared" si="8"/>
        <v>1433.22375464462</v>
      </c>
      <c r="V40" s="13">
        <f t="shared" si="8"/>
        <v>1762.00339862792</v>
      </c>
      <c r="W40" s="13">
        <f t="shared" si="8"/>
        <v>2053.75719615191</v>
      </c>
      <c r="X40" s="13">
        <f t="shared" si="8"/>
        <v>2532.18906726722</v>
      </c>
      <c r="Y40" s="13">
        <f t="shared" si="8"/>
        <v>2818.58140517716</v>
      </c>
      <c r="Z40" s="13">
        <f t="shared" si="8"/>
        <v>2966.96628039935</v>
      </c>
      <c r="AA40" s="13">
        <f t="shared" si="8"/>
        <v>2268.66232600918</v>
      </c>
      <c r="AB40" s="13">
        <f t="shared" si="8"/>
        <v>2370.9508493366</v>
      </c>
      <c r="AC40" s="13">
        <f t="shared" si="8"/>
        <v>2555.81169612925</v>
      </c>
      <c r="AD40" s="13">
        <f t="shared" si="8"/>
        <v>2918.31677987275</v>
      </c>
      <c r="AE40" s="13">
        <f t="shared" si="8"/>
        <v>3400.28500307994</v>
      </c>
      <c r="AF40" s="13">
        <f t="shared" si="3"/>
        <v>1773.2541166995</v>
      </c>
      <c r="AG40" s="13">
        <f t="shared" si="3"/>
        <v>2025.84632448014</v>
      </c>
      <c r="AH40" s="13">
        <f t="shared" si="3"/>
        <v>2165.02823212587</v>
      </c>
      <c r="AI40" s="13">
        <f t="shared" si="3"/>
        <v>1700.48972738813</v>
      </c>
      <c r="AJ40" s="13">
        <f t="shared" si="3"/>
        <v>3028.17705851373</v>
      </c>
    </row>
    <row r="41" spans="1:36">
      <c r="A41" s="13"/>
      <c r="B41" s="13"/>
      <c r="C41" s="13"/>
      <c r="D41" s="13"/>
      <c r="E41" s="14" t="s">
        <v>7</v>
      </c>
      <c r="F41" s="13">
        <f t="shared" si="0"/>
        <v>1056.85672871645</v>
      </c>
      <c r="G41" s="13">
        <f t="shared" ref="G41:AE41" si="9">G9*PI()/180*6378.2</f>
        <v>1043.1539497055</v>
      </c>
      <c r="H41" s="13">
        <f t="shared" si="9"/>
        <v>1296.03400213049</v>
      </c>
      <c r="I41" s="13">
        <f t="shared" si="9"/>
        <v>1460.08281464659</v>
      </c>
      <c r="J41" s="13">
        <f t="shared" si="9"/>
        <v>1334.54010732381</v>
      </c>
      <c r="K41" s="13">
        <f t="shared" si="9"/>
        <v>507.326469419867</v>
      </c>
      <c r="L41" s="13">
        <f t="shared" si="9"/>
        <v>231.010305223721</v>
      </c>
      <c r="M41" s="13">
        <f t="shared" si="9"/>
        <v>0</v>
      </c>
      <c r="N41" s="13">
        <f t="shared" si="9"/>
        <v>1651.46855217717</v>
      </c>
      <c r="O41" s="13">
        <f t="shared" si="9"/>
        <v>1640.87365149131</v>
      </c>
      <c r="P41" s="13">
        <f t="shared" si="9"/>
        <v>1786.43472414534</v>
      </c>
      <c r="Q41" s="13">
        <f t="shared" si="9"/>
        <v>1741.51655417825</v>
      </c>
      <c r="R41" s="13">
        <f t="shared" si="9"/>
        <v>2251.54767625569</v>
      </c>
      <c r="S41" s="13">
        <f t="shared" si="9"/>
        <v>2122.34468099765</v>
      </c>
      <c r="T41" s="13">
        <f t="shared" si="9"/>
        <v>1275.86197109301</v>
      </c>
      <c r="U41" s="13">
        <f t="shared" si="9"/>
        <v>1644.2114412712</v>
      </c>
      <c r="V41" s="13">
        <f t="shared" si="9"/>
        <v>1986.99908636694</v>
      </c>
      <c r="W41" s="13">
        <f t="shared" si="9"/>
        <v>2278.4474679033</v>
      </c>
      <c r="X41" s="13">
        <f t="shared" si="9"/>
        <v>2761.84202625745</v>
      </c>
      <c r="Y41" s="13">
        <f t="shared" si="9"/>
        <v>3041.40083209024</v>
      </c>
      <c r="Z41" s="13">
        <f t="shared" si="9"/>
        <v>3195.02135055983</v>
      </c>
      <c r="AA41" s="13">
        <f t="shared" si="9"/>
        <v>2471.89346053081</v>
      </c>
      <c r="AB41" s="13">
        <f t="shared" si="9"/>
        <v>2562.04308480146</v>
      </c>
      <c r="AC41" s="13">
        <f t="shared" si="9"/>
        <v>2767.8139829997</v>
      </c>
      <c r="AD41" s="13">
        <f t="shared" si="9"/>
        <v>3121.79715211192</v>
      </c>
      <c r="AE41" s="13">
        <f t="shared" si="9"/>
        <v>3551.01325490286</v>
      </c>
      <c r="AF41" s="13">
        <f t="shared" si="3"/>
        <v>1964.15165966379</v>
      </c>
      <c r="AG41" s="13">
        <f t="shared" si="3"/>
        <v>2182.0612293969</v>
      </c>
      <c r="AH41" s="13">
        <f t="shared" si="3"/>
        <v>2310.61175608333</v>
      </c>
      <c r="AI41" s="13">
        <f t="shared" si="3"/>
        <v>1848.47461043403</v>
      </c>
      <c r="AJ41" s="13">
        <f t="shared" si="3"/>
        <v>3076.92029040398</v>
      </c>
    </row>
    <row r="42" spans="1:36">
      <c r="A42" s="13"/>
      <c r="B42" s="13"/>
      <c r="C42" s="13"/>
      <c r="D42" s="13"/>
      <c r="E42" s="14" t="s">
        <v>8</v>
      </c>
      <c r="F42" s="13">
        <f t="shared" si="0"/>
        <v>1041.99706259126</v>
      </c>
      <c r="G42" s="13">
        <f t="shared" ref="G42:AE42" si="10">G10*PI()/180*6378.2</f>
        <v>955.623790960875</v>
      </c>
      <c r="H42" s="13">
        <f t="shared" si="10"/>
        <v>997.831245656235</v>
      </c>
      <c r="I42" s="13">
        <f t="shared" si="10"/>
        <v>1088.00016369341</v>
      </c>
      <c r="J42" s="13">
        <f t="shared" si="10"/>
        <v>1367.99016680856</v>
      </c>
      <c r="K42" s="13">
        <f t="shared" si="10"/>
        <v>1164.31067386769</v>
      </c>
      <c r="L42" s="13">
        <f t="shared" si="10"/>
        <v>1422.42107887458</v>
      </c>
      <c r="M42" s="13">
        <f t="shared" si="10"/>
        <v>1651.46855217717</v>
      </c>
      <c r="N42" s="13">
        <f t="shared" si="10"/>
        <v>0</v>
      </c>
      <c r="O42" s="13">
        <f t="shared" si="10"/>
        <v>286.060654152997</v>
      </c>
      <c r="P42" s="13">
        <f t="shared" si="10"/>
        <v>157.761739724819</v>
      </c>
      <c r="Q42" s="13">
        <f t="shared" si="10"/>
        <v>394.017898039215</v>
      </c>
      <c r="R42" s="13">
        <f t="shared" si="10"/>
        <v>602.942428761771</v>
      </c>
      <c r="S42" s="13">
        <f t="shared" si="10"/>
        <v>632.846287328284</v>
      </c>
      <c r="T42" s="13">
        <f t="shared" si="10"/>
        <v>707.235620280246</v>
      </c>
      <c r="U42" s="13">
        <f t="shared" si="10"/>
        <v>825.265465219577</v>
      </c>
      <c r="V42" s="13">
        <f t="shared" si="10"/>
        <v>686.731630388448</v>
      </c>
      <c r="W42" s="13">
        <f t="shared" si="10"/>
        <v>906.129131458998</v>
      </c>
      <c r="X42" s="13">
        <f t="shared" si="10"/>
        <v>1206.27012204823</v>
      </c>
      <c r="Y42" s="13">
        <f t="shared" si="10"/>
        <v>1617.45646555269</v>
      </c>
      <c r="Z42" s="13">
        <f t="shared" si="10"/>
        <v>1662.83539675516</v>
      </c>
      <c r="AA42" s="13">
        <f t="shared" si="10"/>
        <v>1426.12083117573</v>
      </c>
      <c r="AB42" s="13">
        <f t="shared" si="10"/>
        <v>1650.3503190157</v>
      </c>
      <c r="AC42" s="13">
        <f t="shared" si="10"/>
        <v>1544.55664445801</v>
      </c>
      <c r="AD42" s="13">
        <f t="shared" si="10"/>
        <v>1970.39252766573</v>
      </c>
      <c r="AE42" s="13">
        <f t="shared" si="10"/>
        <v>2899.88346627847</v>
      </c>
      <c r="AF42" s="13">
        <f t="shared" si="3"/>
        <v>1237.98860957681</v>
      </c>
      <c r="AG42" s="13">
        <f t="shared" si="3"/>
        <v>1733.61716731273</v>
      </c>
      <c r="AH42" s="13">
        <f t="shared" si="3"/>
        <v>1919.81415734697</v>
      </c>
      <c r="AI42" s="13">
        <f t="shared" si="3"/>
        <v>1592.96455157164</v>
      </c>
      <c r="AJ42" s="13">
        <f t="shared" si="3"/>
        <v>3272.97625795412</v>
      </c>
    </row>
    <row r="43" spans="1:36">
      <c r="A43" s="13"/>
      <c r="B43" s="13"/>
      <c r="C43" s="13"/>
      <c r="D43" s="13"/>
      <c r="E43" s="14" t="s">
        <v>9</v>
      </c>
      <c r="F43" s="13">
        <f t="shared" si="0"/>
        <v>860.711725468379</v>
      </c>
      <c r="G43" s="13">
        <f t="shared" ref="G43:T43" si="11">G11*PI()/180*6378.2</f>
        <v>787.515104853059</v>
      </c>
      <c r="H43" s="13">
        <f t="shared" si="11"/>
        <v>766.880038009411</v>
      </c>
      <c r="I43" s="13">
        <f t="shared" si="11"/>
        <v>830.448487240243</v>
      </c>
      <c r="J43" s="13">
        <f t="shared" si="11"/>
        <v>1132.82002515092</v>
      </c>
      <c r="K43" s="13">
        <f t="shared" si="11"/>
        <v>1134.91539676354</v>
      </c>
      <c r="L43" s="13">
        <f t="shared" si="11"/>
        <v>1410.26279672237</v>
      </c>
      <c r="M43" s="13">
        <f t="shared" si="11"/>
        <v>1640.87365149131</v>
      </c>
      <c r="N43" s="13">
        <f t="shared" si="11"/>
        <v>286.060654152997</v>
      </c>
      <c r="O43" s="13">
        <f t="shared" si="11"/>
        <v>0</v>
      </c>
      <c r="P43" s="13">
        <f t="shared" si="11"/>
        <v>260.326058141846</v>
      </c>
      <c r="Q43" s="13">
        <f t="shared" si="11"/>
        <v>134.634776514632</v>
      </c>
      <c r="R43" s="13">
        <f t="shared" si="11"/>
        <v>669.368720177994</v>
      </c>
      <c r="S43" s="13">
        <f t="shared" si="11"/>
        <v>491.525273876249</v>
      </c>
      <c r="T43" s="13">
        <f t="shared" si="11"/>
        <v>504.67427457287</v>
      </c>
      <c r="U43" s="13">
        <f t="shared" ref="U43:AJ43" si="12">U11*PI()/180*6378.2</f>
        <v>543.123668482139</v>
      </c>
      <c r="V43" s="13">
        <f t="shared" si="12"/>
        <v>449.256242537402</v>
      </c>
      <c r="W43" s="13">
        <f t="shared" si="12"/>
        <v>713.372321878665</v>
      </c>
      <c r="X43" s="13">
        <f t="shared" si="12"/>
        <v>1125.72869127881</v>
      </c>
      <c r="Y43" s="13">
        <f t="shared" si="12"/>
        <v>1469.10071050349</v>
      </c>
      <c r="Z43" s="13">
        <f t="shared" si="12"/>
        <v>1570.24298667088</v>
      </c>
      <c r="AA43" s="13">
        <f t="shared" si="12"/>
        <v>1170.8927520521</v>
      </c>
      <c r="AB43" s="13">
        <f t="shared" si="12"/>
        <v>1383.72358644956</v>
      </c>
      <c r="AC43" s="13">
        <f t="shared" si="12"/>
        <v>1328.73729665153</v>
      </c>
      <c r="AD43" s="13">
        <f t="shared" si="12"/>
        <v>1748.36615334431</v>
      </c>
      <c r="AE43" s="13">
        <f t="shared" si="12"/>
        <v>2627.50302083579</v>
      </c>
      <c r="AF43" s="13">
        <f t="shared" si="12"/>
        <v>952.115681443271</v>
      </c>
      <c r="AG43" s="13">
        <f t="shared" si="12"/>
        <v>1447.78860819474</v>
      </c>
      <c r="AH43" s="13">
        <f t="shared" si="12"/>
        <v>1633.96270284979</v>
      </c>
      <c r="AI43" s="13">
        <f t="shared" si="12"/>
        <v>1315.7704746052</v>
      </c>
      <c r="AJ43" s="13">
        <f t="shared" si="12"/>
        <v>2995.33120346741</v>
      </c>
    </row>
    <row r="44" spans="1:36">
      <c r="A44" s="13"/>
      <c r="B44" s="13"/>
      <c r="C44" s="13"/>
      <c r="D44" s="13"/>
      <c r="E44" s="14" t="s">
        <v>10</v>
      </c>
      <c r="F44" s="13">
        <f t="shared" si="0"/>
        <v>1102.85406551909</v>
      </c>
      <c r="G44" s="13">
        <f t="shared" ref="G44:T44" si="13">G12*PI()/180*6378.2</f>
        <v>1023.23192900508</v>
      </c>
      <c r="H44" s="13">
        <f t="shared" si="13"/>
        <v>1024.87071357936</v>
      </c>
      <c r="I44" s="13">
        <f t="shared" si="13"/>
        <v>1090.43074411838</v>
      </c>
      <c r="J44" s="13">
        <f t="shared" si="13"/>
        <v>1392.19178274571</v>
      </c>
      <c r="K44" s="13">
        <f t="shared" si="13"/>
        <v>1291.56499612482</v>
      </c>
      <c r="L44" s="13">
        <f t="shared" si="13"/>
        <v>1556.12966873586</v>
      </c>
      <c r="M44" s="13">
        <f t="shared" si="13"/>
        <v>1786.43472414534</v>
      </c>
      <c r="N44" s="13">
        <f t="shared" si="13"/>
        <v>157.761739724819</v>
      </c>
      <c r="O44" s="13">
        <f t="shared" si="13"/>
        <v>260.326058141846</v>
      </c>
      <c r="P44" s="13">
        <f t="shared" si="13"/>
        <v>0</v>
      </c>
      <c r="Q44" s="13">
        <f t="shared" si="13"/>
        <v>318.333905906585</v>
      </c>
      <c r="R44" s="13">
        <f t="shared" si="13"/>
        <v>466.354035585864</v>
      </c>
      <c r="S44" s="13">
        <f t="shared" si="13"/>
        <v>483.235618547834</v>
      </c>
      <c r="T44" s="13">
        <f t="shared" si="13"/>
        <v>752.038365745842</v>
      </c>
      <c r="U44" s="13">
        <f t="shared" ref="U44:AE44" si="14">U12*PI()/180*6378.2</f>
        <v>791.173835505002</v>
      </c>
      <c r="V44" s="13">
        <f t="shared" si="14"/>
        <v>570.542656620238</v>
      </c>
      <c r="W44" s="13">
        <f t="shared" si="14"/>
        <v>764.513475921855</v>
      </c>
      <c r="X44" s="13">
        <f t="shared" si="14"/>
        <v>1048.69930891927</v>
      </c>
      <c r="Y44" s="13">
        <f t="shared" si="14"/>
        <v>1462.36174898421</v>
      </c>
      <c r="Z44" s="13">
        <f t="shared" si="14"/>
        <v>1505.18357756417</v>
      </c>
      <c r="AA44" s="13">
        <f t="shared" si="14"/>
        <v>1309.68135547666</v>
      </c>
      <c r="AB44" s="13">
        <f t="shared" si="14"/>
        <v>1542.83762997438</v>
      </c>
      <c r="AC44" s="13">
        <f t="shared" si="14"/>
        <v>1405.74541036413</v>
      </c>
      <c r="AD44" s="13">
        <f t="shared" si="14"/>
        <v>1832.51477682938</v>
      </c>
      <c r="AE44" s="13">
        <f t="shared" si="14"/>
        <v>2795.51303948415</v>
      </c>
      <c r="AF44" s="13">
        <f t="shared" ref="AF44:AJ51" si="15">AF12*PI()/180*6378.2</f>
        <v>1173.7238038827</v>
      </c>
      <c r="AG44" s="13">
        <f t="shared" si="15"/>
        <v>1676.95960894646</v>
      </c>
      <c r="AH44" s="13">
        <f t="shared" si="15"/>
        <v>1862.28765225797</v>
      </c>
      <c r="AI44" s="13">
        <f t="shared" si="15"/>
        <v>1566.08612341927</v>
      </c>
      <c r="AJ44" s="13">
        <f t="shared" si="15"/>
        <v>3243.01052065882</v>
      </c>
    </row>
    <row r="45" spans="1:36">
      <c r="A45" s="13"/>
      <c r="B45" s="13"/>
      <c r="C45" s="13"/>
      <c r="D45" s="13"/>
      <c r="E45" s="14" t="s">
        <v>11</v>
      </c>
      <c r="F45" s="13">
        <f t="shared" si="0"/>
        <v>897.849134099012</v>
      </c>
      <c r="G45" s="13">
        <f t="shared" ref="G45:T45" si="16">G13*PI()/180*6378.2</f>
        <v>834.91675057893</v>
      </c>
      <c r="H45" s="13">
        <f t="shared" si="16"/>
        <v>769.587661659506</v>
      </c>
      <c r="I45" s="13">
        <f t="shared" si="16"/>
        <v>803.521677706882</v>
      </c>
      <c r="J45" s="13">
        <f t="shared" si="16"/>
        <v>1123.59812206407</v>
      </c>
      <c r="K45" s="13">
        <f t="shared" si="16"/>
        <v>1234.21140689151</v>
      </c>
      <c r="L45" s="13">
        <f t="shared" si="16"/>
        <v>1512.05611439763</v>
      </c>
      <c r="M45" s="13">
        <f t="shared" si="16"/>
        <v>1741.51655417825</v>
      </c>
      <c r="N45" s="13">
        <f t="shared" si="16"/>
        <v>394.017898039215</v>
      </c>
      <c r="O45" s="13">
        <f t="shared" si="16"/>
        <v>134.634776514632</v>
      </c>
      <c r="P45" s="13">
        <f t="shared" si="16"/>
        <v>318.333905906585</v>
      </c>
      <c r="Q45" s="13">
        <f t="shared" si="16"/>
        <v>0</v>
      </c>
      <c r="R45" s="13">
        <f t="shared" si="16"/>
        <v>639.678686074945</v>
      </c>
      <c r="S45" s="13">
        <f t="shared" si="16"/>
        <v>380.82839383923</v>
      </c>
      <c r="T45" s="13">
        <f t="shared" si="16"/>
        <v>543.470877345012</v>
      </c>
      <c r="U45" s="13">
        <f t="shared" ref="U45:AE45" si="17">U13*PI()/180*6378.2</f>
        <v>480.57411021719</v>
      </c>
      <c r="V45" s="13">
        <f t="shared" si="17"/>
        <v>314.65850820615</v>
      </c>
      <c r="W45" s="13">
        <f t="shared" si="17"/>
        <v>582.047925012796</v>
      </c>
      <c r="X45" s="13">
        <f t="shared" si="17"/>
        <v>1020.36232196404</v>
      </c>
      <c r="Y45" s="13">
        <f t="shared" si="17"/>
        <v>1342.68384342664</v>
      </c>
      <c r="Z45" s="13">
        <f t="shared" si="17"/>
        <v>1457.46640820574</v>
      </c>
      <c r="AA45" s="13">
        <f t="shared" si="17"/>
        <v>1040.95733723477</v>
      </c>
      <c r="AB45" s="13">
        <f t="shared" si="17"/>
        <v>1258.81426445069</v>
      </c>
      <c r="AC45" s="13">
        <f t="shared" si="17"/>
        <v>1194.11499979374</v>
      </c>
      <c r="AD45" s="13">
        <f t="shared" si="17"/>
        <v>1613.84240700848</v>
      </c>
      <c r="AE45" s="13">
        <f t="shared" si="17"/>
        <v>2506.56756367119</v>
      </c>
      <c r="AF45" s="13">
        <f t="shared" si="15"/>
        <v>856.346711898322</v>
      </c>
      <c r="AG45" s="13">
        <f t="shared" si="15"/>
        <v>1358.81942889968</v>
      </c>
      <c r="AH45" s="13">
        <f t="shared" si="15"/>
        <v>1544.2889327366</v>
      </c>
      <c r="AI45" s="13">
        <f t="shared" si="15"/>
        <v>1253.51375463708</v>
      </c>
      <c r="AJ45" s="13">
        <f t="shared" si="15"/>
        <v>2927.36125478216</v>
      </c>
    </row>
    <row r="46" spans="1:36">
      <c r="A46" s="13"/>
      <c r="B46" s="13"/>
      <c r="C46" s="13"/>
      <c r="D46" s="13"/>
      <c r="E46" s="14" t="s">
        <v>12</v>
      </c>
      <c r="F46" s="13">
        <f t="shared" si="0"/>
        <v>1527.54044154719</v>
      </c>
      <c r="G46" s="13">
        <f t="shared" ref="G46:T46" si="18">G14*PI()/180*6378.2</f>
        <v>1456.59189228351</v>
      </c>
      <c r="H46" s="13">
        <f t="shared" si="18"/>
        <v>1409.23336522984</v>
      </c>
      <c r="I46" s="13">
        <f t="shared" si="18"/>
        <v>1432.79749637629</v>
      </c>
      <c r="J46" s="13">
        <f t="shared" si="18"/>
        <v>1759.78511819285</v>
      </c>
      <c r="K46" s="13">
        <f t="shared" si="18"/>
        <v>1757.90964635654</v>
      </c>
      <c r="L46" s="13">
        <f t="shared" si="18"/>
        <v>2021.58135162485</v>
      </c>
      <c r="M46" s="13">
        <f t="shared" si="18"/>
        <v>2251.54767625569</v>
      </c>
      <c r="N46" s="13">
        <f t="shared" si="18"/>
        <v>602.942428761771</v>
      </c>
      <c r="O46" s="13">
        <f t="shared" si="18"/>
        <v>669.368720177994</v>
      </c>
      <c r="P46" s="13">
        <f t="shared" si="18"/>
        <v>466.354035585864</v>
      </c>
      <c r="Q46" s="13">
        <f t="shared" si="18"/>
        <v>639.678686074945</v>
      </c>
      <c r="R46" s="13">
        <f t="shared" si="18"/>
        <v>0</v>
      </c>
      <c r="S46" s="13">
        <f t="shared" si="18"/>
        <v>444.4217340677</v>
      </c>
      <c r="T46" s="13">
        <f t="shared" si="18"/>
        <v>1170.60220135768</v>
      </c>
      <c r="U46" s="13">
        <f t="shared" ref="U46:AE46" si="19">U14*PI()/180*6378.2</f>
        <v>1088.20864367355</v>
      </c>
      <c r="V46" s="13">
        <f t="shared" si="19"/>
        <v>685.912969298283</v>
      </c>
      <c r="W46" s="13">
        <f t="shared" si="19"/>
        <v>692.476802422208</v>
      </c>
      <c r="X46" s="13">
        <f t="shared" si="19"/>
        <v>695.033254082073</v>
      </c>
      <c r="Y46" s="13">
        <f t="shared" si="19"/>
        <v>1183.47176223364</v>
      </c>
      <c r="Z46" s="13">
        <f t="shared" si="19"/>
        <v>1138.17147864933</v>
      </c>
      <c r="AA46" s="13">
        <f t="shared" si="19"/>
        <v>1304.48937545809</v>
      </c>
      <c r="AB46" s="13">
        <f t="shared" si="19"/>
        <v>1560.39833603619</v>
      </c>
      <c r="AC46" s="13">
        <f t="shared" si="19"/>
        <v>1274.43103507879</v>
      </c>
      <c r="AD46" s="13">
        <f t="shared" si="19"/>
        <v>1685.94467266052</v>
      </c>
      <c r="AE46" s="13">
        <f t="shared" si="19"/>
        <v>2785.26805530058</v>
      </c>
      <c r="AF46" s="13">
        <f t="shared" si="15"/>
        <v>1362.62806183836</v>
      </c>
      <c r="AG46" s="13">
        <f t="shared" si="15"/>
        <v>1858.71221293002</v>
      </c>
      <c r="AH46" s="13">
        <f t="shared" si="15"/>
        <v>2034.61993422773</v>
      </c>
      <c r="AI46" s="13">
        <f t="shared" si="15"/>
        <v>1828.03350820646</v>
      </c>
      <c r="AJ46" s="13">
        <f t="shared" si="15"/>
        <v>3462.69176215075</v>
      </c>
    </row>
    <row r="47" spans="1:36">
      <c r="A47" s="13"/>
      <c r="B47" s="13"/>
      <c r="C47" s="13"/>
      <c r="D47" s="13"/>
      <c r="E47" s="14" t="s">
        <v>13</v>
      </c>
      <c r="F47" s="13">
        <f t="shared" si="0"/>
        <v>1242.8457609518</v>
      </c>
      <c r="G47" s="13">
        <f t="shared" ref="G47:T47" si="20">G15*PI()/180*6378.2</f>
        <v>1191.07111100087</v>
      </c>
      <c r="H47" s="13">
        <f t="shared" si="20"/>
        <v>1077.18003422968</v>
      </c>
      <c r="I47" s="13">
        <f t="shared" si="20"/>
        <v>1060.77327450484</v>
      </c>
      <c r="J47" s="13">
        <f t="shared" si="20"/>
        <v>1396.96518914554</v>
      </c>
      <c r="K47" s="13">
        <f t="shared" si="20"/>
        <v>1615.0368368758</v>
      </c>
      <c r="L47" s="13">
        <f t="shared" si="20"/>
        <v>1892.84855459351</v>
      </c>
      <c r="M47" s="13">
        <f t="shared" si="20"/>
        <v>2122.34468099765</v>
      </c>
      <c r="N47" s="13">
        <f t="shared" si="20"/>
        <v>632.846287328284</v>
      </c>
      <c r="O47" s="13">
        <f t="shared" si="20"/>
        <v>491.525273876249</v>
      </c>
      <c r="P47" s="13">
        <f t="shared" si="20"/>
        <v>483.235618547834</v>
      </c>
      <c r="Q47" s="13">
        <f t="shared" si="20"/>
        <v>380.82839383923</v>
      </c>
      <c r="R47" s="13">
        <f t="shared" si="20"/>
        <v>444.4217340677</v>
      </c>
      <c r="S47" s="13">
        <f t="shared" si="20"/>
        <v>0</v>
      </c>
      <c r="T47" s="13">
        <f t="shared" si="20"/>
        <v>900.895499570567</v>
      </c>
      <c r="U47" s="13">
        <f t="shared" ref="U47:AE47" si="21">U15*PI()/180*6378.2</f>
        <v>704.778035860325</v>
      </c>
      <c r="V47" s="13">
        <f t="shared" si="21"/>
        <v>255.02832405477</v>
      </c>
      <c r="W47" s="13">
        <f t="shared" si="21"/>
        <v>291.895366831643</v>
      </c>
      <c r="X47" s="13">
        <f t="shared" si="21"/>
        <v>639.577012266409</v>
      </c>
      <c r="Y47" s="13">
        <f t="shared" si="21"/>
        <v>990.334223005808</v>
      </c>
      <c r="Z47" s="13">
        <f t="shared" si="21"/>
        <v>1079.07705068241</v>
      </c>
      <c r="AA47" s="13">
        <f t="shared" si="21"/>
        <v>886.98966986017</v>
      </c>
      <c r="AB47" s="13">
        <f t="shared" si="21"/>
        <v>1137.71886323755</v>
      </c>
      <c r="AC47" s="13">
        <f t="shared" si="21"/>
        <v>930.665076233649</v>
      </c>
      <c r="AD47" s="13">
        <f t="shared" si="21"/>
        <v>1357.20647817507</v>
      </c>
      <c r="AE47" s="13">
        <f t="shared" si="21"/>
        <v>2381.02987808074</v>
      </c>
      <c r="AF47" s="13">
        <f t="shared" si="15"/>
        <v>923.354961909141</v>
      </c>
      <c r="AG47" s="13">
        <f t="shared" si="15"/>
        <v>1415.46402217818</v>
      </c>
      <c r="AH47" s="13">
        <f t="shared" si="15"/>
        <v>1590.48205581404</v>
      </c>
      <c r="AI47" s="13">
        <f t="shared" si="15"/>
        <v>1401.80032732867</v>
      </c>
      <c r="AJ47" s="13">
        <f t="shared" si="15"/>
        <v>3020.43305260553</v>
      </c>
    </row>
    <row r="48" spans="1:36">
      <c r="A48" s="13"/>
      <c r="B48" s="13"/>
      <c r="C48" s="13"/>
      <c r="D48" s="13"/>
      <c r="E48" s="14" t="s">
        <v>14</v>
      </c>
      <c r="F48" s="13">
        <f t="shared" si="0"/>
        <v>356.940995175371</v>
      </c>
      <c r="G48" s="13">
        <f t="shared" ref="G48:T48" si="22">G16*PI()/180*6378.2</f>
        <v>291.851255088244</v>
      </c>
      <c r="H48" s="13">
        <f t="shared" si="22"/>
        <v>299.682665098689</v>
      </c>
      <c r="I48" s="13">
        <f t="shared" si="22"/>
        <v>434.245492221515</v>
      </c>
      <c r="J48" s="13">
        <f t="shared" si="22"/>
        <v>665.950934252081</v>
      </c>
      <c r="K48" s="13">
        <f t="shared" si="22"/>
        <v>782.286283568771</v>
      </c>
      <c r="L48" s="13">
        <f t="shared" si="22"/>
        <v>1057.19252052203</v>
      </c>
      <c r="M48" s="13">
        <f t="shared" si="22"/>
        <v>1275.86197109301</v>
      </c>
      <c r="N48" s="13">
        <f t="shared" si="22"/>
        <v>707.235620280246</v>
      </c>
      <c r="O48" s="13">
        <f t="shared" si="22"/>
        <v>504.67427457287</v>
      </c>
      <c r="P48" s="13">
        <f t="shared" si="22"/>
        <v>752.038365745842</v>
      </c>
      <c r="Q48" s="13">
        <f t="shared" si="22"/>
        <v>543.470877345012</v>
      </c>
      <c r="R48" s="13">
        <f t="shared" si="22"/>
        <v>1170.60220135768</v>
      </c>
      <c r="S48" s="13">
        <f t="shared" si="22"/>
        <v>900.895499570567</v>
      </c>
      <c r="T48" s="13">
        <f t="shared" si="22"/>
        <v>0</v>
      </c>
      <c r="U48" s="13">
        <f t="shared" ref="U48:AE48" si="23">U16*PI()/180*6378.2</f>
        <v>391.450180961676</v>
      </c>
      <c r="V48" s="13">
        <f t="shared" si="23"/>
        <v>722.944620267218</v>
      </c>
      <c r="W48" s="13">
        <f t="shared" si="23"/>
        <v>1010.57114765294</v>
      </c>
      <c r="X48" s="13">
        <f t="shared" si="23"/>
        <v>1528.59849264157</v>
      </c>
      <c r="Y48" s="13">
        <f t="shared" si="23"/>
        <v>1767.28412955294</v>
      </c>
      <c r="Z48" s="13">
        <f t="shared" si="23"/>
        <v>1940.12687021246</v>
      </c>
      <c r="AA48" s="13">
        <f t="shared" si="23"/>
        <v>1234.96892868829</v>
      </c>
      <c r="AB48" s="13">
        <f t="shared" si="23"/>
        <v>1375.45508029429</v>
      </c>
      <c r="AC48" s="13">
        <f t="shared" si="23"/>
        <v>1502.17052216844</v>
      </c>
      <c r="AD48" s="13">
        <f t="shared" si="23"/>
        <v>1878.86838423579</v>
      </c>
      <c r="AE48" s="13">
        <f t="shared" si="23"/>
        <v>2533.53610434814</v>
      </c>
      <c r="AF48" s="13">
        <f t="shared" si="15"/>
        <v>804.917121696256</v>
      </c>
      <c r="AG48" s="13">
        <f t="shared" si="15"/>
        <v>1211.19219936654</v>
      </c>
      <c r="AH48" s="13">
        <f t="shared" si="15"/>
        <v>1389.28887047982</v>
      </c>
      <c r="AI48" s="13">
        <f t="shared" si="15"/>
        <v>981.1562925338</v>
      </c>
      <c r="AJ48" s="13">
        <f t="shared" si="15"/>
        <v>2633.26581544771</v>
      </c>
    </row>
    <row r="49" spans="1:36">
      <c r="A49" s="13"/>
      <c r="B49" s="13"/>
      <c r="C49" s="13"/>
      <c r="D49" s="13"/>
      <c r="E49" s="14" t="s">
        <v>15</v>
      </c>
      <c r="F49" s="13">
        <f t="shared" si="0"/>
        <v>620.229339613097</v>
      </c>
      <c r="G49" s="13">
        <f t="shared" ref="G49:T49" si="24">G17*PI()/180*6378.2</f>
        <v>606.330671954136</v>
      </c>
      <c r="H49" s="13">
        <f t="shared" si="24"/>
        <v>404.448924205638</v>
      </c>
      <c r="I49" s="13">
        <f t="shared" si="24"/>
        <v>356.1436583295</v>
      </c>
      <c r="J49" s="13">
        <f t="shared" si="24"/>
        <v>692.772733664006</v>
      </c>
      <c r="K49" s="13">
        <f t="shared" si="24"/>
        <v>1163.85710948476</v>
      </c>
      <c r="L49" s="13">
        <f t="shared" si="24"/>
        <v>1433.22375464462</v>
      </c>
      <c r="M49" s="13">
        <f t="shared" si="24"/>
        <v>1644.2114412712</v>
      </c>
      <c r="N49" s="13">
        <f t="shared" si="24"/>
        <v>825.265465219577</v>
      </c>
      <c r="O49" s="13">
        <f t="shared" si="24"/>
        <v>543.123668482139</v>
      </c>
      <c r="P49" s="13">
        <f t="shared" si="24"/>
        <v>791.173835505002</v>
      </c>
      <c r="Q49" s="13">
        <f t="shared" si="24"/>
        <v>480.57411021719</v>
      </c>
      <c r="R49" s="13">
        <f t="shared" si="24"/>
        <v>1088.20864367355</v>
      </c>
      <c r="S49" s="13">
        <f t="shared" si="24"/>
        <v>704.778035860325</v>
      </c>
      <c r="T49" s="13">
        <f t="shared" si="24"/>
        <v>391.450180961676</v>
      </c>
      <c r="U49" s="13">
        <f t="shared" ref="U49:AE49" si="25">U17*PI()/180*6378.2</f>
        <v>0</v>
      </c>
      <c r="V49" s="13">
        <f t="shared" si="25"/>
        <v>463.210357188971</v>
      </c>
      <c r="W49" s="13">
        <f t="shared" si="25"/>
        <v>709.957367953622</v>
      </c>
      <c r="X49" s="13">
        <f t="shared" si="25"/>
        <v>1267.08074520069</v>
      </c>
      <c r="Y49" s="13">
        <f t="shared" si="25"/>
        <v>1427.11427966874</v>
      </c>
      <c r="Z49" s="13">
        <f t="shared" si="25"/>
        <v>1638.08038607356</v>
      </c>
      <c r="AA49" s="13">
        <f t="shared" si="25"/>
        <v>844.037385708569</v>
      </c>
      <c r="AB49" s="13">
        <f t="shared" si="25"/>
        <v>988.187652177737</v>
      </c>
      <c r="AC49" s="13">
        <f t="shared" si="25"/>
        <v>1123.61185663312</v>
      </c>
      <c r="AD49" s="13">
        <f t="shared" si="25"/>
        <v>1489.93518665477</v>
      </c>
      <c r="AE49" s="13">
        <f t="shared" si="25"/>
        <v>2175.37805915594</v>
      </c>
      <c r="AF49" s="13">
        <f t="shared" si="15"/>
        <v>445.224917319425</v>
      </c>
      <c r="AG49" s="13">
        <f t="shared" si="15"/>
        <v>915.697315999348</v>
      </c>
      <c r="AH49" s="13">
        <f t="shared" si="15"/>
        <v>1101.50957605734</v>
      </c>
      <c r="AI49" s="13">
        <f t="shared" si="15"/>
        <v>774.912958958545</v>
      </c>
      <c r="AJ49" s="13">
        <f t="shared" si="15"/>
        <v>2452.99305276257</v>
      </c>
    </row>
    <row r="50" spans="1:36">
      <c r="A50" s="13"/>
      <c r="B50" s="13"/>
      <c r="C50" s="13"/>
      <c r="D50" s="13"/>
      <c r="E50" s="14" t="s">
        <v>16</v>
      </c>
      <c r="F50" s="13">
        <f t="shared" si="0"/>
        <v>1041.32870417477</v>
      </c>
      <c r="G50" s="13">
        <f t="shared" ref="G50:T50" si="26">G18*PI()/180*6378.2</f>
        <v>1002.04248464378</v>
      </c>
      <c r="H50" s="13">
        <f t="shared" si="26"/>
        <v>853.912548957864</v>
      </c>
      <c r="I50" s="13">
        <f t="shared" si="26"/>
        <v>818.178045059921</v>
      </c>
      <c r="J50" s="13">
        <f t="shared" si="26"/>
        <v>1154.9630345832</v>
      </c>
      <c r="K50" s="13">
        <f t="shared" si="26"/>
        <v>1483.01974510093</v>
      </c>
      <c r="L50" s="13">
        <f t="shared" si="26"/>
        <v>1762.00339862792</v>
      </c>
      <c r="M50" s="13">
        <f t="shared" si="26"/>
        <v>1986.99908636694</v>
      </c>
      <c r="N50" s="13">
        <f t="shared" si="26"/>
        <v>686.731630388448</v>
      </c>
      <c r="O50" s="13">
        <f t="shared" si="26"/>
        <v>449.256242537402</v>
      </c>
      <c r="P50" s="13">
        <f t="shared" si="26"/>
        <v>570.542656620238</v>
      </c>
      <c r="Q50" s="13">
        <f t="shared" si="26"/>
        <v>314.65850820615</v>
      </c>
      <c r="R50" s="13">
        <f t="shared" si="26"/>
        <v>685.912969298283</v>
      </c>
      <c r="S50" s="13">
        <f t="shared" si="26"/>
        <v>255.02832405477</v>
      </c>
      <c r="T50" s="13">
        <f t="shared" si="26"/>
        <v>722.944620267218</v>
      </c>
      <c r="U50" s="13">
        <f t="shared" ref="U50:AE50" si="27">U18*PI()/180*6378.2</f>
        <v>463.210357188971</v>
      </c>
      <c r="V50" s="13">
        <f t="shared" si="27"/>
        <v>0</v>
      </c>
      <c r="W50" s="13">
        <f t="shared" si="27"/>
        <v>291.849929029043</v>
      </c>
      <c r="X50" s="13">
        <f t="shared" si="27"/>
        <v>815.740618937266</v>
      </c>
      <c r="Y50" s="13">
        <f t="shared" si="27"/>
        <v>1059.22155702656</v>
      </c>
      <c r="Z50" s="13">
        <f t="shared" si="27"/>
        <v>1217.20062525773</v>
      </c>
      <c r="AA50" s="13">
        <f t="shared" si="27"/>
        <v>740.505825964145</v>
      </c>
      <c r="AB50" s="13">
        <f t="shared" si="27"/>
        <v>972.577372329119</v>
      </c>
      <c r="AC50" s="13">
        <f t="shared" si="27"/>
        <v>879.83883120417</v>
      </c>
      <c r="AD50" s="13">
        <f t="shared" si="27"/>
        <v>1299.22320219141</v>
      </c>
      <c r="AE50" s="13">
        <f t="shared" si="27"/>
        <v>2225.41570426186</v>
      </c>
      <c r="AF50" s="13">
        <f t="shared" si="15"/>
        <v>677.086769326143</v>
      </c>
      <c r="AG50" s="13">
        <f t="shared" si="15"/>
        <v>1176.69320645556</v>
      </c>
      <c r="AH50" s="13">
        <f t="shared" si="15"/>
        <v>1355.6939215463</v>
      </c>
      <c r="AI50" s="13">
        <f t="shared" si="15"/>
        <v>1147.79742922393</v>
      </c>
      <c r="AJ50" s="13">
        <f t="shared" si="15"/>
        <v>2778.09586265654</v>
      </c>
    </row>
    <row r="51" spans="1:36">
      <c r="A51" s="13"/>
      <c r="B51" s="13"/>
      <c r="C51" s="13"/>
      <c r="D51" s="13"/>
      <c r="E51" s="14" t="s">
        <v>17</v>
      </c>
      <c r="F51" s="13">
        <f t="shared" si="0"/>
        <v>1316.05387400003</v>
      </c>
      <c r="G51" s="13">
        <f t="shared" ref="G51:T51" si="28">G19*PI()/180*6378.2</f>
        <v>1283.59072775641</v>
      </c>
      <c r="H51" s="13">
        <f t="shared" si="28"/>
        <v>1113.49408816973</v>
      </c>
      <c r="I51" s="13">
        <f t="shared" si="28"/>
        <v>1048.92052074702</v>
      </c>
      <c r="J51" s="13">
        <f t="shared" si="28"/>
        <v>1380.15519475379</v>
      </c>
      <c r="K51" s="13">
        <f t="shared" si="28"/>
        <v>1774.81183649873</v>
      </c>
      <c r="L51" s="13">
        <f t="shared" si="28"/>
        <v>2053.75719615191</v>
      </c>
      <c r="M51" s="13">
        <f t="shared" si="28"/>
        <v>2278.4474679033</v>
      </c>
      <c r="N51" s="13">
        <f t="shared" si="28"/>
        <v>906.129131458998</v>
      </c>
      <c r="O51" s="13">
        <f t="shared" si="28"/>
        <v>713.372321878665</v>
      </c>
      <c r="P51" s="13">
        <f t="shared" si="28"/>
        <v>764.513475921855</v>
      </c>
      <c r="Q51" s="13">
        <f t="shared" si="28"/>
        <v>582.047925012796</v>
      </c>
      <c r="R51" s="13">
        <f t="shared" si="28"/>
        <v>692.476802422208</v>
      </c>
      <c r="S51" s="13">
        <f t="shared" si="28"/>
        <v>291.895366831643</v>
      </c>
      <c r="T51" s="13">
        <f t="shared" si="28"/>
        <v>1010.57114765294</v>
      </c>
      <c r="U51" s="13">
        <f t="shared" ref="U51:AE51" si="29">U19*PI()/180*6378.2</f>
        <v>709.957367953622</v>
      </c>
      <c r="V51" s="13">
        <f t="shared" si="29"/>
        <v>291.849929029043</v>
      </c>
      <c r="W51" s="13">
        <f t="shared" si="29"/>
        <v>0</v>
      </c>
      <c r="X51" s="13">
        <f t="shared" si="29"/>
        <v>563.763294686766</v>
      </c>
      <c r="Y51" s="13">
        <f t="shared" si="29"/>
        <v>768.120268234733</v>
      </c>
      <c r="Z51" s="13">
        <f t="shared" si="29"/>
        <v>933.760962117161</v>
      </c>
      <c r="AA51" s="13">
        <f t="shared" si="29"/>
        <v>612.058196228932</v>
      </c>
      <c r="AB51" s="13">
        <f t="shared" si="29"/>
        <v>867.999274429451</v>
      </c>
      <c r="AC51" s="13">
        <f t="shared" si="29"/>
        <v>641.601034867802</v>
      </c>
      <c r="AD51" s="13">
        <f t="shared" si="29"/>
        <v>1068.50045792575</v>
      </c>
      <c r="AE51" s="13">
        <f t="shared" si="29"/>
        <v>2099.03106892788</v>
      </c>
      <c r="AF51" s="13">
        <f t="shared" si="15"/>
        <v>774.583372121583</v>
      </c>
      <c r="AG51" s="13">
        <f t="shared" si="15"/>
        <v>1227.94486845285</v>
      </c>
      <c r="AH51" s="13">
        <f t="shared" si="15"/>
        <v>1390.83071801137</v>
      </c>
      <c r="AI51" s="13">
        <f t="shared" si="15"/>
        <v>1277.96846631542</v>
      </c>
      <c r="AJ51" s="13">
        <f t="shared" si="15"/>
        <v>2827.49188467273</v>
      </c>
    </row>
    <row r="52" spans="1:36">
      <c r="A52" s="13"/>
      <c r="B52" s="13"/>
      <c r="C52" s="13"/>
      <c r="D52" s="13"/>
      <c r="E52" s="14" t="s">
        <v>18</v>
      </c>
      <c r="F52" s="13">
        <f t="shared" si="0"/>
        <v>1856.65957600693</v>
      </c>
      <c r="G52" s="13">
        <f t="shared" ref="G52:T52" si="30">G20*PI()/180*6378.2</f>
        <v>1814.05257163807</v>
      </c>
      <c r="H52" s="13">
        <f t="shared" si="30"/>
        <v>1666.80026524338</v>
      </c>
      <c r="I52" s="13">
        <f t="shared" si="30"/>
        <v>1611.55660852359</v>
      </c>
      <c r="J52" s="13">
        <f t="shared" si="30"/>
        <v>1943.76964667783</v>
      </c>
      <c r="K52" s="13">
        <f t="shared" si="30"/>
        <v>2254.55817683869</v>
      </c>
      <c r="L52" s="13">
        <f t="shared" si="30"/>
        <v>2532.18906726722</v>
      </c>
      <c r="M52" s="13">
        <f t="shared" si="30"/>
        <v>2761.84202625745</v>
      </c>
      <c r="N52" s="13">
        <f t="shared" si="30"/>
        <v>1206.27012204823</v>
      </c>
      <c r="O52" s="13">
        <f t="shared" si="30"/>
        <v>1125.72869127881</v>
      </c>
      <c r="P52" s="13">
        <f t="shared" si="30"/>
        <v>1048.69930891927</v>
      </c>
      <c r="Q52" s="13">
        <f t="shared" si="30"/>
        <v>1020.36232196404</v>
      </c>
      <c r="R52" s="13">
        <f t="shared" si="30"/>
        <v>695.033254082073</v>
      </c>
      <c r="S52" s="13">
        <f t="shared" si="30"/>
        <v>639.577012266409</v>
      </c>
      <c r="T52" s="13">
        <f t="shared" si="30"/>
        <v>1528.59849264157</v>
      </c>
      <c r="U52" s="13">
        <f t="shared" ref="U52:AJ52" si="31">U20*PI()/180*6378.2</f>
        <v>1267.08074520069</v>
      </c>
      <c r="V52" s="13">
        <f t="shared" si="31"/>
        <v>815.740618937266</v>
      </c>
      <c r="W52" s="13">
        <f t="shared" si="31"/>
        <v>563.763294686766</v>
      </c>
      <c r="X52" s="13">
        <f t="shared" si="31"/>
        <v>0</v>
      </c>
      <c r="Y52" s="13">
        <f t="shared" si="31"/>
        <v>512.399798563026</v>
      </c>
      <c r="Z52" s="13">
        <f t="shared" si="31"/>
        <v>456.796885100944</v>
      </c>
      <c r="AA52" s="13">
        <f t="shared" si="31"/>
        <v>978.7011918424</v>
      </c>
      <c r="AB52" s="13">
        <f t="shared" si="31"/>
        <v>1216.61263317305</v>
      </c>
      <c r="AC52" s="13">
        <f t="shared" si="31"/>
        <v>770.713676056447</v>
      </c>
      <c r="AD52" s="13">
        <f t="shared" si="31"/>
        <v>1110.96311320043</v>
      </c>
      <c r="AE52" s="13">
        <f t="shared" si="31"/>
        <v>2306.23757231458</v>
      </c>
      <c r="AF52" s="13">
        <f t="shared" si="31"/>
        <v>1312.36718811763</v>
      </c>
      <c r="AG52" s="13">
        <f t="shared" si="31"/>
        <v>1715.55957734525</v>
      </c>
      <c r="AH52" s="13">
        <f t="shared" si="31"/>
        <v>1857.44978339873</v>
      </c>
      <c r="AI52" s="13">
        <f t="shared" si="31"/>
        <v>1816.70566713581</v>
      </c>
      <c r="AJ52" s="13">
        <f t="shared" si="31"/>
        <v>3275.70565692128</v>
      </c>
    </row>
    <row r="53" spans="1:36">
      <c r="A53" s="13"/>
      <c r="B53" s="13"/>
      <c r="C53" s="13"/>
      <c r="D53" s="13"/>
      <c r="E53" s="14" t="s">
        <v>19</v>
      </c>
      <c r="F53" s="13">
        <f t="shared" si="0"/>
        <v>2047.28335622224</v>
      </c>
      <c r="G53" s="13">
        <f t="shared" ref="G53:T53" si="32">G21*PI()/180*6378.2</f>
        <v>2027.10806444468</v>
      </c>
      <c r="H53" s="13">
        <f t="shared" si="32"/>
        <v>1825.78048293531</v>
      </c>
      <c r="I53" s="13">
        <f t="shared" si="32"/>
        <v>1722.79442900444</v>
      </c>
      <c r="J53" s="13">
        <f t="shared" si="32"/>
        <v>2026.54842679972</v>
      </c>
      <c r="K53" s="13">
        <f t="shared" si="32"/>
        <v>2540.09545984163</v>
      </c>
      <c r="L53" s="13">
        <f t="shared" si="32"/>
        <v>2818.58140517716</v>
      </c>
      <c r="M53" s="13">
        <f t="shared" si="32"/>
        <v>3041.40083209024</v>
      </c>
      <c r="N53" s="13">
        <f t="shared" si="32"/>
        <v>1617.45646555269</v>
      </c>
      <c r="O53" s="13">
        <f t="shared" si="32"/>
        <v>1469.10071050349</v>
      </c>
      <c r="P53" s="13">
        <f t="shared" si="32"/>
        <v>1462.36174898421</v>
      </c>
      <c r="Q53" s="13">
        <f t="shared" si="32"/>
        <v>1342.68384342664</v>
      </c>
      <c r="R53" s="13">
        <f t="shared" si="32"/>
        <v>1183.47176223364</v>
      </c>
      <c r="S53" s="13">
        <f t="shared" si="32"/>
        <v>990.334223005808</v>
      </c>
      <c r="T53" s="13">
        <f t="shared" si="32"/>
        <v>1767.28412955294</v>
      </c>
      <c r="U53" s="13">
        <f t="shared" ref="U53:AE53" si="33">U21*PI()/180*6378.2</f>
        <v>1427.11427966874</v>
      </c>
      <c r="V53" s="13">
        <f t="shared" si="33"/>
        <v>1059.22155702656</v>
      </c>
      <c r="W53" s="13">
        <f t="shared" si="33"/>
        <v>768.120268234733</v>
      </c>
      <c r="X53" s="13">
        <f t="shared" si="33"/>
        <v>512.399798563026</v>
      </c>
      <c r="Y53" s="13">
        <f t="shared" si="33"/>
        <v>0</v>
      </c>
      <c r="Z53" s="13">
        <f t="shared" si="33"/>
        <v>344.19772155412</v>
      </c>
      <c r="AA53" s="13">
        <f t="shared" si="33"/>
        <v>808.475975548162</v>
      </c>
      <c r="AB53" s="13">
        <f t="shared" si="33"/>
        <v>973.624995476075</v>
      </c>
      <c r="AC53" s="13">
        <f t="shared" si="33"/>
        <v>466.65643418847</v>
      </c>
      <c r="AD53" s="13">
        <f t="shared" si="33"/>
        <v>653.204102875555</v>
      </c>
      <c r="AE53" s="13">
        <f t="shared" si="33"/>
        <v>1873.88071830474</v>
      </c>
      <c r="AF53" s="13">
        <f t="shared" ref="AF53:AJ58" si="34">AF21*PI()/180*6378.2</f>
        <v>1301.86688583513</v>
      </c>
      <c r="AG53" s="13">
        <f t="shared" si="34"/>
        <v>1575.84430464169</v>
      </c>
      <c r="AH53" s="13">
        <f t="shared" si="34"/>
        <v>1677.30915849807</v>
      </c>
      <c r="AI53" s="13">
        <f t="shared" si="34"/>
        <v>1768.39222731915</v>
      </c>
      <c r="AJ53" s="13">
        <f t="shared" si="34"/>
        <v>3020.83573987692</v>
      </c>
    </row>
    <row r="54" spans="1:36">
      <c r="A54" s="13"/>
      <c r="B54" s="13"/>
      <c r="C54" s="13"/>
      <c r="D54" s="13"/>
      <c r="E54" s="14" t="s">
        <v>20</v>
      </c>
      <c r="F54" s="13">
        <f t="shared" si="0"/>
        <v>2249.56683754077</v>
      </c>
      <c r="G54" s="13">
        <f t="shared" ref="G54:T54" si="35">G22*PI()/180*6378.2</f>
        <v>2216.91309966737</v>
      </c>
      <c r="H54" s="13">
        <f t="shared" si="35"/>
        <v>2042.50796279743</v>
      </c>
      <c r="I54" s="13">
        <f t="shared" si="35"/>
        <v>1961.21358831784</v>
      </c>
      <c r="J54" s="13">
        <f t="shared" si="35"/>
        <v>2280.52533765561</v>
      </c>
      <c r="K54" s="13">
        <f t="shared" si="35"/>
        <v>2688.1436283772</v>
      </c>
      <c r="L54" s="13">
        <f t="shared" si="35"/>
        <v>2966.96628039935</v>
      </c>
      <c r="M54" s="13">
        <f t="shared" si="35"/>
        <v>3195.02135055983</v>
      </c>
      <c r="N54" s="13">
        <f t="shared" si="35"/>
        <v>1662.83539675516</v>
      </c>
      <c r="O54" s="13">
        <f t="shared" si="35"/>
        <v>1570.24298667088</v>
      </c>
      <c r="P54" s="13">
        <f t="shared" si="35"/>
        <v>1505.18357756417</v>
      </c>
      <c r="Q54" s="13">
        <f t="shared" si="35"/>
        <v>1457.46640820574</v>
      </c>
      <c r="R54" s="13">
        <f t="shared" si="35"/>
        <v>1138.17147864933</v>
      </c>
      <c r="S54" s="13">
        <f t="shared" si="35"/>
        <v>1079.07705068241</v>
      </c>
      <c r="T54" s="13">
        <f t="shared" si="35"/>
        <v>1940.12687021246</v>
      </c>
      <c r="U54" s="13">
        <f t="shared" ref="U54:AE54" si="36">U22*PI()/180*6378.2</f>
        <v>1638.08038607356</v>
      </c>
      <c r="V54" s="13">
        <f t="shared" si="36"/>
        <v>1217.20062525773</v>
      </c>
      <c r="W54" s="13">
        <f t="shared" si="36"/>
        <v>933.760962117161</v>
      </c>
      <c r="X54" s="13">
        <f t="shared" si="36"/>
        <v>456.796885100944</v>
      </c>
      <c r="Y54" s="13">
        <f t="shared" si="36"/>
        <v>344.19772155412</v>
      </c>
      <c r="Z54" s="13">
        <f t="shared" si="36"/>
        <v>0</v>
      </c>
      <c r="AA54" s="13">
        <f t="shared" si="36"/>
        <v>1127.47462941189</v>
      </c>
      <c r="AB54" s="13">
        <f t="shared" si="36"/>
        <v>1310.83814698676</v>
      </c>
      <c r="AC54" s="13">
        <f t="shared" si="36"/>
        <v>803.691947459391</v>
      </c>
      <c r="AD54" s="13">
        <f t="shared" si="36"/>
        <v>975.440328471447</v>
      </c>
      <c r="AE54" s="13">
        <f t="shared" si="36"/>
        <v>2191.66390716937</v>
      </c>
      <c r="AF54" s="13">
        <f t="shared" si="34"/>
        <v>1583.37265256099</v>
      </c>
      <c r="AG54" s="13">
        <f t="shared" si="34"/>
        <v>1899.25415165486</v>
      </c>
      <c r="AH54" s="13">
        <f t="shared" si="34"/>
        <v>2009.73664656177</v>
      </c>
      <c r="AI54" s="13">
        <f t="shared" si="34"/>
        <v>2068.60815961472</v>
      </c>
      <c r="AJ54" s="13">
        <f t="shared" si="34"/>
        <v>3364.55104018363</v>
      </c>
    </row>
    <row r="55" spans="1:36">
      <c r="A55" s="13"/>
      <c r="B55" s="13"/>
      <c r="C55" s="13"/>
      <c r="D55" s="13"/>
      <c r="E55" s="14" t="s">
        <v>21</v>
      </c>
      <c r="F55" s="13">
        <f t="shared" si="0"/>
        <v>1419.32323628685</v>
      </c>
      <c r="G55" s="13">
        <f t="shared" ref="G55:T55" si="37">G23*PI()/180*6378.2</f>
        <v>1429.16928864307</v>
      </c>
      <c r="H55" s="13">
        <f t="shared" si="37"/>
        <v>1180.45283852316</v>
      </c>
      <c r="I55" s="13">
        <f t="shared" si="37"/>
        <v>1034.65976853816</v>
      </c>
      <c r="J55" s="13">
        <f t="shared" si="37"/>
        <v>1290.41115047716</v>
      </c>
      <c r="K55" s="13">
        <f t="shared" si="37"/>
        <v>2004.22451797692</v>
      </c>
      <c r="L55" s="13">
        <f t="shared" si="37"/>
        <v>2268.66232600918</v>
      </c>
      <c r="M55" s="13">
        <f t="shared" si="37"/>
        <v>2471.89346053081</v>
      </c>
      <c r="N55" s="13">
        <f t="shared" si="37"/>
        <v>1426.12083117573</v>
      </c>
      <c r="O55" s="13">
        <f t="shared" si="37"/>
        <v>1170.8927520521</v>
      </c>
      <c r="P55" s="13">
        <f t="shared" si="37"/>
        <v>1309.68135547666</v>
      </c>
      <c r="Q55" s="13">
        <f t="shared" si="37"/>
        <v>1040.95733723477</v>
      </c>
      <c r="R55" s="13">
        <f t="shared" si="37"/>
        <v>1304.48937545809</v>
      </c>
      <c r="S55" s="13">
        <f t="shared" si="37"/>
        <v>886.98966986017</v>
      </c>
      <c r="T55" s="13">
        <f t="shared" si="37"/>
        <v>1234.96892868829</v>
      </c>
      <c r="U55" s="13">
        <f t="shared" ref="U55:AE55" si="38">U23*PI()/180*6378.2</f>
        <v>844.037385708569</v>
      </c>
      <c r="V55" s="13">
        <f t="shared" si="38"/>
        <v>740.505825964145</v>
      </c>
      <c r="W55" s="13">
        <f t="shared" si="38"/>
        <v>612.058196228932</v>
      </c>
      <c r="X55" s="13">
        <f t="shared" si="38"/>
        <v>978.7011918424</v>
      </c>
      <c r="Y55" s="13">
        <f t="shared" si="38"/>
        <v>808.475975548162</v>
      </c>
      <c r="Z55" s="13">
        <f t="shared" si="38"/>
        <v>1127.47462941189</v>
      </c>
      <c r="AA55" s="13">
        <f t="shared" si="38"/>
        <v>0</v>
      </c>
      <c r="AB55" s="13">
        <f t="shared" si="38"/>
        <v>257.334352394705</v>
      </c>
      <c r="AC55" s="13">
        <f t="shared" si="38"/>
        <v>360.871529449916</v>
      </c>
      <c r="AD55" s="13">
        <f t="shared" si="38"/>
        <v>649.950713024824</v>
      </c>
      <c r="AE55" s="13">
        <f t="shared" si="38"/>
        <v>1494.98827481503</v>
      </c>
      <c r="AF55" s="13">
        <f t="shared" si="34"/>
        <v>544.72447539747</v>
      </c>
      <c r="AG55" s="13">
        <f t="shared" si="34"/>
        <v>771.82387853015</v>
      </c>
      <c r="AH55" s="13">
        <f t="shared" si="34"/>
        <v>891.035923364479</v>
      </c>
      <c r="AI55" s="13">
        <f t="shared" si="34"/>
        <v>966.89710199078</v>
      </c>
      <c r="AJ55" s="13">
        <f t="shared" si="34"/>
        <v>2297.15298259753</v>
      </c>
    </row>
    <row r="56" spans="1:36">
      <c r="A56" s="13"/>
      <c r="B56" s="13"/>
      <c r="C56" s="13"/>
      <c r="D56" s="13"/>
      <c r="E56" s="14" t="s">
        <v>22</v>
      </c>
      <c r="F56" s="13">
        <f t="shared" si="0"/>
        <v>1505.94613568429</v>
      </c>
      <c r="G56" s="13">
        <f t="shared" ref="G56:T56" si="39">G24*PI()/180*6378.2</f>
        <v>1531.29990903119</v>
      </c>
      <c r="H56" s="13">
        <f t="shared" si="39"/>
        <v>1267.99182796323</v>
      </c>
      <c r="I56" s="13">
        <f t="shared" si="39"/>
        <v>1102.44963265385</v>
      </c>
      <c r="J56" s="13">
        <f t="shared" si="39"/>
        <v>1304.91785235428</v>
      </c>
      <c r="K56" s="13">
        <f t="shared" si="39"/>
        <v>2117.81203946957</v>
      </c>
      <c r="L56" s="13">
        <f t="shared" si="39"/>
        <v>2370.9508493366</v>
      </c>
      <c r="M56" s="13">
        <f t="shared" si="39"/>
        <v>2562.04308480146</v>
      </c>
      <c r="N56" s="13">
        <f t="shared" si="39"/>
        <v>1650.3503190157</v>
      </c>
      <c r="O56" s="13">
        <f t="shared" si="39"/>
        <v>1383.72358644956</v>
      </c>
      <c r="P56" s="13">
        <f t="shared" si="39"/>
        <v>1542.83762997438</v>
      </c>
      <c r="Q56" s="13">
        <f t="shared" si="39"/>
        <v>1258.81426445069</v>
      </c>
      <c r="R56" s="13">
        <f t="shared" si="39"/>
        <v>1560.39833603619</v>
      </c>
      <c r="S56" s="13">
        <f t="shared" si="39"/>
        <v>1137.71886323755</v>
      </c>
      <c r="T56" s="13">
        <f t="shared" si="39"/>
        <v>1375.45508029429</v>
      </c>
      <c r="U56" s="13">
        <f t="shared" ref="U56:AE56" si="40">U24*PI()/180*6378.2</f>
        <v>988.187652177737</v>
      </c>
      <c r="V56" s="13">
        <f t="shared" si="40"/>
        <v>972.577372329119</v>
      </c>
      <c r="W56" s="13">
        <f t="shared" si="40"/>
        <v>867.999274429451</v>
      </c>
      <c r="X56" s="13">
        <f t="shared" si="40"/>
        <v>1216.61263317305</v>
      </c>
      <c r="Y56" s="13">
        <f t="shared" si="40"/>
        <v>973.624995476075</v>
      </c>
      <c r="Z56" s="13">
        <f t="shared" si="40"/>
        <v>1310.83814698676</v>
      </c>
      <c r="AA56" s="13">
        <f t="shared" si="40"/>
        <v>257.334352394705</v>
      </c>
      <c r="AB56" s="13">
        <f t="shared" si="40"/>
        <v>0</v>
      </c>
      <c r="AC56" s="13">
        <f t="shared" si="40"/>
        <v>507.5048072293</v>
      </c>
      <c r="AD56" s="13">
        <f t="shared" si="40"/>
        <v>617.637668124727</v>
      </c>
      <c r="AE56" s="13">
        <f t="shared" si="40"/>
        <v>1252.85561840871</v>
      </c>
      <c r="AF56" s="13">
        <f t="shared" si="34"/>
        <v>598.087496111086</v>
      </c>
      <c r="AG56" s="13">
        <f t="shared" si="34"/>
        <v>629.781672283983</v>
      </c>
      <c r="AH56" s="13">
        <f t="shared" si="34"/>
        <v>706.857972132912</v>
      </c>
      <c r="AI56" s="13">
        <f t="shared" si="34"/>
        <v>897.424928283382</v>
      </c>
      <c r="AJ56" s="13">
        <f t="shared" si="34"/>
        <v>2069.40787987391</v>
      </c>
    </row>
    <row r="57" spans="1:36">
      <c r="A57" s="13"/>
      <c r="B57" s="13"/>
      <c r="C57" s="13"/>
      <c r="D57" s="13"/>
      <c r="E57" s="14" t="s">
        <v>23</v>
      </c>
      <c r="F57" s="13">
        <f t="shared" si="0"/>
        <v>1729.64395326616</v>
      </c>
      <c r="G57" s="13">
        <f t="shared" ref="G57:T57" si="41">G25*PI()/180*6378.2</f>
        <v>1727.51952576933</v>
      </c>
      <c r="H57" s="13">
        <f t="shared" si="41"/>
        <v>1494.80212156415</v>
      </c>
      <c r="I57" s="13">
        <f t="shared" si="41"/>
        <v>1364.23917851758</v>
      </c>
      <c r="J57" s="13">
        <f t="shared" si="41"/>
        <v>1639.09424671521</v>
      </c>
      <c r="K57" s="13">
        <f t="shared" si="41"/>
        <v>2283.73185399116</v>
      </c>
      <c r="L57" s="13">
        <f t="shared" si="41"/>
        <v>2555.81169612925</v>
      </c>
      <c r="M57" s="13">
        <f t="shared" si="41"/>
        <v>2767.8139829997</v>
      </c>
      <c r="N57" s="13">
        <f t="shared" si="41"/>
        <v>1544.55664445801</v>
      </c>
      <c r="O57" s="13">
        <f t="shared" si="41"/>
        <v>1328.73729665153</v>
      </c>
      <c r="P57" s="13">
        <f t="shared" si="41"/>
        <v>1405.74541036413</v>
      </c>
      <c r="Q57" s="13">
        <f t="shared" si="41"/>
        <v>1194.11499979374</v>
      </c>
      <c r="R57" s="13">
        <f t="shared" si="41"/>
        <v>1274.43103507879</v>
      </c>
      <c r="S57" s="13">
        <f t="shared" si="41"/>
        <v>930.665076233649</v>
      </c>
      <c r="T57" s="13">
        <f t="shared" si="41"/>
        <v>1502.17052216844</v>
      </c>
      <c r="U57" s="13">
        <f t="shared" ref="U57:AE57" si="42">U25*PI()/180*6378.2</f>
        <v>1123.61185663312</v>
      </c>
      <c r="V57" s="13">
        <f t="shared" si="42"/>
        <v>879.83883120417</v>
      </c>
      <c r="W57" s="13">
        <f t="shared" si="42"/>
        <v>641.601034867802</v>
      </c>
      <c r="X57" s="13">
        <f t="shared" si="42"/>
        <v>770.713676056447</v>
      </c>
      <c r="Y57" s="13">
        <f t="shared" si="42"/>
        <v>466.65643418847</v>
      </c>
      <c r="Z57" s="13">
        <f t="shared" si="42"/>
        <v>803.691947459391</v>
      </c>
      <c r="AA57" s="13">
        <f t="shared" si="42"/>
        <v>360.871529449916</v>
      </c>
      <c r="AB57" s="13">
        <f t="shared" si="42"/>
        <v>507.5048072293</v>
      </c>
      <c r="AC57" s="13">
        <f t="shared" si="42"/>
        <v>0</v>
      </c>
      <c r="AD57" s="13">
        <f t="shared" si="42"/>
        <v>426.900695381009</v>
      </c>
      <c r="AE57" s="13">
        <f t="shared" si="42"/>
        <v>1544.20268589459</v>
      </c>
      <c r="AF57" s="13">
        <f t="shared" si="34"/>
        <v>894.661141756381</v>
      </c>
      <c r="AG57" s="13">
        <f t="shared" si="34"/>
        <v>1113.54540874074</v>
      </c>
      <c r="AH57" s="13">
        <f t="shared" si="34"/>
        <v>1210.75732888997</v>
      </c>
      <c r="AI57" s="13">
        <f t="shared" si="34"/>
        <v>1327.16510203205</v>
      </c>
      <c r="AJ57" s="13">
        <f t="shared" si="34"/>
        <v>2566.51447471296</v>
      </c>
    </row>
    <row r="58" spans="1:36">
      <c r="A58" s="13"/>
      <c r="B58" s="13"/>
      <c r="C58" s="13"/>
      <c r="D58" s="13"/>
      <c r="E58" s="14" t="s">
        <v>24</v>
      </c>
      <c r="F58" s="13">
        <f t="shared" si="0"/>
        <v>2068.32691964219</v>
      </c>
      <c r="G58" s="13">
        <f t="shared" ref="G58:T58" si="43">G26*PI()/180*6378.2</f>
        <v>2079.11831760962</v>
      </c>
      <c r="H58" s="13">
        <f t="shared" si="43"/>
        <v>1829.11956393533</v>
      </c>
      <c r="I58" s="13">
        <f t="shared" si="43"/>
        <v>1678.38518940755</v>
      </c>
      <c r="J58" s="13">
        <f t="shared" si="43"/>
        <v>1911.13625424936</v>
      </c>
      <c r="K58" s="13">
        <f t="shared" si="43"/>
        <v>2652.71390556169</v>
      </c>
      <c r="L58" s="13">
        <f t="shared" si="43"/>
        <v>2918.31677987275</v>
      </c>
      <c r="M58" s="13">
        <f t="shared" si="43"/>
        <v>3121.79715211192</v>
      </c>
      <c r="N58" s="13">
        <f t="shared" si="43"/>
        <v>1970.39252766573</v>
      </c>
      <c r="O58" s="13">
        <f t="shared" si="43"/>
        <v>1748.36615334431</v>
      </c>
      <c r="P58" s="13">
        <f t="shared" si="43"/>
        <v>1832.51477682938</v>
      </c>
      <c r="Q58" s="13">
        <f t="shared" si="43"/>
        <v>1613.84240700848</v>
      </c>
      <c r="R58" s="13">
        <f t="shared" si="43"/>
        <v>1685.94467266052</v>
      </c>
      <c r="S58" s="13">
        <f t="shared" si="43"/>
        <v>1357.20647817507</v>
      </c>
      <c r="T58" s="13">
        <f t="shared" si="43"/>
        <v>1878.86838423579</v>
      </c>
      <c r="U58" s="13">
        <f t="shared" ref="U58:AJ59" si="44">U26*PI()/180*6378.2</f>
        <v>1489.93518665477</v>
      </c>
      <c r="V58" s="13">
        <f t="shared" si="44"/>
        <v>1299.22320219141</v>
      </c>
      <c r="W58" s="13">
        <f t="shared" si="44"/>
        <v>1068.50045792575</v>
      </c>
      <c r="X58" s="13">
        <f t="shared" si="44"/>
        <v>1110.96311320043</v>
      </c>
      <c r="Y58" s="13">
        <f t="shared" si="44"/>
        <v>653.204102875555</v>
      </c>
      <c r="Z58" s="13">
        <f t="shared" si="44"/>
        <v>975.440328471447</v>
      </c>
      <c r="AA58" s="13">
        <f t="shared" si="44"/>
        <v>649.950713024824</v>
      </c>
      <c r="AB58" s="13">
        <f t="shared" si="44"/>
        <v>617.637668124727</v>
      </c>
      <c r="AC58" s="13">
        <f t="shared" si="44"/>
        <v>426.900695381009</v>
      </c>
      <c r="AD58" s="13">
        <f t="shared" si="44"/>
        <v>0</v>
      </c>
      <c r="AE58" s="13">
        <f t="shared" si="44"/>
        <v>1220.78929097833</v>
      </c>
      <c r="AF58" s="13">
        <f t="shared" si="34"/>
        <v>1177.17358605804</v>
      </c>
      <c r="AG58" s="13">
        <f t="shared" si="34"/>
        <v>1228.94994559843</v>
      </c>
      <c r="AH58" s="13">
        <f t="shared" si="34"/>
        <v>1265.55575362202</v>
      </c>
      <c r="AI58" s="13">
        <f t="shared" si="34"/>
        <v>1514.41181778161</v>
      </c>
      <c r="AJ58" s="13">
        <f t="shared" si="34"/>
        <v>2465.23840662858</v>
      </c>
    </row>
    <row r="59" spans="1:36">
      <c r="A59" s="13"/>
      <c r="B59" s="13"/>
      <c r="C59" s="13"/>
      <c r="D59" s="13"/>
      <c r="E59" s="14" t="s">
        <v>25</v>
      </c>
      <c r="F59" s="13">
        <f t="shared" si="0"/>
        <v>2556.33626141274</v>
      </c>
      <c r="G59" s="13">
        <f t="shared" si="0"/>
        <v>2611.12181151273</v>
      </c>
      <c r="H59" s="13">
        <f t="shared" si="0"/>
        <v>2343.86920080766</v>
      </c>
      <c r="I59" s="13">
        <f t="shared" si="0"/>
        <v>2162.50910390371</v>
      </c>
      <c r="J59" s="13">
        <f t="shared" si="0"/>
        <v>2216.97013529864</v>
      </c>
      <c r="K59" s="13">
        <f t="shared" si="0"/>
        <v>3185.99325913321</v>
      </c>
      <c r="L59" s="13">
        <f t="shared" si="0"/>
        <v>3400.28500307994</v>
      </c>
      <c r="M59" s="13">
        <f t="shared" si="0"/>
        <v>3551.01325490286</v>
      </c>
      <c r="N59" s="13">
        <f t="shared" si="0"/>
        <v>2899.88346627847</v>
      </c>
      <c r="O59" s="13">
        <f t="shared" si="0"/>
        <v>2627.50302083579</v>
      </c>
      <c r="P59" s="13">
        <f t="shared" si="0"/>
        <v>2795.51303948415</v>
      </c>
      <c r="Q59" s="13">
        <f t="shared" si="0"/>
        <v>2506.56756367119</v>
      </c>
      <c r="R59" s="13">
        <f t="shared" si="0"/>
        <v>2785.26805530058</v>
      </c>
      <c r="S59" s="13">
        <f t="shared" si="0"/>
        <v>2381.02987808074</v>
      </c>
      <c r="T59" s="13">
        <f t="shared" si="0"/>
        <v>2533.53610434814</v>
      </c>
      <c r="U59" s="13">
        <f t="shared" si="0"/>
        <v>2175.37805915594</v>
      </c>
      <c r="V59" s="13">
        <f t="shared" si="44"/>
        <v>2225.41570426186</v>
      </c>
      <c r="W59" s="13">
        <f t="shared" si="44"/>
        <v>2099.03106892788</v>
      </c>
      <c r="X59" s="13">
        <f t="shared" si="44"/>
        <v>2306.23757231458</v>
      </c>
      <c r="Y59" s="13">
        <f t="shared" si="44"/>
        <v>1873.88071830474</v>
      </c>
      <c r="Z59" s="13">
        <f t="shared" si="44"/>
        <v>2191.66390716937</v>
      </c>
      <c r="AA59" s="13">
        <f t="shared" si="44"/>
        <v>1494.98827481503</v>
      </c>
      <c r="AB59" s="13">
        <f t="shared" si="44"/>
        <v>1252.85561840871</v>
      </c>
      <c r="AC59" s="13">
        <f t="shared" si="44"/>
        <v>1544.20268589459</v>
      </c>
      <c r="AD59" s="13">
        <f t="shared" si="44"/>
        <v>1220.78929097833</v>
      </c>
      <c r="AE59" s="13">
        <f t="shared" si="44"/>
        <v>0</v>
      </c>
      <c r="AF59" s="13">
        <f t="shared" si="44"/>
        <v>1733.19743739609</v>
      </c>
      <c r="AG59" s="13">
        <f t="shared" si="44"/>
        <v>1374.96741855641</v>
      </c>
      <c r="AH59" s="13">
        <f t="shared" si="44"/>
        <v>1240.97351451682</v>
      </c>
      <c r="AI59" s="13">
        <f t="shared" si="44"/>
        <v>1702.71278074133</v>
      </c>
      <c r="AJ59" s="13">
        <f t="shared" si="44"/>
        <v>1597.96669730736</v>
      </c>
    </row>
    <row r="60" spans="1:36">
      <c r="A60" s="13"/>
      <c r="B60" s="13"/>
      <c r="C60" s="13"/>
      <c r="D60" s="13"/>
      <c r="E60" s="14" t="s">
        <v>26</v>
      </c>
      <c r="F60" s="13">
        <f t="shared" ref="F60:AD60" si="45">F28*PI()/180*6378.2</f>
        <v>907.860301072321</v>
      </c>
      <c r="G60" s="13">
        <f t="shared" si="45"/>
        <v>934.950450909806</v>
      </c>
      <c r="H60" s="13">
        <f t="shared" si="45"/>
        <v>670.081240894472</v>
      </c>
      <c r="I60" s="13">
        <f t="shared" si="45"/>
        <v>505.695278294881</v>
      </c>
      <c r="J60" s="13">
        <f t="shared" si="45"/>
        <v>745.94681515225</v>
      </c>
      <c r="K60" s="13">
        <f t="shared" si="45"/>
        <v>1522.70307705375</v>
      </c>
      <c r="L60" s="13">
        <f t="shared" si="45"/>
        <v>1773.2541166995</v>
      </c>
      <c r="M60" s="13">
        <f t="shared" si="45"/>
        <v>1964.15165966379</v>
      </c>
      <c r="N60" s="13">
        <f t="shared" si="45"/>
        <v>1237.98860957681</v>
      </c>
      <c r="O60" s="13">
        <f t="shared" si="45"/>
        <v>952.115681443271</v>
      </c>
      <c r="P60" s="13">
        <f t="shared" si="45"/>
        <v>1173.7238038827</v>
      </c>
      <c r="Q60" s="13">
        <f t="shared" si="45"/>
        <v>856.346711898322</v>
      </c>
      <c r="R60" s="13">
        <f t="shared" si="45"/>
        <v>1362.62806183836</v>
      </c>
      <c r="S60" s="13">
        <f t="shared" si="45"/>
        <v>923.354961909141</v>
      </c>
      <c r="T60" s="13">
        <f t="shared" si="45"/>
        <v>804.917121696256</v>
      </c>
      <c r="U60" s="13">
        <f t="shared" si="45"/>
        <v>445.224917319425</v>
      </c>
      <c r="V60" s="13">
        <f t="shared" si="45"/>
        <v>677.086769326143</v>
      </c>
      <c r="W60" s="13">
        <f t="shared" si="45"/>
        <v>774.583372121583</v>
      </c>
      <c r="X60" s="13">
        <f t="shared" si="45"/>
        <v>1312.36718811763</v>
      </c>
      <c r="Y60" s="13">
        <f t="shared" si="45"/>
        <v>1301.86688583513</v>
      </c>
      <c r="Z60" s="13">
        <f t="shared" si="45"/>
        <v>1583.37265256099</v>
      </c>
      <c r="AA60" s="13">
        <f t="shared" si="45"/>
        <v>544.72447539747</v>
      </c>
      <c r="AB60" s="13">
        <f t="shared" si="45"/>
        <v>598.087496111086</v>
      </c>
      <c r="AC60" s="13">
        <f t="shared" si="45"/>
        <v>894.661141756381</v>
      </c>
      <c r="AD60" s="13">
        <f t="shared" si="45"/>
        <v>1177.17358605804</v>
      </c>
      <c r="AE60" s="13">
        <f t="shared" ref="AE60" si="46">AE28*PI()/180*6378.2</f>
        <v>1733.19743739609</v>
      </c>
      <c r="AF60" s="13">
        <f t="shared" ref="AF60:AJ61" si="47">AF28*PI()/180*6378.2</f>
        <v>0</v>
      </c>
      <c r="AG60" s="13">
        <f t="shared" si="47"/>
        <v>505.566983922627</v>
      </c>
      <c r="AH60" s="13">
        <f t="shared" si="47"/>
        <v>689.493600437798</v>
      </c>
      <c r="AI60" s="13">
        <f t="shared" si="47"/>
        <v>505.079190811056</v>
      </c>
      <c r="AJ60" s="13">
        <f t="shared" si="47"/>
        <v>2101.22314626731</v>
      </c>
    </row>
    <row r="61" spans="1:36">
      <c r="A61" s="13"/>
      <c r="B61" s="13"/>
      <c r="C61" s="13"/>
      <c r="D61" s="13"/>
      <c r="E61" s="14" t="s">
        <v>27</v>
      </c>
      <c r="F61" s="13">
        <f t="shared" ref="F61:AD61" si="48">F29*PI()/180*6378.2</f>
        <v>1184.74184087833</v>
      </c>
      <c r="G61" s="13">
        <f t="shared" si="48"/>
        <v>1245.08442565817</v>
      </c>
      <c r="H61" s="13">
        <f t="shared" si="48"/>
        <v>983.280246592321</v>
      </c>
      <c r="I61" s="13">
        <f t="shared" si="48"/>
        <v>803.501981327589</v>
      </c>
      <c r="J61" s="13">
        <f t="shared" si="48"/>
        <v>848.6256020048</v>
      </c>
      <c r="K61" s="13">
        <f t="shared" si="48"/>
        <v>1812.45575872413</v>
      </c>
      <c r="L61" s="13">
        <f t="shared" si="48"/>
        <v>2025.84632448014</v>
      </c>
      <c r="M61" s="13">
        <f t="shared" si="48"/>
        <v>2182.0612293969</v>
      </c>
      <c r="N61" s="13">
        <f t="shared" si="48"/>
        <v>1733.61716731273</v>
      </c>
      <c r="O61" s="13">
        <f t="shared" si="48"/>
        <v>1447.78860819474</v>
      </c>
      <c r="P61" s="13">
        <f t="shared" si="48"/>
        <v>1676.95960894646</v>
      </c>
      <c r="Q61" s="13">
        <f t="shared" si="48"/>
        <v>1358.81942889968</v>
      </c>
      <c r="R61" s="13">
        <f t="shared" si="48"/>
        <v>1858.71221293002</v>
      </c>
      <c r="S61" s="13">
        <f t="shared" si="48"/>
        <v>1415.46402217818</v>
      </c>
      <c r="T61" s="13">
        <f t="shared" si="48"/>
        <v>1211.19219936654</v>
      </c>
      <c r="U61" s="13">
        <f t="shared" si="48"/>
        <v>915.697315999348</v>
      </c>
      <c r="V61" s="13">
        <f t="shared" si="48"/>
        <v>1176.69320645556</v>
      </c>
      <c r="W61" s="13">
        <f t="shared" si="48"/>
        <v>1227.94486845285</v>
      </c>
      <c r="X61" s="13">
        <f t="shared" si="48"/>
        <v>1715.55957734525</v>
      </c>
      <c r="Y61" s="13">
        <f t="shared" si="48"/>
        <v>1575.84430464169</v>
      </c>
      <c r="Z61" s="13">
        <f t="shared" si="48"/>
        <v>1899.25415165486</v>
      </c>
      <c r="AA61" s="13">
        <f t="shared" si="48"/>
        <v>771.82387853015</v>
      </c>
      <c r="AB61" s="13">
        <f t="shared" si="48"/>
        <v>629.781672283983</v>
      </c>
      <c r="AC61" s="13">
        <f t="shared" si="48"/>
        <v>1113.54540874074</v>
      </c>
      <c r="AD61" s="13">
        <f t="shared" si="48"/>
        <v>1228.94994559843</v>
      </c>
      <c r="AE61" s="13">
        <f t="shared" ref="AE61" si="49">AE29*PI()/180*6378.2</f>
        <v>1374.96741855641</v>
      </c>
      <c r="AF61" s="13">
        <f t="shared" si="47"/>
        <v>505.566983922627</v>
      </c>
      <c r="AG61" s="13">
        <f t="shared" si="47"/>
        <v>0</v>
      </c>
      <c r="AH61" s="13">
        <f t="shared" si="47"/>
        <v>186.217220601613</v>
      </c>
      <c r="AI61" s="13">
        <f t="shared" si="47"/>
        <v>341.88078110108</v>
      </c>
      <c r="AJ61" s="13">
        <f t="shared" si="47"/>
        <v>1605.59203990042</v>
      </c>
    </row>
    <row r="62" spans="1:36">
      <c r="A62" s="13"/>
      <c r="B62" s="13"/>
      <c r="C62" s="13"/>
      <c r="D62" s="13"/>
      <c r="E62" s="14" t="s">
        <v>28</v>
      </c>
      <c r="F62" s="13">
        <f t="shared" ref="F62:T62" si="50">F30*PI()/180*6378.2</f>
        <v>1340.83350454908</v>
      </c>
      <c r="G62" s="13">
        <f t="shared" si="50"/>
        <v>1406.65837387687</v>
      </c>
      <c r="H62" s="13">
        <f t="shared" si="50"/>
        <v>1150.35567137818</v>
      </c>
      <c r="I62" s="13">
        <f t="shared" si="50"/>
        <v>973.160449513534</v>
      </c>
      <c r="J62" s="13">
        <f t="shared" si="50"/>
        <v>978.021011696474</v>
      </c>
      <c r="K62" s="13">
        <f t="shared" si="50"/>
        <v>1962.77627365091</v>
      </c>
      <c r="L62" s="13">
        <f t="shared" si="50"/>
        <v>2165.02823212587</v>
      </c>
      <c r="M62" s="13">
        <f t="shared" si="50"/>
        <v>2310.61175608333</v>
      </c>
      <c r="N62" s="13">
        <f t="shared" si="50"/>
        <v>1919.81415734697</v>
      </c>
      <c r="O62" s="13">
        <f t="shared" si="50"/>
        <v>1633.96270284979</v>
      </c>
      <c r="P62" s="13">
        <f t="shared" si="50"/>
        <v>1862.28765225797</v>
      </c>
      <c r="Q62" s="13">
        <f t="shared" si="50"/>
        <v>1544.2889327366</v>
      </c>
      <c r="R62" s="13">
        <f t="shared" si="50"/>
        <v>2034.61993422773</v>
      </c>
      <c r="S62" s="13">
        <f t="shared" si="50"/>
        <v>1590.48205581404</v>
      </c>
      <c r="T62" s="13">
        <f t="shared" si="50"/>
        <v>1389.28887047982</v>
      </c>
      <c r="U62" s="13">
        <f t="shared" ref="U62:AJ62" si="51">U30*PI()/180*6378.2</f>
        <v>1101.50957605734</v>
      </c>
      <c r="V62" s="13">
        <f t="shared" si="51"/>
        <v>1355.6939215463</v>
      </c>
      <c r="W62" s="13">
        <f t="shared" si="51"/>
        <v>1390.83071801137</v>
      </c>
      <c r="X62" s="13">
        <f t="shared" si="51"/>
        <v>1857.44978339873</v>
      </c>
      <c r="Y62" s="13">
        <f t="shared" si="51"/>
        <v>1677.30915849807</v>
      </c>
      <c r="Z62" s="13">
        <f t="shared" si="51"/>
        <v>2009.73664656177</v>
      </c>
      <c r="AA62" s="13">
        <f t="shared" si="51"/>
        <v>891.035923364479</v>
      </c>
      <c r="AB62" s="13">
        <f t="shared" si="51"/>
        <v>706.857972132912</v>
      </c>
      <c r="AC62" s="13">
        <f t="shared" si="51"/>
        <v>1210.75732888997</v>
      </c>
      <c r="AD62" s="13">
        <f t="shared" si="51"/>
        <v>1265.55575362202</v>
      </c>
      <c r="AE62" s="13">
        <f t="shared" si="51"/>
        <v>1240.97351451682</v>
      </c>
      <c r="AF62" s="13">
        <f t="shared" si="51"/>
        <v>689.493600437798</v>
      </c>
      <c r="AG62" s="13">
        <f t="shared" si="51"/>
        <v>186.217220601613</v>
      </c>
      <c r="AH62" s="13">
        <f t="shared" si="51"/>
        <v>0</v>
      </c>
      <c r="AI62" s="13">
        <f t="shared" si="51"/>
        <v>464.567975662655</v>
      </c>
      <c r="AJ62" s="13">
        <f t="shared" si="51"/>
        <v>1436.71273099789</v>
      </c>
    </row>
    <row r="63" spans="1:36">
      <c r="A63" s="13"/>
      <c r="B63" s="13"/>
      <c r="C63" s="13"/>
      <c r="D63" s="13"/>
      <c r="E63" s="14" t="s">
        <v>29</v>
      </c>
      <c r="F63" s="13">
        <f t="shared" ref="F63:T63" si="52">F31*PI()/180*6378.2</f>
        <v>884.210613470486</v>
      </c>
      <c r="G63" s="13">
        <f t="shared" si="52"/>
        <v>955.979595427881</v>
      </c>
      <c r="H63" s="13">
        <f t="shared" si="52"/>
        <v>712.954367629273</v>
      </c>
      <c r="I63" s="13">
        <f t="shared" si="52"/>
        <v>547.894876694375</v>
      </c>
      <c r="J63" s="13">
        <f t="shared" si="52"/>
        <v>514.285832575493</v>
      </c>
      <c r="K63" s="13">
        <f t="shared" si="52"/>
        <v>1500.38680282504</v>
      </c>
      <c r="L63" s="13">
        <f t="shared" si="52"/>
        <v>1700.48972738813</v>
      </c>
      <c r="M63" s="13">
        <f t="shared" si="52"/>
        <v>1848.47461043403</v>
      </c>
      <c r="N63" s="13">
        <f t="shared" si="52"/>
        <v>1592.96455157164</v>
      </c>
      <c r="O63" s="13">
        <f t="shared" si="52"/>
        <v>1315.7704746052</v>
      </c>
      <c r="P63" s="13">
        <f t="shared" si="52"/>
        <v>1566.08612341927</v>
      </c>
      <c r="Q63" s="13">
        <f t="shared" si="52"/>
        <v>1253.51375463708</v>
      </c>
      <c r="R63" s="13">
        <f t="shared" si="52"/>
        <v>1828.03350820646</v>
      </c>
      <c r="S63" s="13">
        <f t="shared" si="52"/>
        <v>1401.80032732867</v>
      </c>
      <c r="T63" s="13">
        <f t="shared" si="52"/>
        <v>981.1562925338</v>
      </c>
      <c r="U63" s="13">
        <f t="shared" ref="U63:AD63" si="53">U31*PI()/180*6378.2</f>
        <v>774.912958958545</v>
      </c>
      <c r="V63" s="13">
        <f t="shared" si="53"/>
        <v>1147.79742922393</v>
      </c>
      <c r="W63" s="13">
        <f t="shared" si="53"/>
        <v>1277.96846631542</v>
      </c>
      <c r="X63" s="13">
        <f t="shared" si="53"/>
        <v>1816.70566713581</v>
      </c>
      <c r="Y63" s="13">
        <f t="shared" si="53"/>
        <v>1768.39222731915</v>
      </c>
      <c r="Z63" s="13">
        <f t="shared" si="53"/>
        <v>2068.60815961472</v>
      </c>
      <c r="AA63" s="13">
        <f t="shared" si="53"/>
        <v>966.89710199078</v>
      </c>
      <c r="AB63" s="13">
        <f t="shared" si="53"/>
        <v>897.424928283382</v>
      </c>
      <c r="AC63" s="13">
        <f t="shared" si="53"/>
        <v>1327.16510203205</v>
      </c>
      <c r="AD63" s="13">
        <f t="shared" si="53"/>
        <v>1514.41181778161</v>
      </c>
      <c r="AE63" s="13">
        <f t="shared" ref="AE63" si="54">AE31*PI()/180*6378.2</f>
        <v>1702.71278074133</v>
      </c>
      <c r="AF63" s="13">
        <f t="shared" ref="AF63:AJ64" si="55">AF31*PI()/180*6378.2</f>
        <v>505.079190811056</v>
      </c>
      <c r="AG63" s="13">
        <f t="shared" si="55"/>
        <v>341.88078110108</v>
      </c>
      <c r="AH63" s="13">
        <f t="shared" si="55"/>
        <v>464.567975662655</v>
      </c>
      <c r="AI63" s="13">
        <f t="shared" si="55"/>
        <v>0</v>
      </c>
      <c r="AJ63" s="13">
        <f t="shared" si="55"/>
        <v>1680.07455297967</v>
      </c>
    </row>
    <row r="64" spans="1:36">
      <c r="A64" s="13"/>
      <c r="B64" s="13"/>
      <c r="C64" s="13"/>
      <c r="D64" s="13"/>
      <c r="E64" s="14" t="s">
        <v>30</v>
      </c>
      <c r="F64" s="13">
        <f t="shared" ref="F64:T64" si="56">F32*PI()/180*6378.2</f>
        <v>2433.9787085742</v>
      </c>
      <c r="G64" s="13">
        <f t="shared" si="56"/>
        <v>2525.55849342722</v>
      </c>
      <c r="H64" s="13">
        <f t="shared" si="56"/>
        <v>2340.07684846046</v>
      </c>
      <c r="I64" s="13">
        <f t="shared" si="56"/>
        <v>2204.18784848404</v>
      </c>
      <c r="J64" s="13">
        <f t="shared" si="56"/>
        <v>2010.69658355034</v>
      </c>
      <c r="K64" s="13">
        <f t="shared" si="56"/>
        <v>2932.59956979081</v>
      </c>
      <c r="L64" s="13">
        <f t="shared" si="56"/>
        <v>3028.17705851373</v>
      </c>
      <c r="M64" s="13">
        <f t="shared" si="56"/>
        <v>3076.92029040398</v>
      </c>
      <c r="N64" s="13">
        <f t="shared" si="56"/>
        <v>3272.97625795412</v>
      </c>
      <c r="O64" s="13">
        <f t="shared" si="56"/>
        <v>2995.33120346741</v>
      </c>
      <c r="P64" s="13">
        <f t="shared" si="56"/>
        <v>3243.01052065882</v>
      </c>
      <c r="Q64" s="13">
        <f t="shared" si="56"/>
        <v>2927.36125478216</v>
      </c>
      <c r="R64" s="13">
        <f t="shared" si="56"/>
        <v>3462.69176215075</v>
      </c>
      <c r="S64" s="13">
        <f t="shared" si="56"/>
        <v>3020.43305260553</v>
      </c>
      <c r="T64" s="13">
        <f t="shared" si="56"/>
        <v>2633.26581544771</v>
      </c>
      <c r="U64" s="13">
        <f t="shared" ref="U64:AD64" si="57">U32*PI()/180*6378.2</f>
        <v>2452.99305276257</v>
      </c>
      <c r="V64" s="13">
        <f t="shared" si="57"/>
        <v>2778.09586265654</v>
      </c>
      <c r="W64" s="13">
        <f t="shared" si="57"/>
        <v>2827.49188467273</v>
      </c>
      <c r="X64" s="13">
        <f t="shared" si="57"/>
        <v>3275.70565692128</v>
      </c>
      <c r="Y64" s="13">
        <f t="shared" si="57"/>
        <v>3020.83573987692</v>
      </c>
      <c r="Z64" s="13">
        <f t="shared" si="57"/>
        <v>3364.55104018363</v>
      </c>
      <c r="AA64" s="13">
        <f t="shared" si="57"/>
        <v>2297.15298259753</v>
      </c>
      <c r="AB64" s="13">
        <f t="shared" si="57"/>
        <v>2069.40787987391</v>
      </c>
      <c r="AC64" s="13">
        <f t="shared" si="57"/>
        <v>2566.51447471296</v>
      </c>
      <c r="AD64" s="13">
        <f t="shared" si="57"/>
        <v>2465.23840662858</v>
      </c>
      <c r="AE64" s="13">
        <f t="shared" ref="AE64" si="58">AE32*PI()/180*6378.2</f>
        <v>1597.96669730736</v>
      </c>
      <c r="AF64" s="13">
        <f t="shared" si="55"/>
        <v>2101.22314626731</v>
      </c>
      <c r="AG64" s="13">
        <f t="shared" si="55"/>
        <v>1605.59203990042</v>
      </c>
      <c r="AH64" s="13">
        <f t="shared" si="55"/>
        <v>1436.71273099789</v>
      </c>
      <c r="AI64" s="13">
        <f t="shared" si="55"/>
        <v>1680.07455297967</v>
      </c>
      <c r="AJ64" s="13">
        <f t="shared" si="55"/>
        <v>0</v>
      </c>
    </row>
    <row r="66" spans="3:4">
      <c r="C66" s="18" t="s">
        <v>54</v>
      </c>
      <c r="D66" s="19"/>
    </row>
    <row r="67" s="13" customFormat="1" ht="14.25" customHeight="1" spans="5:37">
      <c r="E67" s="14" t="s">
        <v>55</v>
      </c>
      <c r="F67" s="14" t="s">
        <v>0</v>
      </c>
      <c r="G67" s="14" t="s">
        <v>1</v>
      </c>
      <c r="H67" s="14" t="s">
        <v>2</v>
      </c>
      <c r="I67" s="14" t="s">
        <v>3</v>
      </c>
      <c r="J67" s="14" t="s">
        <v>4</v>
      </c>
      <c r="K67" s="14" t="s">
        <v>5</v>
      </c>
      <c r="L67" s="14" t="s">
        <v>6</v>
      </c>
      <c r="M67" s="14" t="s">
        <v>7</v>
      </c>
      <c r="N67" s="14" t="s">
        <v>8</v>
      </c>
      <c r="O67" s="14" t="s">
        <v>9</v>
      </c>
      <c r="P67" s="14" t="s">
        <v>10</v>
      </c>
      <c r="Q67" s="14" t="s">
        <v>11</v>
      </c>
      <c r="R67" s="14" t="s">
        <v>12</v>
      </c>
      <c r="S67" s="14" t="s">
        <v>13</v>
      </c>
      <c r="T67" s="14" t="s">
        <v>14</v>
      </c>
      <c r="U67" s="14" t="s">
        <v>15</v>
      </c>
      <c r="V67" s="14" t="s">
        <v>16</v>
      </c>
      <c r="W67" s="14" t="s">
        <v>17</v>
      </c>
      <c r="X67" s="14" t="s">
        <v>18</v>
      </c>
      <c r="Y67" s="14" t="s">
        <v>19</v>
      </c>
      <c r="Z67" s="14" t="s">
        <v>20</v>
      </c>
      <c r="AA67" s="14" t="s">
        <v>21</v>
      </c>
      <c r="AB67" s="14" t="s">
        <v>22</v>
      </c>
      <c r="AC67" s="14" t="s">
        <v>23</v>
      </c>
      <c r="AD67" s="14" t="s">
        <v>24</v>
      </c>
      <c r="AE67" s="14" t="s">
        <v>25</v>
      </c>
      <c r="AF67" s="14" t="s">
        <v>26</v>
      </c>
      <c r="AG67" s="14" t="s">
        <v>27</v>
      </c>
      <c r="AH67" s="14" t="s">
        <v>28</v>
      </c>
      <c r="AI67" s="14" t="s">
        <v>29</v>
      </c>
      <c r="AJ67" s="14" t="s">
        <v>30</v>
      </c>
      <c r="AK67" s="20" t="s">
        <v>56</v>
      </c>
    </row>
    <row r="68" s="13" customFormat="1" ht="14.25" customHeight="1" spans="5:67">
      <c r="E68" s="14" t="s">
        <v>0</v>
      </c>
      <c r="F68" s="13">
        <v>0</v>
      </c>
      <c r="G68" s="13">
        <f>1/G34</f>
        <v>0.0104087698218274</v>
      </c>
      <c r="H68" s="13">
        <f t="shared" ref="H68:AJ68" si="59">1/H34</f>
        <v>0.00417601694325798</v>
      </c>
      <c r="I68" s="13">
        <f t="shared" si="59"/>
        <v>0.00245510488655417</v>
      </c>
      <c r="J68" s="13">
        <f t="shared" si="59"/>
        <v>0.00235545184259351</v>
      </c>
      <c r="K68" s="13">
        <f t="shared" si="59"/>
        <v>0.00158546378094939</v>
      </c>
      <c r="L68" s="13">
        <f t="shared" si="59"/>
        <v>0.00115310784084709</v>
      </c>
      <c r="M68" s="13">
        <f t="shared" si="59"/>
        <v>0.000946202046908</v>
      </c>
      <c r="N68" s="13">
        <f t="shared" si="59"/>
        <v>0.000959695603664354</v>
      </c>
      <c r="O68" s="13">
        <f t="shared" si="59"/>
        <v>0.00116182918207118</v>
      </c>
      <c r="P68" s="13">
        <f t="shared" si="59"/>
        <v>0.000906738281396573</v>
      </c>
      <c r="Q68" s="13">
        <f t="shared" si="59"/>
        <v>0.00111377286230108</v>
      </c>
      <c r="R68" s="13">
        <f t="shared" si="59"/>
        <v>0.000654647152246351</v>
      </c>
      <c r="S68" s="13">
        <f t="shared" si="59"/>
        <v>0.000804605069605881</v>
      </c>
      <c r="T68" s="13">
        <f t="shared" si="59"/>
        <v>0.00280158349283663</v>
      </c>
      <c r="U68" s="13">
        <f t="shared" si="59"/>
        <v>0.00161230682931544</v>
      </c>
      <c r="V68" s="13">
        <f t="shared" si="59"/>
        <v>0.000960311567318679</v>
      </c>
      <c r="W68" s="13">
        <f t="shared" si="59"/>
        <v>0.000759847313059146</v>
      </c>
      <c r="X68" s="13">
        <f t="shared" si="59"/>
        <v>0.000538601697867884</v>
      </c>
      <c r="Y68" s="13">
        <f t="shared" si="59"/>
        <v>0.000488452171000528</v>
      </c>
      <c r="Z68" s="13">
        <f t="shared" si="59"/>
        <v>0.00044453002387482</v>
      </c>
      <c r="AA68" s="13">
        <f t="shared" si="59"/>
        <v>0.000704561141841193</v>
      </c>
      <c r="AB68" s="13">
        <f t="shared" si="59"/>
        <v>0.000664034374340759</v>
      </c>
      <c r="AC68" s="13">
        <f t="shared" si="59"/>
        <v>0.000578153670361845</v>
      </c>
      <c r="AD68" s="13">
        <f t="shared" si="59"/>
        <v>0.000483482562888557</v>
      </c>
      <c r="AE68" s="13">
        <f t="shared" si="59"/>
        <v>0.000391184843361474</v>
      </c>
      <c r="AF68" s="13">
        <f t="shared" si="59"/>
        <v>0.00110149105409593</v>
      </c>
      <c r="AG68" s="13">
        <f t="shared" si="59"/>
        <v>0.000844065741156431</v>
      </c>
      <c r="AH68" s="13">
        <f t="shared" si="59"/>
        <v>0.000745804752497066</v>
      </c>
      <c r="AI68" s="13">
        <f t="shared" si="59"/>
        <v>0.00113095226947689</v>
      </c>
      <c r="AJ68" s="13">
        <f t="shared" si="59"/>
        <v>0.000410849937379194</v>
      </c>
      <c r="AK68" s="13">
        <f>SUM(F68:AJ68)</f>
        <v>0.0433416187568954</v>
      </c>
      <c r="AL68" s="13">
        <f>$AK68</f>
        <v>0.0433416187568954</v>
      </c>
      <c r="AM68" s="13">
        <f t="shared" ref="AM68:BO76" si="60">$AK68</f>
        <v>0.0433416187568954</v>
      </c>
      <c r="AN68" s="13">
        <f t="shared" si="60"/>
        <v>0.0433416187568954</v>
      </c>
      <c r="AO68" s="13">
        <f t="shared" si="60"/>
        <v>0.0433416187568954</v>
      </c>
      <c r="AP68" s="13">
        <f t="shared" si="60"/>
        <v>0.0433416187568954</v>
      </c>
      <c r="AQ68" s="13">
        <f t="shared" si="60"/>
        <v>0.0433416187568954</v>
      </c>
      <c r="AR68" s="13">
        <f t="shared" si="60"/>
        <v>0.0433416187568954</v>
      </c>
      <c r="AS68" s="13">
        <f t="shared" si="60"/>
        <v>0.0433416187568954</v>
      </c>
      <c r="AT68" s="13">
        <f t="shared" si="60"/>
        <v>0.0433416187568954</v>
      </c>
      <c r="AU68" s="13">
        <f t="shared" si="60"/>
        <v>0.0433416187568954</v>
      </c>
      <c r="AV68" s="13">
        <f t="shared" si="60"/>
        <v>0.0433416187568954</v>
      </c>
      <c r="AW68" s="13">
        <f t="shared" si="60"/>
        <v>0.0433416187568954</v>
      </c>
      <c r="AX68" s="13">
        <f t="shared" si="60"/>
        <v>0.0433416187568954</v>
      </c>
      <c r="AY68" s="13">
        <f t="shared" si="60"/>
        <v>0.0433416187568954</v>
      </c>
      <c r="AZ68" s="13">
        <f t="shared" si="60"/>
        <v>0.0433416187568954</v>
      </c>
      <c r="BA68" s="13">
        <f t="shared" si="60"/>
        <v>0.0433416187568954</v>
      </c>
      <c r="BB68" s="13">
        <f t="shared" si="60"/>
        <v>0.0433416187568954</v>
      </c>
      <c r="BC68" s="13">
        <f t="shared" si="60"/>
        <v>0.0433416187568954</v>
      </c>
      <c r="BD68" s="13">
        <f t="shared" si="60"/>
        <v>0.0433416187568954</v>
      </c>
      <c r="BE68" s="13">
        <f t="shared" si="60"/>
        <v>0.0433416187568954</v>
      </c>
      <c r="BF68" s="13">
        <f t="shared" si="60"/>
        <v>0.0433416187568954</v>
      </c>
      <c r="BG68" s="13">
        <f t="shared" si="60"/>
        <v>0.0433416187568954</v>
      </c>
      <c r="BH68" s="13">
        <f t="shared" si="60"/>
        <v>0.0433416187568954</v>
      </c>
      <c r="BI68" s="13">
        <f t="shared" si="60"/>
        <v>0.0433416187568954</v>
      </c>
      <c r="BJ68" s="13">
        <f t="shared" si="60"/>
        <v>0.0433416187568954</v>
      </c>
      <c r="BK68" s="13">
        <f t="shared" si="60"/>
        <v>0.0433416187568954</v>
      </c>
      <c r="BL68" s="13">
        <f t="shared" si="60"/>
        <v>0.0433416187568954</v>
      </c>
      <c r="BM68" s="13">
        <f t="shared" si="60"/>
        <v>0.0433416187568954</v>
      </c>
      <c r="BN68" s="13">
        <f t="shared" si="60"/>
        <v>0.0433416187568954</v>
      </c>
      <c r="BO68" s="13">
        <f t="shared" si="60"/>
        <v>0.0433416187568954</v>
      </c>
    </row>
    <row r="69" s="13" customFormat="1" ht="14.25" customHeight="1" spans="5:67">
      <c r="E69" s="14" t="s">
        <v>1</v>
      </c>
      <c r="F69" s="13">
        <f t="shared" ref="F69:F98" si="61">1/F35</f>
        <v>0.0104087698218274</v>
      </c>
      <c r="G69" s="13">
        <v>0</v>
      </c>
      <c r="H69" s="13">
        <f t="shared" ref="H69:AD69" si="62">1/H35</f>
        <v>0.00370859015386698</v>
      </c>
      <c r="I69" s="13">
        <f t="shared" si="62"/>
        <v>0.00222340490357266</v>
      </c>
      <c r="J69" s="13">
        <f t="shared" si="62"/>
        <v>0.00194209777090979</v>
      </c>
      <c r="K69" s="13">
        <f t="shared" si="62"/>
        <v>0.00170001747784307</v>
      </c>
      <c r="L69" s="13">
        <f t="shared" si="62"/>
        <v>0.00118858953043798</v>
      </c>
      <c r="M69" s="13">
        <f t="shared" si="62"/>
        <v>0.000958631274206762</v>
      </c>
      <c r="N69" s="13">
        <f t="shared" si="62"/>
        <v>0.00104643690274235</v>
      </c>
      <c r="O69" s="13">
        <f t="shared" si="62"/>
        <v>0.00126981691378045</v>
      </c>
      <c r="P69" s="13">
        <f t="shared" si="62"/>
        <v>0.000977295539411416</v>
      </c>
      <c r="Q69" s="13">
        <f t="shared" si="62"/>
        <v>0.00119772420340902</v>
      </c>
      <c r="R69" s="13">
        <f t="shared" si="62"/>
        <v>0.000686534097366346</v>
      </c>
      <c r="S69" s="13">
        <f t="shared" si="62"/>
        <v>0.000839580433748991</v>
      </c>
      <c r="T69" s="13">
        <f t="shared" si="62"/>
        <v>0.00342640294521824</v>
      </c>
      <c r="U69" s="13">
        <f t="shared" si="62"/>
        <v>0.00164926507309471</v>
      </c>
      <c r="V69" s="13">
        <f t="shared" si="62"/>
        <v>0.000997961678596385</v>
      </c>
      <c r="W69" s="13">
        <f t="shared" si="62"/>
        <v>0.00077906452452169</v>
      </c>
      <c r="X69" s="13">
        <f t="shared" si="62"/>
        <v>0.000551251940343169</v>
      </c>
      <c r="Y69" s="13">
        <f t="shared" si="62"/>
        <v>0.00049331361141516</v>
      </c>
      <c r="Z69" s="13">
        <f t="shared" si="62"/>
        <v>0.000451077671989057</v>
      </c>
      <c r="AA69" s="13">
        <f t="shared" si="62"/>
        <v>0.000699707171114382</v>
      </c>
      <c r="AB69" s="13">
        <f t="shared" si="62"/>
        <v>0.000653039939532596</v>
      </c>
      <c r="AC69" s="13">
        <f t="shared" si="62"/>
        <v>0.000578864658305187</v>
      </c>
      <c r="AD69" s="13">
        <f t="shared" si="62"/>
        <v>0.000480973108423049</v>
      </c>
      <c r="AE69" s="13">
        <f t="shared" ref="AE69" si="63">1/AE35</f>
        <v>0.000382977153953863</v>
      </c>
      <c r="AF69" s="13">
        <f t="shared" ref="AF69:AJ76" si="64">1/AF35</f>
        <v>0.00106957539731319</v>
      </c>
      <c r="AG69" s="13">
        <f t="shared" si="64"/>
        <v>0.000803158387810841</v>
      </c>
      <c r="AH69" s="13">
        <f t="shared" si="64"/>
        <v>0.000710904664964182</v>
      </c>
      <c r="AI69" s="13">
        <f t="shared" si="64"/>
        <v>0.00104604743111951</v>
      </c>
      <c r="AJ69" s="13">
        <f t="shared" si="64"/>
        <v>0.000395952025107518</v>
      </c>
      <c r="AK69" s="13">
        <f t="shared" ref="AK69:AK98" si="65">SUM(F69:AJ69)</f>
        <v>0.043317026405946</v>
      </c>
      <c r="AL69" s="13">
        <f t="shared" ref="AL69:BA92" si="66">$AK69</f>
        <v>0.043317026405946</v>
      </c>
      <c r="AM69" s="13">
        <f t="shared" si="60"/>
        <v>0.043317026405946</v>
      </c>
      <c r="AN69" s="13">
        <f t="shared" si="60"/>
        <v>0.043317026405946</v>
      </c>
      <c r="AO69" s="13">
        <f t="shared" si="60"/>
        <v>0.043317026405946</v>
      </c>
      <c r="AP69" s="13">
        <f t="shared" si="60"/>
        <v>0.043317026405946</v>
      </c>
      <c r="AQ69" s="13">
        <f t="shared" si="60"/>
        <v>0.043317026405946</v>
      </c>
      <c r="AR69" s="13">
        <f t="shared" si="60"/>
        <v>0.043317026405946</v>
      </c>
      <c r="AS69" s="13">
        <f t="shared" si="60"/>
        <v>0.043317026405946</v>
      </c>
      <c r="AT69" s="13">
        <f t="shared" si="60"/>
        <v>0.043317026405946</v>
      </c>
      <c r="AU69" s="13">
        <f t="shared" si="60"/>
        <v>0.043317026405946</v>
      </c>
      <c r="AV69" s="13">
        <f t="shared" si="60"/>
        <v>0.043317026405946</v>
      </c>
      <c r="AW69" s="13">
        <f t="shared" si="60"/>
        <v>0.043317026405946</v>
      </c>
      <c r="AX69" s="13">
        <f t="shared" si="60"/>
        <v>0.043317026405946</v>
      </c>
      <c r="AY69" s="13">
        <f t="shared" si="60"/>
        <v>0.043317026405946</v>
      </c>
      <c r="AZ69" s="13">
        <f t="shared" si="60"/>
        <v>0.043317026405946</v>
      </c>
      <c r="BA69" s="13">
        <f t="shared" si="60"/>
        <v>0.043317026405946</v>
      </c>
      <c r="BB69" s="13">
        <f t="shared" si="60"/>
        <v>0.043317026405946</v>
      </c>
      <c r="BC69" s="13">
        <f t="shared" si="60"/>
        <v>0.043317026405946</v>
      </c>
      <c r="BD69" s="13">
        <f t="shared" si="60"/>
        <v>0.043317026405946</v>
      </c>
      <c r="BE69" s="13">
        <f t="shared" si="60"/>
        <v>0.043317026405946</v>
      </c>
      <c r="BF69" s="13">
        <f t="shared" si="60"/>
        <v>0.043317026405946</v>
      </c>
      <c r="BG69" s="13">
        <f t="shared" si="60"/>
        <v>0.043317026405946</v>
      </c>
      <c r="BH69" s="13">
        <f t="shared" si="60"/>
        <v>0.043317026405946</v>
      </c>
      <c r="BI69" s="13">
        <f t="shared" si="60"/>
        <v>0.043317026405946</v>
      </c>
      <c r="BJ69" s="13">
        <f t="shared" si="60"/>
        <v>0.043317026405946</v>
      </c>
      <c r="BK69" s="13">
        <f t="shared" si="60"/>
        <v>0.043317026405946</v>
      </c>
      <c r="BL69" s="13">
        <f t="shared" si="60"/>
        <v>0.043317026405946</v>
      </c>
      <c r="BM69" s="13">
        <f t="shared" si="60"/>
        <v>0.043317026405946</v>
      </c>
      <c r="BN69" s="13">
        <f t="shared" si="60"/>
        <v>0.043317026405946</v>
      </c>
      <c r="BO69" s="13">
        <f t="shared" si="60"/>
        <v>0.043317026405946</v>
      </c>
    </row>
    <row r="70" s="13" customFormat="1" ht="14.25" customHeight="1" spans="5:67">
      <c r="E70" s="14" t="s">
        <v>2</v>
      </c>
      <c r="F70" s="13">
        <f t="shared" si="61"/>
        <v>0.00417601694325798</v>
      </c>
      <c r="G70" s="13">
        <f t="shared" ref="G70:G92" si="67">1/G36</f>
        <v>0.00370859015386698</v>
      </c>
      <c r="H70" s="13">
        <v>0</v>
      </c>
      <c r="I70" s="13">
        <f t="shared" ref="I70:AD70" si="68">1/I36</f>
        <v>0.00551346618195346</v>
      </c>
      <c r="J70" s="13">
        <f t="shared" si="68"/>
        <v>0.00270144621054315</v>
      </c>
      <c r="K70" s="13">
        <f t="shared" si="68"/>
        <v>0.00116714425109749</v>
      </c>
      <c r="L70" s="13">
        <f t="shared" si="68"/>
        <v>0.000906446666138174</v>
      </c>
      <c r="M70" s="13">
        <f t="shared" si="68"/>
        <v>0.000771584694812132</v>
      </c>
      <c r="N70" s="13">
        <f t="shared" si="68"/>
        <v>0.00100217346806207</v>
      </c>
      <c r="O70" s="13">
        <f t="shared" si="68"/>
        <v>0.00130398491346273</v>
      </c>
      <c r="P70" s="13">
        <f t="shared" si="68"/>
        <v>0.000975732828297431</v>
      </c>
      <c r="Q70" s="13">
        <f t="shared" si="68"/>
        <v>0.0012993971315024</v>
      </c>
      <c r="R70" s="13">
        <f t="shared" si="68"/>
        <v>0.00070960567970721</v>
      </c>
      <c r="S70" s="13">
        <f t="shared" si="68"/>
        <v>0.000928349921297168</v>
      </c>
      <c r="T70" s="13">
        <f t="shared" si="68"/>
        <v>0.00333686301031355</v>
      </c>
      <c r="U70" s="13">
        <f t="shared" si="68"/>
        <v>0.00247250008629411</v>
      </c>
      <c r="V70" s="13">
        <f t="shared" si="68"/>
        <v>0.00117108010793427</v>
      </c>
      <c r="W70" s="13">
        <f t="shared" si="68"/>
        <v>0.000898073919407798</v>
      </c>
      <c r="X70" s="13">
        <f t="shared" si="68"/>
        <v>0.000599951908367369</v>
      </c>
      <c r="Y70" s="13">
        <f t="shared" si="68"/>
        <v>0.000547710970374872</v>
      </c>
      <c r="Z70" s="13">
        <f t="shared" si="68"/>
        <v>0.000489594174521794</v>
      </c>
      <c r="AA70" s="13">
        <f t="shared" si="68"/>
        <v>0.000847132530301743</v>
      </c>
      <c r="AB70" s="13">
        <f t="shared" si="68"/>
        <v>0.000788648615824519</v>
      </c>
      <c r="AC70" s="13">
        <f t="shared" si="68"/>
        <v>0.000668984868012902</v>
      </c>
      <c r="AD70" s="13">
        <f t="shared" si="68"/>
        <v>0.000546711117040654</v>
      </c>
      <c r="AE70" s="13">
        <f t="shared" ref="AE70" si="69">1/AE36</f>
        <v>0.000426644967925435</v>
      </c>
      <c r="AF70" s="13">
        <f t="shared" si="64"/>
        <v>0.00149235635766363</v>
      </c>
      <c r="AG70" s="13">
        <f t="shared" si="64"/>
        <v>0.00101700405704846</v>
      </c>
      <c r="AH70" s="13">
        <f t="shared" si="64"/>
        <v>0.000869296361882544</v>
      </c>
      <c r="AI70" s="13">
        <f t="shared" si="64"/>
        <v>0.0014026143122248</v>
      </c>
      <c r="AJ70" s="13">
        <f t="shared" si="64"/>
        <v>0.000427336393100894</v>
      </c>
      <c r="AK70" s="13">
        <f t="shared" si="65"/>
        <v>0.0431664428022377</v>
      </c>
      <c r="AL70" s="13">
        <f t="shared" si="66"/>
        <v>0.0431664428022377</v>
      </c>
      <c r="AM70" s="13">
        <f t="shared" si="60"/>
        <v>0.0431664428022377</v>
      </c>
      <c r="AN70" s="13">
        <f t="shared" si="60"/>
        <v>0.0431664428022377</v>
      </c>
      <c r="AO70" s="13">
        <f t="shared" si="60"/>
        <v>0.0431664428022377</v>
      </c>
      <c r="AP70" s="13">
        <f t="shared" si="60"/>
        <v>0.0431664428022377</v>
      </c>
      <c r="AQ70" s="13">
        <f t="shared" si="60"/>
        <v>0.0431664428022377</v>
      </c>
      <c r="AR70" s="13">
        <f t="shared" si="60"/>
        <v>0.0431664428022377</v>
      </c>
      <c r="AS70" s="13">
        <f t="shared" si="60"/>
        <v>0.0431664428022377</v>
      </c>
      <c r="AT70" s="13">
        <f t="shared" si="60"/>
        <v>0.0431664428022377</v>
      </c>
      <c r="AU70" s="13">
        <f t="shared" si="60"/>
        <v>0.0431664428022377</v>
      </c>
      <c r="AV70" s="13">
        <f t="shared" si="60"/>
        <v>0.0431664428022377</v>
      </c>
      <c r="AW70" s="13">
        <f t="shared" si="60"/>
        <v>0.0431664428022377</v>
      </c>
      <c r="AX70" s="13">
        <f t="shared" si="60"/>
        <v>0.0431664428022377</v>
      </c>
      <c r="AY70" s="13">
        <f t="shared" si="60"/>
        <v>0.0431664428022377</v>
      </c>
      <c r="AZ70" s="13">
        <f t="shared" si="60"/>
        <v>0.0431664428022377</v>
      </c>
      <c r="BA70" s="13">
        <f t="shared" si="60"/>
        <v>0.0431664428022377</v>
      </c>
      <c r="BB70" s="13">
        <f t="shared" si="60"/>
        <v>0.0431664428022377</v>
      </c>
      <c r="BC70" s="13">
        <f t="shared" si="60"/>
        <v>0.0431664428022377</v>
      </c>
      <c r="BD70" s="13">
        <f t="shared" si="60"/>
        <v>0.0431664428022377</v>
      </c>
      <c r="BE70" s="13">
        <f t="shared" si="60"/>
        <v>0.0431664428022377</v>
      </c>
      <c r="BF70" s="13">
        <f t="shared" si="60"/>
        <v>0.0431664428022377</v>
      </c>
      <c r="BG70" s="13">
        <f t="shared" si="60"/>
        <v>0.0431664428022377</v>
      </c>
      <c r="BH70" s="13">
        <f t="shared" si="60"/>
        <v>0.0431664428022377</v>
      </c>
      <c r="BI70" s="13">
        <f t="shared" si="60"/>
        <v>0.0431664428022377</v>
      </c>
      <c r="BJ70" s="13">
        <f t="shared" si="60"/>
        <v>0.0431664428022377</v>
      </c>
      <c r="BK70" s="13">
        <f t="shared" si="60"/>
        <v>0.0431664428022377</v>
      </c>
      <c r="BL70" s="13">
        <f t="shared" si="60"/>
        <v>0.0431664428022377</v>
      </c>
      <c r="BM70" s="13">
        <f t="shared" si="60"/>
        <v>0.0431664428022377</v>
      </c>
      <c r="BN70" s="13">
        <f t="shared" si="60"/>
        <v>0.0431664428022377</v>
      </c>
      <c r="BO70" s="13">
        <f t="shared" si="60"/>
        <v>0.0431664428022377</v>
      </c>
    </row>
    <row r="71" s="13" customFormat="1" ht="14.25" customHeight="1" spans="5:67">
      <c r="E71" s="14" t="s">
        <v>3</v>
      </c>
      <c r="F71" s="13">
        <f t="shared" si="61"/>
        <v>0.00245510488655417</v>
      </c>
      <c r="G71" s="13">
        <f t="shared" si="67"/>
        <v>0.00222340490357266</v>
      </c>
      <c r="H71" s="13">
        <f t="shared" ref="H71:H92" si="70">1/H37</f>
        <v>0.00551346618195346</v>
      </c>
      <c r="I71" s="13">
        <v>0</v>
      </c>
      <c r="J71" s="13">
        <f t="shared" ref="J71:AD71" si="71">1/J37</f>
        <v>0.00296901079039025</v>
      </c>
      <c r="K71" s="13">
        <f t="shared" si="71"/>
        <v>0.000966810878086966</v>
      </c>
      <c r="L71" s="13">
        <f t="shared" si="71"/>
        <v>0.000784666844755618</v>
      </c>
      <c r="M71" s="13">
        <f t="shared" si="71"/>
        <v>0.000684892658120936</v>
      </c>
      <c r="N71" s="13">
        <f t="shared" si="71"/>
        <v>0.000919117508774374</v>
      </c>
      <c r="O71" s="13">
        <f t="shared" si="71"/>
        <v>0.00120416860932966</v>
      </c>
      <c r="P71" s="13">
        <f t="shared" si="71"/>
        <v>0.000917068787168603</v>
      </c>
      <c r="Q71" s="13">
        <f t="shared" si="71"/>
        <v>0.00124452149549199</v>
      </c>
      <c r="R71" s="13">
        <f t="shared" si="71"/>
        <v>0.000697935334566897</v>
      </c>
      <c r="S71" s="13">
        <f t="shared" si="71"/>
        <v>0.000942708516545909</v>
      </c>
      <c r="T71" s="13">
        <f t="shared" si="71"/>
        <v>0.00230284486059762</v>
      </c>
      <c r="U71" s="13">
        <f t="shared" si="71"/>
        <v>0.00280785569702553</v>
      </c>
      <c r="V71" s="13">
        <f t="shared" si="71"/>
        <v>0.00122222785864019</v>
      </c>
      <c r="W71" s="13">
        <f t="shared" si="71"/>
        <v>0.000953361079529478</v>
      </c>
      <c r="X71" s="13">
        <f t="shared" si="71"/>
        <v>0.000620518072223437</v>
      </c>
      <c r="Y71" s="13">
        <f t="shared" si="71"/>
        <v>0.000580452306534261</v>
      </c>
      <c r="Z71" s="13">
        <f t="shared" si="71"/>
        <v>0.000509888370117665</v>
      </c>
      <c r="AA71" s="13">
        <f t="shared" si="71"/>
        <v>0.000966501289030378</v>
      </c>
      <c r="AB71" s="13">
        <f t="shared" si="71"/>
        <v>0.000907070917691517</v>
      </c>
      <c r="AC71" s="13">
        <f t="shared" si="71"/>
        <v>0.000733009296131364</v>
      </c>
      <c r="AD71" s="13">
        <f t="shared" si="71"/>
        <v>0.000595810786648438</v>
      </c>
      <c r="AE71" s="13">
        <f t="shared" ref="AE71" si="72">1/AE37</f>
        <v>0.000462425798899447</v>
      </c>
      <c r="AF71" s="13">
        <f t="shared" si="64"/>
        <v>0.00197747545393706</v>
      </c>
      <c r="AG71" s="13">
        <f t="shared" si="64"/>
        <v>0.00124455200265685</v>
      </c>
      <c r="AH71" s="13">
        <f t="shared" si="64"/>
        <v>0.0010275797793672</v>
      </c>
      <c r="AI71" s="13">
        <f t="shared" si="64"/>
        <v>0.00182516764170769</v>
      </c>
      <c r="AJ71" s="13">
        <f t="shared" si="64"/>
        <v>0.00045368184054175</v>
      </c>
      <c r="AK71" s="13">
        <f t="shared" si="65"/>
        <v>0.0407133004465914</v>
      </c>
      <c r="AL71" s="13">
        <f t="shared" si="66"/>
        <v>0.0407133004465914</v>
      </c>
      <c r="AM71" s="13">
        <f t="shared" si="60"/>
        <v>0.0407133004465914</v>
      </c>
      <c r="AN71" s="13">
        <f t="shared" si="60"/>
        <v>0.0407133004465914</v>
      </c>
      <c r="AO71" s="13">
        <f t="shared" si="60"/>
        <v>0.0407133004465914</v>
      </c>
      <c r="AP71" s="13">
        <f t="shared" si="60"/>
        <v>0.0407133004465914</v>
      </c>
      <c r="AQ71" s="13">
        <f t="shared" si="60"/>
        <v>0.0407133004465914</v>
      </c>
      <c r="AR71" s="13">
        <f t="shared" si="60"/>
        <v>0.0407133004465914</v>
      </c>
      <c r="AS71" s="13">
        <f t="shared" si="60"/>
        <v>0.0407133004465914</v>
      </c>
      <c r="AT71" s="13">
        <f t="shared" si="60"/>
        <v>0.0407133004465914</v>
      </c>
      <c r="AU71" s="13">
        <f t="shared" si="60"/>
        <v>0.0407133004465914</v>
      </c>
      <c r="AV71" s="13">
        <f t="shared" si="60"/>
        <v>0.0407133004465914</v>
      </c>
      <c r="AW71" s="13">
        <f t="shared" si="60"/>
        <v>0.0407133004465914</v>
      </c>
      <c r="AX71" s="13">
        <f t="shared" si="60"/>
        <v>0.0407133004465914</v>
      </c>
      <c r="AY71" s="13">
        <f t="shared" si="60"/>
        <v>0.0407133004465914</v>
      </c>
      <c r="AZ71" s="13">
        <f t="shared" si="60"/>
        <v>0.0407133004465914</v>
      </c>
      <c r="BA71" s="13">
        <f t="shared" si="60"/>
        <v>0.0407133004465914</v>
      </c>
      <c r="BB71" s="13">
        <f t="shared" si="60"/>
        <v>0.0407133004465914</v>
      </c>
      <c r="BC71" s="13">
        <f t="shared" si="60"/>
        <v>0.0407133004465914</v>
      </c>
      <c r="BD71" s="13">
        <f t="shared" si="60"/>
        <v>0.0407133004465914</v>
      </c>
      <c r="BE71" s="13">
        <f t="shared" si="60"/>
        <v>0.0407133004465914</v>
      </c>
      <c r="BF71" s="13">
        <f t="shared" si="60"/>
        <v>0.0407133004465914</v>
      </c>
      <c r="BG71" s="13">
        <f t="shared" si="60"/>
        <v>0.0407133004465914</v>
      </c>
      <c r="BH71" s="13">
        <f t="shared" si="60"/>
        <v>0.0407133004465914</v>
      </c>
      <c r="BI71" s="13">
        <f t="shared" si="60"/>
        <v>0.0407133004465914</v>
      </c>
      <c r="BJ71" s="13">
        <f t="shared" si="60"/>
        <v>0.0407133004465914</v>
      </c>
      <c r="BK71" s="13">
        <f t="shared" si="60"/>
        <v>0.0407133004465914</v>
      </c>
      <c r="BL71" s="13">
        <f t="shared" si="60"/>
        <v>0.0407133004465914</v>
      </c>
      <c r="BM71" s="13">
        <f t="shared" si="60"/>
        <v>0.0407133004465914</v>
      </c>
      <c r="BN71" s="13">
        <f t="shared" si="60"/>
        <v>0.0407133004465914</v>
      </c>
      <c r="BO71" s="13">
        <f t="shared" si="60"/>
        <v>0.0407133004465914</v>
      </c>
    </row>
    <row r="72" s="13" customFormat="1" ht="14.25" customHeight="1" spans="5:67">
      <c r="E72" s="14" t="s">
        <v>4</v>
      </c>
      <c r="F72" s="13">
        <f t="shared" si="61"/>
        <v>0.00235545184259351</v>
      </c>
      <c r="G72" s="13">
        <f t="shared" si="67"/>
        <v>0.00194209777090979</v>
      </c>
      <c r="H72" s="13">
        <f t="shared" si="70"/>
        <v>0.00270144621054315</v>
      </c>
      <c r="I72" s="13">
        <f t="shared" ref="I72:I92" si="73">1/I38</f>
        <v>0.00296901079039025</v>
      </c>
      <c r="J72" s="13">
        <v>0</v>
      </c>
      <c r="K72" s="13">
        <f t="shared" ref="K72:AD72" si="74">1/K38</f>
        <v>0.000999555855356573</v>
      </c>
      <c r="L72" s="13">
        <f t="shared" si="74"/>
        <v>0.000841759198434762</v>
      </c>
      <c r="M72" s="13">
        <f t="shared" si="74"/>
        <v>0.000749321803452823</v>
      </c>
      <c r="N72" s="13">
        <f t="shared" si="74"/>
        <v>0.000730999406474492</v>
      </c>
      <c r="O72" s="13">
        <f t="shared" si="74"/>
        <v>0.000882752756658566</v>
      </c>
      <c r="P72" s="13">
        <f t="shared" si="74"/>
        <v>0.000718291841967191</v>
      </c>
      <c r="Q72" s="13">
        <f t="shared" si="74"/>
        <v>0.000889997927517873</v>
      </c>
      <c r="R72" s="13">
        <f t="shared" si="74"/>
        <v>0.000568251197070537</v>
      </c>
      <c r="S72" s="13">
        <f t="shared" si="74"/>
        <v>0.00071583745090431</v>
      </c>
      <c r="T72" s="13">
        <f t="shared" si="74"/>
        <v>0.00150161212871198</v>
      </c>
      <c r="U72" s="13">
        <f t="shared" si="74"/>
        <v>0.00144347482429209</v>
      </c>
      <c r="V72" s="13">
        <f t="shared" si="74"/>
        <v>0.000865828576375934</v>
      </c>
      <c r="W72" s="13">
        <f t="shared" si="74"/>
        <v>0.000724556197593699</v>
      </c>
      <c r="X72" s="13">
        <f t="shared" si="74"/>
        <v>0.000514464253369292</v>
      </c>
      <c r="Y72" s="13">
        <f t="shared" si="74"/>
        <v>0.000493449841501777</v>
      </c>
      <c r="Z72" s="13">
        <f t="shared" si="74"/>
        <v>0.000438495456940638</v>
      </c>
      <c r="AA72" s="13">
        <f t="shared" si="74"/>
        <v>0.000774946806395952</v>
      </c>
      <c r="AB72" s="13">
        <f t="shared" si="74"/>
        <v>0.000766331764253086</v>
      </c>
      <c r="AC72" s="13">
        <f t="shared" si="74"/>
        <v>0.000610093044987516</v>
      </c>
      <c r="AD72" s="13">
        <f t="shared" si="74"/>
        <v>0.000523248929937114</v>
      </c>
      <c r="AE72" s="13">
        <f t="shared" ref="AE72" si="75">1/AE38</f>
        <v>0.000451066067186916</v>
      </c>
      <c r="AF72" s="13">
        <f t="shared" si="64"/>
        <v>0.0013405781480492</v>
      </c>
      <c r="AG72" s="13">
        <f t="shared" si="64"/>
        <v>0.00117837595005099</v>
      </c>
      <c r="AH72" s="13">
        <f t="shared" si="64"/>
        <v>0.0010224729203572</v>
      </c>
      <c r="AI72" s="13">
        <f t="shared" si="64"/>
        <v>0.00194444399720696</v>
      </c>
      <c r="AJ72" s="13">
        <f t="shared" si="64"/>
        <v>0.000497340080139926</v>
      </c>
      <c r="AK72" s="13">
        <f t="shared" si="65"/>
        <v>0.0321555530396241</v>
      </c>
      <c r="AL72" s="13">
        <f t="shared" si="66"/>
        <v>0.0321555530396241</v>
      </c>
      <c r="AM72" s="13">
        <f t="shared" si="60"/>
        <v>0.0321555530396241</v>
      </c>
      <c r="AN72" s="13">
        <f t="shared" si="60"/>
        <v>0.0321555530396241</v>
      </c>
      <c r="AO72" s="13">
        <f t="shared" si="60"/>
        <v>0.0321555530396241</v>
      </c>
      <c r="AP72" s="13">
        <f t="shared" si="60"/>
        <v>0.0321555530396241</v>
      </c>
      <c r="AQ72" s="13">
        <f t="shared" si="60"/>
        <v>0.0321555530396241</v>
      </c>
      <c r="AR72" s="13">
        <f t="shared" si="60"/>
        <v>0.0321555530396241</v>
      </c>
      <c r="AS72" s="13">
        <f t="shared" si="60"/>
        <v>0.0321555530396241</v>
      </c>
      <c r="AT72" s="13">
        <f t="shared" si="60"/>
        <v>0.0321555530396241</v>
      </c>
      <c r="AU72" s="13">
        <f t="shared" si="60"/>
        <v>0.0321555530396241</v>
      </c>
      <c r="AV72" s="13">
        <f t="shared" si="60"/>
        <v>0.0321555530396241</v>
      </c>
      <c r="AW72" s="13">
        <f t="shared" si="60"/>
        <v>0.0321555530396241</v>
      </c>
      <c r="AX72" s="13">
        <f t="shared" si="60"/>
        <v>0.0321555530396241</v>
      </c>
      <c r="AY72" s="13">
        <f t="shared" si="60"/>
        <v>0.0321555530396241</v>
      </c>
      <c r="AZ72" s="13">
        <f t="shared" si="60"/>
        <v>0.0321555530396241</v>
      </c>
      <c r="BA72" s="13">
        <f t="shared" si="60"/>
        <v>0.0321555530396241</v>
      </c>
      <c r="BB72" s="13">
        <f t="shared" si="60"/>
        <v>0.0321555530396241</v>
      </c>
      <c r="BC72" s="13">
        <f t="shared" si="60"/>
        <v>0.0321555530396241</v>
      </c>
      <c r="BD72" s="13">
        <f t="shared" si="60"/>
        <v>0.0321555530396241</v>
      </c>
      <c r="BE72" s="13">
        <f t="shared" si="60"/>
        <v>0.0321555530396241</v>
      </c>
      <c r="BF72" s="13">
        <f t="shared" si="60"/>
        <v>0.0321555530396241</v>
      </c>
      <c r="BG72" s="13">
        <f t="shared" si="60"/>
        <v>0.0321555530396241</v>
      </c>
      <c r="BH72" s="13">
        <f t="shared" si="60"/>
        <v>0.0321555530396241</v>
      </c>
      <c r="BI72" s="13">
        <f t="shared" si="60"/>
        <v>0.0321555530396241</v>
      </c>
      <c r="BJ72" s="13">
        <f t="shared" si="60"/>
        <v>0.0321555530396241</v>
      </c>
      <c r="BK72" s="13">
        <f t="shared" si="60"/>
        <v>0.0321555530396241</v>
      </c>
      <c r="BL72" s="13">
        <f t="shared" si="60"/>
        <v>0.0321555530396241</v>
      </c>
      <c r="BM72" s="13">
        <f t="shared" si="60"/>
        <v>0.0321555530396241</v>
      </c>
      <c r="BN72" s="13">
        <f t="shared" si="60"/>
        <v>0.0321555530396241</v>
      </c>
      <c r="BO72" s="13">
        <f t="shared" si="60"/>
        <v>0.0321555530396241</v>
      </c>
    </row>
    <row r="73" s="13" customFormat="1" ht="14.25" customHeight="1" spans="5:67">
      <c r="E73" s="14" t="s">
        <v>5</v>
      </c>
      <c r="F73" s="13">
        <f t="shared" si="61"/>
        <v>0.00158546378094939</v>
      </c>
      <c r="G73" s="13">
        <f t="shared" si="67"/>
        <v>0.00170001747784307</v>
      </c>
      <c r="H73" s="13">
        <f t="shared" si="70"/>
        <v>0.00116714425109749</v>
      </c>
      <c r="I73" s="13">
        <f t="shared" si="73"/>
        <v>0.000966810878086966</v>
      </c>
      <c r="J73" s="13">
        <f t="shared" ref="J73:J92" si="76">1/J39</f>
        <v>0.000999555855356573</v>
      </c>
      <c r="K73" s="13">
        <v>0</v>
      </c>
      <c r="L73" s="13">
        <f t="shared" ref="L73:AD73" si="77">1/L39</f>
        <v>0.0035823830312037</v>
      </c>
      <c r="M73" s="13">
        <f t="shared" si="77"/>
        <v>0.00197111733819745</v>
      </c>
      <c r="N73" s="13">
        <f t="shared" si="77"/>
        <v>0.000858877293186818</v>
      </c>
      <c r="O73" s="13">
        <f t="shared" si="77"/>
        <v>0.000881122947888207</v>
      </c>
      <c r="P73" s="13">
        <f t="shared" si="77"/>
        <v>0.000774254492031277</v>
      </c>
      <c r="Q73" s="13">
        <f t="shared" si="77"/>
        <v>0.000810233963497878</v>
      </c>
      <c r="R73" s="13">
        <f t="shared" si="77"/>
        <v>0.000568857450707213</v>
      </c>
      <c r="S73" s="13">
        <f t="shared" si="77"/>
        <v>0.000619180923411284</v>
      </c>
      <c r="T73" s="13">
        <f t="shared" si="77"/>
        <v>0.00127830440211482</v>
      </c>
      <c r="U73" s="13">
        <f t="shared" si="77"/>
        <v>0.000859212004506892</v>
      </c>
      <c r="V73" s="13">
        <f t="shared" si="77"/>
        <v>0.000674299855617864</v>
      </c>
      <c r="W73" s="13">
        <f t="shared" si="77"/>
        <v>0.000563440010616988</v>
      </c>
      <c r="X73" s="13">
        <f t="shared" si="77"/>
        <v>0.000443545884188354</v>
      </c>
      <c r="Y73" s="13">
        <f t="shared" si="77"/>
        <v>0.000393685991652593</v>
      </c>
      <c r="Z73" s="13">
        <f t="shared" si="77"/>
        <v>0.000372003932172213</v>
      </c>
      <c r="AA73" s="13">
        <f t="shared" si="77"/>
        <v>0.000498946096622651</v>
      </c>
      <c r="AB73" s="13">
        <f t="shared" si="77"/>
        <v>0.000472185435422523</v>
      </c>
      <c r="AC73" s="13">
        <f t="shared" si="77"/>
        <v>0.000437879779209783</v>
      </c>
      <c r="AD73" s="13">
        <f t="shared" si="77"/>
        <v>0.000376972427333154</v>
      </c>
      <c r="AE73" s="13">
        <f t="shared" ref="AE73" si="78">1/AE39</f>
        <v>0.000313873859316345</v>
      </c>
      <c r="AF73" s="13">
        <f t="shared" si="64"/>
        <v>0.00065672685310053</v>
      </c>
      <c r="AG73" s="13">
        <f t="shared" si="64"/>
        <v>0.00055173760528309</v>
      </c>
      <c r="AH73" s="13">
        <f t="shared" si="64"/>
        <v>0.000509482417035704</v>
      </c>
      <c r="AI73" s="13">
        <f t="shared" si="64"/>
        <v>0.000666494798619347</v>
      </c>
      <c r="AJ73" s="13">
        <f t="shared" si="64"/>
        <v>0.000340994389517465</v>
      </c>
      <c r="AK73" s="13">
        <f t="shared" si="65"/>
        <v>0.0258948054257876</v>
      </c>
      <c r="AL73" s="13">
        <f t="shared" si="66"/>
        <v>0.0258948054257876</v>
      </c>
      <c r="AM73" s="13">
        <f t="shared" si="60"/>
        <v>0.0258948054257876</v>
      </c>
      <c r="AN73" s="13">
        <f t="shared" si="60"/>
        <v>0.0258948054257876</v>
      </c>
      <c r="AO73" s="13">
        <f t="shared" si="60"/>
        <v>0.0258948054257876</v>
      </c>
      <c r="AP73" s="13">
        <f t="shared" si="60"/>
        <v>0.0258948054257876</v>
      </c>
      <c r="AQ73" s="13">
        <f t="shared" si="60"/>
        <v>0.0258948054257876</v>
      </c>
      <c r="AR73" s="13">
        <f t="shared" si="60"/>
        <v>0.0258948054257876</v>
      </c>
      <c r="AS73" s="13">
        <f t="shared" si="60"/>
        <v>0.0258948054257876</v>
      </c>
      <c r="AT73" s="13">
        <f t="shared" si="60"/>
        <v>0.0258948054257876</v>
      </c>
      <c r="AU73" s="13">
        <f t="shared" si="60"/>
        <v>0.0258948054257876</v>
      </c>
      <c r="AV73" s="13">
        <f t="shared" si="60"/>
        <v>0.0258948054257876</v>
      </c>
      <c r="AW73" s="13">
        <f t="shared" si="60"/>
        <v>0.0258948054257876</v>
      </c>
      <c r="AX73" s="13">
        <f t="shared" si="60"/>
        <v>0.0258948054257876</v>
      </c>
      <c r="AY73" s="13">
        <f t="shared" si="60"/>
        <v>0.0258948054257876</v>
      </c>
      <c r="AZ73" s="13">
        <f t="shared" si="60"/>
        <v>0.0258948054257876</v>
      </c>
      <c r="BA73" s="13">
        <f t="shared" si="60"/>
        <v>0.0258948054257876</v>
      </c>
      <c r="BB73" s="13">
        <f t="shared" si="60"/>
        <v>0.0258948054257876</v>
      </c>
      <c r="BC73" s="13">
        <f t="shared" si="60"/>
        <v>0.0258948054257876</v>
      </c>
      <c r="BD73" s="13">
        <f t="shared" si="60"/>
        <v>0.0258948054257876</v>
      </c>
      <c r="BE73" s="13">
        <f t="shared" si="60"/>
        <v>0.0258948054257876</v>
      </c>
      <c r="BF73" s="13">
        <f t="shared" si="60"/>
        <v>0.0258948054257876</v>
      </c>
      <c r="BG73" s="13">
        <f t="shared" si="60"/>
        <v>0.0258948054257876</v>
      </c>
      <c r="BH73" s="13">
        <f t="shared" si="60"/>
        <v>0.0258948054257876</v>
      </c>
      <c r="BI73" s="13">
        <f t="shared" si="60"/>
        <v>0.0258948054257876</v>
      </c>
      <c r="BJ73" s="13">
        <f t="shared" si="60"/>
        <v>0.0258948054257876</v>
      </c>
      <c r="BK73" s="13">
        <f t="shared" si="60"/>
        <v>0.0258948054257876</v>
      </c>
      <c r="BL73" s="13">
        <f t="shared" si="60"/>
        <v>0.0258948054257876</v>
      </c>
      <c r="BM73" s="13">
        <f t="shared" si="60"/>
        <v>0.0258948054257876</v>
      </c>
      <c r="BN73" s="13">
        <f t="shared" si="60"/>
        <v>0.0258948054257876</v>
      </c>
      <c r="BO73" s="13">
        <f t="shared" si="60"/>
        <v>0.0258948054257876</v>
      </c>
    </row>
    <row r="74" s="13" customFormat="1" ht="14.25" customHeight="1" spans="5:67">
      <c r="E74" s="14" t="s">
        <v>6</v>
      </c>
      <c r="F74" s="13">
        <f t="shared" si="61"/>
        <v>0.00115310784084709</v>
      </c>
      <c r="G74" s="13">
        <f t="shared" si="67"/>
        <v>0.00118858953043798</v>
      </c>
      <c r="H74" s="13">
        <f t="shared" si="70"/>
        <v>0.000906446666138174</v>
      </c>
      <c r="I74" s="13">
        <f t="shared" si="73"/>
        <v>0.000784666844755618</v>
      </c>
      <c r="J74" s="13">
        <f t="shared" si="76"/>
        <v>0.000841759198434762</v>
      </c>
      <c r="K74" s="13">
        <f t="shared" ref="K74:K92" si="79">1/K40</f>
        <v>0.0035823830312037</v>
      </c>
      <c r="L74" s="13">
        <v>0</v>
      </c>
      <c r="M74" s="13">
        <f t="shared" ref="M74:AD74" si="80">1/M40</f>
        <v>0.00432881121485707</v>
      </c>
      <c r="N74" s="13">
        <f t="shared" si="80"/>
        <v>0.000703026702044659</v>
      </c>
      <c r="O74" s="13">
        <f t="shared" si="80"/>
        <v>0.00070908769792703</v>
      </c>
      <c r="P74" s="13">
        <f t="shared" si="80"/>
        <v>0.000642619969332224</v>
      </c>
      <c r="Q74" s="13">
        <f t="shared" si="80"/>
        <v>0.000661351116852153</v>
      </c>
      <c r="R74" s="13">
        <f t="shared" si="80"/>
        <v>0.000494662259916599</v>
      </c>
      <c r="S74" s="13">
        <f t="shared" si="80"/>
        <v>0.000528304283812475</v>
      </c>
      <c r="T74" s="13">
        <f t="shared" si="80"/>
        <v>0.000945901508559868</v>
      </c>
      <c r="U74" s="13">
        <f t="shared" si="80"/>
        <v>0.000697727760064905</v>
      </c>
      <c r="V74" s="13">
        <f t="shared" si="80"/>
        <v>0.000567535795208285</v>
      </c>
      <c r="W74" s="13">
        <f t="shared" si="80"/>
        <v>0.000486912475278812</v>
      </c>
      <c r="X74" s="13">
        <f t="shared" si="80"/>
        <v>0.000394915218980554</v>
      </c>
      <c r="Y74" s="13">
        <f t="shared" si="80"/>
        <v>0.000354788404607795</v>
      </c>
      <c r="Z74" s="13">
        <f t="shared" si="80"/>
        <v>0.000337044612406381</v>
      </c>
      <c r="AA74" s="13">
        <f t="shared" si="80"/>
        <v>0.00044078838376935</v>
      </c>
      <c r="AB74" s="13">
        <f t="shared" si="80"/>
        <v>0.000421771712509267</v>
      </c>
      <c r="AC74" s="13">
        <f t="shared" si="80"/>
        <v>0.000391265131744443</v>
      </c>
      <c r="AD74" s="13">
        <f t="shared" si="80"/>
        <v>0.000342663280044466</v>
      </c>
      <c r="AE74" s="13">
        <f t="shared" ref="AE74" si="81">1/AE40</f>
        <v>0.000294092994879609</v>
      </c>
      <c r="AF74" s="13">
        <f t="shared" si="64"/>
        <v>0.000563934965994195</v>
      </c>
      <c r="AG74" s="13">
        <f t="shared" si="64"/>
        <v>0.000493620857572507</v>
      </c>
      <c r="AH74" s="13">
        <f t="shared" si="64"/>
        <v>0.000461887741305844</v>
      </c>
      <c r="AI74" s="13">
        <f t="shared" si="64"/>
        <v>0.000588065887075927</v>
      </c>
      <c r="AJ74" s="13">
        <f t="shared" si="64"/>
        <v>0.000330231680868361</v>
      </c>
      <c r="AK74" s="13">
        <f t="shared" si="65"/>
        <v>0.0246379647674301</v>
      </c>
      <c r="AL74" s="13">
        <f t="shared" si="66"/>
        <v>0.0246379647674301</v>
      </c>
      <c r="AM74" s="13">
        <f t="shared" si="60"/>
        <v>0.0246379647674301</v>
      </c>
      <c r="AN74" s="13">
        <f t="shared" si="60"/>
        <v>0.0246379647674301</v>
      </c>
      <c r="AO74" s="13">
        <f t="shared" si="60"/>
        <v>0.0246379647674301</v>
      </c>
      <c r="AP74" s="13">
        <f t="shared" si="60"/>
        <v>0.0246379647674301</v>
      </c>
      <c r="AQ74" s="13">
        <f t="shared" si="60"/>
        <v>0.0246379647674301</v>
      </c>
      <c r="AR74" s="13">
        <f t="shared" si="60"/>
        <v>0.0246379647674301</v>
      </c>
      <c r="AS74" s="13">
        <f t="shared" si="60"/>
        <v>0.0246379647674301</v>
      </c>
      <c r="AT74" s="13">
        <f t="shared" si="60"/>
        <v>0.0246379647674301</v>
      </c>
      <c r="AU74" s="13">
        <f t="shared" si="60"/>
        <v>0.0246379647674301</v>
      </c>
      <c r="AV74" s="13">
        <f t="shared" si="60"/>
        <v>0.0246379647674301</v>
      </c>
      <c r="AW74" s="13">
        <f t="shared" si="60"/>
        <v>0.0246379647674301</v>
      </c>
      <c r="AX74" s="13">
        <f t="shared" si="60"/>
        <v>0.0246379647674301</v>
      </c>
      <c r="AY74" s="13">
        <f t="shared" si="60"/>
        <v>0.0246379647674301</v>
      </c>
      <c r="AZ74" s="13">
        <f t="shared" si="60"/>
        <v>0.0246379647674301</v>
      </c>
      <c r="BA74" s="13">
        <f t="shared" si="60"/>
        <v>0.0246379647674301</v>
      </c>
      <c r="BB74" s="13">
        <f t="shared" si="60"/>
        <v>0.0246379647674301</v>
      </c>
      <c r="BC74" s="13">
        <f t="shared" si="60"/>
        <v>0.0246379647674301</v>
      </c>
      <c r="BD74" s="13">
        <f t="shared" si="60"/>
        <v>0.0246379647674301</v>
      </c>
      <c r="BE74" s="13">
        <f t="shared" si="60"/>
        <v>0.0246379647674301</v>
      </c>
      <c r="BF74" s="13">
        <f t="shared" si="60"/>
        <v>0.0246379647674301</v>
      </c>
      <c r="BG74" s="13">
        <f t="shared" si="60"/>
        <v>0.0246379647674301</v>
      </c>
      <c r="BH74" s="13">
        <f t="shared" si="60"/>
        <v>0.0246379647674301</v>
      </c>
      <c r="BI74" s="13">
        <f t="shared" si="60"/>
        <v>0.0246379647674301</v>
      </c>
      <c r="BJ74" s="13">
        <f t="shared" si="60"/>
        <v>0.0246379647674301</v>
      </c>
      <c r="BK74" s="13">
        <f t="shared" si="60"/>
        <v>0.0246379647674301</v>
      </c>
      <c r="BL74" s="13">
        <f t="shared" si="60"/>
        <v>0.0246379647674301</v>
      </c>
      <c r="BM74" s="13">
        <f t="shared" si="60"/>
        <v>0.0246379647674301</v>
      </c>
      <c r="BN74" s="13">
        <f t="shared" si="60"/>
        <v>0.0246379647674301</v>
      </c>
      <c r="BO74" s="13">
        <f t="shared" si="60"/>
        <v>0.0246379647674301</v>
      </c>
    </row>
    <row r="75" s="13" customFormat="1" ht="14.25" customHeight="1" spans="5:67">
      <c r="E75" s="14" t="s">
        <v>7</v>
      </c>
      <c r="F75" s="13">
        <f t="shared" si="61"/>
        <v>0.000946202046908</v>
      </c>
      <c r="G75" s="13">
        <f t="shared" si="67"/>
        <v>0.000958631274206762</v>
      </c>
      <c r="H75" s="13">
        <f t="shared" si="70"/>
        <v>0.000771584694812132</v>
      </c>
      <c r="I75" s="13">
        <f t="shared" si="73"/>
        <v>0.000684892658120936</v>
      </c>
      <c r="J75" s="13">
        <f t="shared" si="76"/>
        <v>0.000749321803452823</v>
      </c>
      <c r="K75" s="13">
        <f t="shared" si="79"/>
        <v>0.00197111733819745</v>
      </c>
      <c r="L75" s="13">
        <f t="shared" ref="L75:L92" si="82">1/L41</f>
        <v>0.00432881121485707</v>
      </c>
      <c r="M75" s="13">
        <v>0</v>
      </c>
      <c r="N75" s="13">
        <f t="shared" ref="N75:AD75" si="83">1/N41</f>
        <v>0.000605521672623845</v>
      </c>
      <c r="O75" s="13">
        <f t="shared" si="83"/>
        <v>0.000609431444700907</v>
      </c>
      <c r="P75" s="13">
        <f t="shared" si="83"/>
        <v>0.000559774161621504</v>
      </c>
      <c r="Q75" s="13">
        <f t="shared" si="83"/>
        <v>0.000574212170192008</v>
      </c>
      <c r="R75" s="13">
        <f t="shared" si="83"/>
        <v>0.000444138940758738</v>
      </c>
      <c r="S75" s="13">
        <f t="shared" si="83"/>
        <v>0.000471177000113821</v>
      </c>
      <c r="T75" s="13">
        <f t="shared" si="83"/>
        <v>0.000783783843908534</v>
      </c>
      <c r="U75" s="13">
        <f t="shared" si="83"/>
        <v>0.000608194283836672</v>
      </c>
      <c r="V75" s="13">
        <f t="shared" si="83"/>
        <v>0.000503271494617752</v>
      </c>
      <c r="W75" s="13">
        <f t="shared" si="83"/>
        <v>0.00043889535049067</v>
      </c>
      <c r="X75" s="13">
        <f t="shared" si="83"/>
        <v>0.000362077189966978</v>
      </c>
      <c r="Y75" s="13">
        <f t="shared" si="83"/>
        <v>0.000328795859279337</v>
      </c>
      <c r="Z75" s="13">
        <f t="shared" si="83"/>
        <v>0.000312986953850803</v>
      </c>
      <c r="AA75" s="13">
        <f t="shared" si="83"/>
        <v>0.000404548179752562</v>
      </c>
      <c r="AB75" s="13">
        <f t="shared" si="83"/>
        <v>0.000390313498602812</v>
      </c>
      <c r="AC75" s="13">
        <f t="shared" si="83"/>
        <v>0.000361295956354776</v>
      </c>
      <c r="AD75" s="13">
        <f t="shared" si="83"/>
        <v>0.000320328308110439</v>
      </c>
      <c r="AE75" s="13">
        <f t="shared" ref="AE75" si="84">1/AE41</f>
        <v>0.000281609762683737</v>
      </c>
      <c r="AF75" s="13">
        <f t="shared" si="64"/>
        <v>0.000509125654874927</v>
      </c>
      <c r="AG75" s="13">
        <f t="shared" si="64"/>
        <v>0.000458282282150437</v>
      </c>
      <c r="AH75" s="13">
        <f t="shared" si="64"/>
        <v>0.000432785818460077</v>
      </c>
      <c r="AI75" s="13">
        <f t="shared" si="64"/>
        <v>0.000540986602875327</v>
      </c>
      <c r="AJ75" s="13">
        <f t="shared" si="64"/>
        <v>0.000325000294326347</v>
      </c>
      <c r="AK75" s="13">
        <f t="shared" si="65"/>
        <v>0.0210370977547082</v>
      </c>
      <c r="AL75" s="13">
        <f t="shared" si="66"/>
        <v>0.0210370977547082</v>
      </c>
      <c r="AM75" s="13">
        <f t="shared" si="60"/>
        <v>0.0210370977547082</v>
      </c>
      <c r="AN75" s="13">
        <f t="shared" si="60"/>
        <v>0.0210370977547082</v>
      </c>
      <c r="AO75" s="13">
        <f t="shared" si="60"/>
        <v>0.0210370977547082</v>
      </c>
      <c r="AP75" s="13">
        <f t="shared" si="60"/>
        <v>0.0210370977547082</v>
      </c>
      <c r="AQ75" s="13">
        <f t="shared" si="60"/>
        <v>0.0210370977547082</v>
      </c>
      <c r="AR75" s="13">
        <f t="shared" si="60"/>
        <v>0.0210370977547082</v>
      </c>
      <c r="AS75" s="13">
        <f t="shared" si="60"/>
        <v>0.0210370977547082</v>
      </c>
      <c r="AT75" s="13">
        <f t="shared" si="60"/>
        <v>0.0210370977547082</v>
      </c>
      <c r="AU75" s="13">
        <f t="shared" si="60"/>
        <v>0.0210370977547082</v>
      </c>
      <c r="AV75" s="13">
        <f t="shared" si="60"/>
        <v>0.0210370977547082</v>
      </c>
      <c r="AW75" s="13">
        <f t="shared" si="60"/>
        <v>0.0210370977547082</v>
      </c>
      <c r="AX75" s="13">
        <f t="shared" si="60"/>
        <v>0.0210370977547082</v>
      </c>
      <c r="AY75" s="13">
        <f t="shared" si="60"/>
        <v>0.0210370977547082</v>
      </c>
      <c r="AZ75" s="13">
        <f t="shared" si="60"/>
        <v>0.0210370977547082</v>
      </c>
      <c r="BA75" s="13">
        <f t="shared" si="60"/>
        <v>0.0210370977547082</v>
      </c>
      <c r="BB75" s="13">
        <f t="shared" si="60"/>
        <v>0.0210370977547082</v>
      </c>
      <c r="BC75" s="13">
        <f t="shared" si="60"/>
        <v>0.0210370977547082</v>
      </c>
      <c r="BD75" s="13">
        <f t="shared" si="60"/>
        <v>0.0210370977547082</v>
      </c>
      <c r="BE75" s="13">
        <f t="shared" si="60"/>
        <v>0.0210370977547082</v>
      </c>
      <c r="BF75" s="13">
        <f t="shared" si="60"/>
        <v>0.0210370977547082</v>
      </c>
      <c r="BG75" s="13">
        <f t="shared" si="60"/>
        <v>0.0210370977547082</v>
      </c>
      <c r="BH75" s="13">
        <f t="shared" si="60"/>
        <v>0.0210370977547082</v>
      </c>
      <c r="BI75" s="13">
        <f t="shared" si="60"/>
        <v>0.0210370977547082</v>
      </c>
      <c r="BJ75" s="13">
        <f t="shared" si="60"/>
        <v>0.0210370977547082</v>
      </c>
      <c r="BK75" s="13">
        <f t="shared" si="60"/>
        <v>0.0210370977547082</v>
      </c>
      <c r="BL75" s="13">
        <f t="shared" si="60"/>
        <v>0.0210370977547082</v>
      </c>
      <c r="BM75" s="13">
        <f t="shared" si="60"/>
        <v>0.0210370977547082</v>
      </c>
      <c r="BN75" s="13">
        <f t="shared" si="60"/>
        <v>0.0210370977547082</v>
      </c>
      <c r="BO75" s="13">
        <f t="shared" si="60"/>
        <v>0.0210370977547082</v>
      </c>
    </row>
    <row r="76" s="13" customFormat="1" ht="14.25" customHeight="1" spans="5:67">
      <c r="E76" s="14" t="s">
        <v>8</v>
      </c>
      <c r="F76" s="13">
        <f t="shared" si="61"/>
        <v>0.000959695603664354</v>
      </c>
      <c r="G76" s="13">
        <f t="shared" si="67"/>
        <v>0.00104643690274235</v>
      </c>
      <c r="H76" s="13">
        <f t="shared" si="70"/>
        <v>0.00100217346806207</v>
      </c>
      <c r="I76" s="13">
        <f t="shared" si="73"/>
        <v>0.000919117508774374</v>
      </c>
      <c r="J76" s="13">
        <f t="shared" si="76"/>
        <v>0.000730999406474492</v>
      </c>
      <c r="K76" s="13">
        <f t="shared" si="79"/>
        <v>0.000858877293186818</v>
      </c>
      <c r="L76" s="13">
        <f t="shared" si="82"/>
        <v>0.000703026702044659</v>
      </c>
      <c r="M76" s="13">
        <f t="shared" ref="M76:M92" si="85">1/M42</f>
        <v>0.000605521672623845</v>
      </c>
      <c r="N76" s="13">
        <v>0</v>
      </c>
      <c r="O76" s="13">
        <f t="shared" ref="O76:AD76" si="86">1/O42</f>
        <v>0.00349576212415832</v>
      </c>
      <c r="P76" s="13">
        <f t="shared" si="86"/>
        <v>0.00633867249273671</v>
      </c>
      <c r="Q76" s="13">
        <f t="shared" si="86"/>
        <v>0.00253795577555331</v>
      </c>
      <c r="R76" s="13">
        <f t="shared" si="86"/>
        <v>0.00165853314064105</v>
      </c>
      <c r="S76" s="13">
        <f t="shared" si="86"/>
        <v>0.00158016254503403</v>
      </c>
      <c r="T76" s="13">
        <f t="shared" si="86"/>
        <v>0.00141395593112766</v>
      </c>
      <c r="U76" s="13">
        <f t="shared" si="86"/>
        <v>0.00121173130603973</v>
      </c>
      <c r="V76" s="13">
        <f t="shared" si="86"/>
        <v>0.00145617291493382</v>
      </c>
      <c r="W76" s="13">
        <f t="shared" si="86"/>
        <v>0.00110359546479855</v>
      </c>
      <c r="X76" s="13">
        <f t="shared" si="86"/>
        <v>0.000829001715056999</v>
      </c>
      <c r="Y76" s="13">
        <f t="shared" si="86"/>
        <v>0.00061825466174652</v>
      </c>
      <c r="Z76" s="13">
        <f t="shared" si="86"/>
        <v>0.000601382435057246</v>
      </c>
      <c r="AA76" s="13">
        <f t="shared" si="86"/>
        <v>0.000701202856125156</v>
      </c>
      <c r="AB76" s="13">
        <f t="shared" si="86"/>
        <v>0.000605931957886626</v>
      </c>
      <c r="AC76" s="13">
        <f t="shared" si="86"/>
        <v>0.000647434979861748</v>
      </c>
      <c r="AD76" s="13">
        <f t="shared" si="86"/>
        <v>0.000507513089884011</v>
      </c>
      <c r="AE76" s="13">
        <f t="shared" ref="AE76" si="87">1/AE42</f>
        <v>0.000344841443329906</v>
      </c>
      <c r="AF76" s="13">
        <f t="shared" si="64"/>
        <v>0.000807761874595789</v>
      </c>
      <c r="AG76" s="13">
        <f t="shared" si="64"/>
        <v>0.000576828621021383</v>
      </c>
      <c r="AH76" s="13">
        <f t="shared" si="64"/>
        <v>0.000520883751259508</v>
      </c>
      <c r="AI76" s="13">
        <f t="shared" si="64"/>
        <v>0.000627760359772842</v>
      </c>
      <c r="AJ76" s="13">
        <f t="shared" si="64"/>
        <v>0.000305532311018071</v>
      </c>
      <c r="AK76" s="13">
        <f t="shared" si="65"/>
        <v>0.0353167203092119</v>
      </c>
      <c r="AL76" s="13">
        <f t="shared" si="66"/>
        <v>0.0353167203092119</v>
      </c>
      <c r="AM76" s="13">
        <f t="shared" si="60"/>
        <v>0.0353167203092119</v>
      </c>
      <c r="AN76" s="13">
        <f t="shared" si="60"/>
        <v>0.0353167203092119</v>
      </c>
      <c r="AO76" s="13">
        <f t="shared" si="60"/>
        <v>0.0353167203092119</v>
      </c>
      <c r="AP76" s="13">
        <f t="shared" si="60"/>
        <v>0.0353167203092119</v>
      </c>
      <c r="AQ76" s="13">
        <f t="shared" si="60"/>
        <v>0.0353167203092119</v>
      </c>
      <c r="AR76" s="13">
        <f t="shared" si="60"/>
        <v>0.0353167203092119</v>
      </c>
      <c r="AS76" s="13">
        <f t="shared" si="60"/>
        <v>0.0353167203092119</v>
      </c>
      <c r="AT76" s="13">
        <f t="shared" si="60"/>
        <v>0.0353167203092119</v>
      </c>
      <c r="AU76" s="13">
        <f t="shared" si="60"/>
        <v>0.0353167203092119</v>
      </c>
      <c r="AV76" s="13">
        <f t="shared" si="60"/>
        <v>0.0353167203092119</v>
      </c>
      <c r="AW76" s="13">
        <f t="shared" si="60"/>
        <v>0.0353167203092119</v>
      </c>
      <c r="AX76" s="13">
        <f t="shared" si="60"/>
        <v>0.0353167203092119</v>
      </c>
      <c r="AY76" s="13">
        <f t="shared" si="60"/>
        <v>0.0353167203092119</v>
      </c>
      <c r="AZ76" s="13">
        <f t="shared" si="60"/>
        <v>0.0353167203092119</v>
      </c>
      <c r="BA76" s="13">
        <f t="shared" si="60"/>
        <v>0.0353167203092119</v>
      </c>
      <c r="BB76" s="13">
        <f t="shared" si="60"/>
        <v>0.0353167203092119</v>
      </c>
      <c r="BC76" s="13">
        <f t="shared" si="60"/>
        <v>0.0353167203092119</v>
      </c>
      <c r="BD76" s="13">
        <f t="shared" si="60"/>
        <v>0.0353167203092119</v>
      </c>
      <c r="BE76" s="13">
        <f t="shared" si="60"/>
        <v>0.0353167203092119</v>
      </c>
      <c r="BF76" s="13">
        <f t="shared" si="60"/>
        <v>0.0353167203092119</v>
      </c>
      <c r="BG76" s="13">
        <f t="shared" si="60"/>
        <v>0.0353167203092119</v>
      </c>
      <c r="BH76" s="13">
        <f t="shared" si="60"/>
        <v>0.0353167203092119</v>
      </c>
      <c r="BI76" s="13">
        <f t="shared" si="60"/>
        <v>0.0353167203092119</v>
      </c>
      <c r="BJ76" s="13">
        <f t="shared" ref="BJ76:BO76" si="88">$AK76</f>
        <v>0.0353167203092119</v>
      </c>
      <c r="BK76" s="13">
        <f t="shared" si="88"/>
        <v>0.0353167203092119</v>
      </c>
      <c r="BL76" s="13">
        <f t="shared" si="88"/>
        <v>0.0353167203092119</v>
      </c>
      <c r="BM76" s="13">
        <f t="shared" si="88"/>
        <v>0.0353167203092119</v>
      </c>
      <c r="BN76" s="13">
        <f t="shared" si="88"/>
        <v>0.0353167203092119</v>
      </c>
      <c r="BO76" s="13">
        <f t="shared" si="88"/>
        <v>0.0353167203092119</v>
      </c>
    </row>
    <row r="77" s="13" customFormat="1" ht="14.25" customHeight="1" spans="5:67">
      <c r="E77" s="14" t="s">
        <v>9</v>
      </c>
      <c r="F77" s="13">
        <f t="shared" si="61"/>
        <v>0.00116182918207118</v>
      </c>
      <c r="G77" s="13">
        <f t="shared" si="67"/>
        <v>0.00126981691378045</v>
      </c>
      <c r="H77" s="13">
        <f t="shared" si="70"/>
        <v>0.00130398491346273</v>
      </c>
      <c r="I77" s="13">
        <f t="shared" si="73"/>
        <v>0.00120416860932966</v>
      </c>
      <c r="J77" s="13">
        <f t="shared" si="76"/>
        <v>0.000882752756658566</v>
      </c>
      <c r="K77" s="13">
        <f t="shared" si="79"/>
        <v>0.000881122947888207</v>
      </c>
      <c r="L77" s="13">
        <f t="shared" si="82"/>
        <v>0.00070908769792703</v>
      </c>
      <c r="M77" s="13">
        <f t="shared" si="85"/>
        <v>0.000609431444700907</v>
      </c>
      <c r="N77" s="13">
        <f t="shared" ref="N77:N92" si="89">1/N43</f>
        <v>0.00349576212415832</v>
      </c>
      <c r="O77" s="13">
        <v>0</v>
      </c>
      <c r="P77" s="13">
        <f t="shared" ref="P77:AC77" si="90">1/P43</f>
        <v>0.00384133654209569</v>
      </c>
      <c r="Q77" s="13">
        <f t="shared" si="90"/>
        <v>0.00742750146646787</v>
      </c>
      <c r="R77" s="13">
        <f t="shared" si="90"/>
        <v>0.00149394492131943</v>
      </c>
      <c r="S77" s="13">
        <f t="shared" si="90"/>
        <v>0.00203448337887864</v>
      </c>
      <c r="T77" s="13">
        <f t="shared" si="90"/>
        <v>0.00198147607354535</v>
      </c>
      <c r="U77" s="13">
        <f t="shared" si="90"/>
        <v>0.00184120129176968</v>
      </c>
      <c r="V77" s="13">
        <f t="shared" si="90"/>
        <v>0.00222590117913998</v>
      </c>
      <c r="W77" s="13">
        <f t="shared" si="90"/>
        <v>0.00140179254132891</v>
      </c>
      <c r="X77" s="13">
        <f t="shared" si="90"/>
        <v>0.000888313505507278</v>
      </c>
      <c r="Y77" s="13">
        <f t="shared" si="90"/>
        <v>0.000680688527920785</v>
      </c>
      <c r="Z77" s="13">
        <f t="shared" si="90"/>
        <v>0.000636844111700274</v>
      </c>
      <c r="AA77" s="13">
        <f t="shared" si="90"/>
        <v>0.000854049184476893</v>
      </c>
      <c r="AB77" s="13">
        <f t="shared" si="90"/>
        <v>0.000722687688345227</v>
      </c>
      <c r="AC77" s="13">
        <f t="shared" si="90"/>
        <v>0.000752594212956945</v>
      </c>
      <c r="AD77" s="13">
        <f t="shared" ref="AD77:AJ77" si="91">1/AD43</f>
        <v>0.000571962570933543</v>
      </c>
      <c r="AE77" s="13">
        <f t="shared" si="91"/>
        <v>0.000380589476803687</v>
      </c>
      <c r="AF77" s="13">
        <f t="shared" si="91"/>
        <v>0.00105029254269202</v>
      </c>
      <c r="AG77" s="13">
        <f t="shared" si="91"/>
        <v>0.000690708570532895</v>
      </c>
      <c r="AH77" s="13">
        <f t="shared" si="91"/>
        <v>0.000612009073558352</v>
      </c>
      <c r="AI77" s="13">
        <f t="shared" si="91"/>
        <v>0.000760010974026496</v>
      </c>
      <c r="AJ77" s="13">
        <f t="shared" si="91"/>
        <v>0.000333852897082765</v>
      </c>
      <c r="AK77" s="13">
        <f t="shared" si="65"/>
        <v>0.0427001973210598</v>
      </c>
      <c r="AL77" s="13">
        <f t="shared" si="66"/>
        <v>0.0427001973210598</v>
      </c>
      <c r="AM77" s="13">
        <f t="shared" si="66"/>
        <v>0.0427001973210598</v>
      </c>
      <c r="AN77" s="13">
        <f t="shared" si="66"/>
        <v>0.0427001973210598</v>
      </c>
      <c r="AO77" s="13">
        <f t="shared" si="66"/>
        <v>0.0427001973210598</v>
      </c>
      <c r="AP77" s="13">
        <f t="shared" si="66"/>
        <v>0.0427001973210598</v>
      </c>
      <c r="AQ77" s="13">
        <f t="shared" si="66"/>
        <v>0.0427001973210598</v>
      </c>
      <c r="AR77" s="13">
        <f t="shared" si="66"/>
        <v>0.0427001973210598</v>
      </c>
      <c r="AS77" s="13">
        <f t="shared" si="66"/>
        <v>0.0427001973210598</v>
      </c>
      <c r="AT77" s="13">
        <f t="shared" si="66"/>
        <v>0.0427001973210598</v>
      </c>
      <c r="AU77" s="13">
        <f t="shared" si="66"/>
        <v>0.0427001973210598</v>
      </c>
      <c r="AV77" s="13">
        <f t="shared" si="66"/>
        <v>0.0427001973210598</v>
      </c>
      <c r="AW77" s="13">
        <f t="shared" si="66"/>
        <v>0.0427001973210598</v>
      </c>
      <c r="AX77" s="13">
        <f t="shared" si="66"/>
        <v>0.0427001973210598</v>
      </c>
      <c r="AY77" s="13">
        <f t="shared" si="66"/>
        <v>0.0427001973210598</v>
      </c>
      <c r="AZ77" s="13">
        <f t="shared" si="66"/>
        <v>0.0427001973210598</v>
      </c>
      <c r="BA77" s="13">
        <f t="shared" si="66"/>
        <v>0.0427001973210598</v>
      </c>
      <c r="BB77" s="13">
        <f t="shared" ref="BB77:BO98" si="92">$AK77</f>
        <v>0.0427001973210598</v>
      </c>
      <c r="BC77" s="13">
        <f t="shared" si="92"/>
        <v>0.0427001973210598</v>
      </c>
      <c r="BD77" s="13">
        <f t="shared" si="92"/>
        <v>0.0427001973210598</v>
      </c>
      <c r="BE77" s="13">
        <f t="shared" si="92"/>
        <v>0.0427001973210598</v>
      </c>
      <c r="BF77" s="13">
        <f t="shared" si="92"/>
        <v>0.0427001973210598</v>
      </c>
      <c r="BG77" s="13">
        <f t="shared" si="92"/>
        <v>0.0427001973210598</v>
      </c>
      <c r="BH77" s="13">
        <f t="shared" si="92"/>
        <v>0.0427001973210598</v>
      </c>
      <c r="BI77" s="13">
        <f t="shared" si="92"/>
        <v>0.0427001973210598</v>
      </c>
      <c r="BJ77" s="13">
        <f t="shared" si="92"/>
        <v>0.0427001973210598</v>
      </c>
      <c r="BK77" s="13">
        <f t="shared" si="92"/>
        <v>0.0427001973210598</v>
      </c>
      <c r="BL77" s="13">
        <f t="shared" si="92"/>
        <v>0.0427001973210598</v>
      </c>
      <c r="BM77" s="13">
        <f t="shared" si="92"/>
        <v>0.0427001973210598</v>
      </c>
      <c r="BN77" s="13">
        <f t="shared" si="92"/>
        <v>0.0427001973210598</v>
      </c>
      <c r="BO77" s="13">
        <f t="shared" si="92"/>
        <v>0.0427001973210598</v>
      </c>
    </row>
    <row r="78" s="13" customFormat="1" ht="14.25" customHeight="1" spans="5:67">
      <c r="E78" s="14" t="s">
        <v>10</v>
      </c>
      <c r="F78" s="13">
        <f t="shared" si="61"/>
        <v>0.000906738281396573</v>
      </c>
      <c r="G78" s="13">
        <f t="shared" si="67"/>
        <v>0.000977295539411416</v>
      </c>
      <c r="H78" s="13">
        <f t="shared" si="70"/>
        <v>0.000975732828297431</v>
      </c>
      <c r="I78" s="13">
        <f t="shared" si="73"/>
        <v>0.000917068787168603</v>
      </c>
      <c r="J78" s="13">
        <f t="shared" si="76"/>
        <v>0.000718291841967191</v>
      </c>
      <c r="K78" s="13">
        <f t="shared" si="79"/>
        <v>0.000774254492031277</v>
      </c>
      <c r="L78" s="13">
        <f t="shared" si="82"/>
        <v>0.000642619969332224</v>
      </c>
      <c r="M78" s="13">
        <f t="shared" si="85"/>
        <v>0.000559774161621504</v>
      </c>
      <c r="N78" s="13">
        <f t="shared" si="89"/>
        <v>0.00633867249273671</v>
      </c>
      <c r="O78" s="13">
        <f t="shared" ref="O78:O92" si="93">1/O44</f>
        <v>0.00384133654209569</v>
      </c>
      <c r="P78" s="13">
        <v>0</v>
      </c>
      <c r="Q78" s="13">
        <f t="shared" ref="Q78:AD78" si="94">1/Q44</f>
        <v>0.00314135560631562</v>
      </c>
      <c r="R78" s="13">
        <f t="shared" si="94"/>
        <v>0.00214429365609271</v>
      </c>
      <c r="S78" s="13">
        <f t="shared" si="94"/>
        <v>0.00206938388152159</v>
      </c>
      <c r="T78" s="13">
        <f t="shared" si="94"/>
        <v>0.00132971939404746</v>
      </c>
      <c r="U78" s="13">
        <f t="shared" si="94"/>
        <v>0.00126394473012585</v>
      </c>
      <c r="V78" s="13">
        <f t="shared" si="94"/>
        <v>0.00175271732691078</v>
      </c>
      <c r="W78" s="13">
        <f t="shared" si="94"/>
        <v>0.0013080214168811</v>
      </c>
      <c r="X78" s="13">
        <f t="shared" si="94"/>
        <v>0.000953562180784253</v>
      </c>
      <c r="Y78" s="13">
        <f t="shared" si="94"/>
        <v>0.000683825326185278</v>
      </c>
      <c r="Z78" s="13">
        <f t="shared" si="94"/>
        <v>0.000664370788324898</v>
      </c>
      <c r="AA78" s="13">
        <f t="shared" si="94"/>
        <v>0.000763544503262815</v>
      </c>
      <c r="AB78" s="13">
        <f t="shared" si="94"/>
        <v>0.000648156345536249</v>
      </c>
      <c r="AC78" s="13">
        <f t="shared" si="94"/>
        <v>0.000711366363089151</v>
      </c>
      <c r="AD78" s="13">
        <f t="shared" si="94"/>
        <v>0.000545698191711284</v>
      </c>
      <c r="AE78" s="13">
        <f t="shared" ref="AE78" si="95">1/AE44</f>
        <v>0.000357716092136178</v>
      </c>
      <c r="AF78" s="13">
        <f t="shared" ref="AF78:AJ85" si="96">1/AF44</f>
        <v>0.000851989196003336</v>
      </c>
      <c r="AG78" s="13">
        <f t="shared" si="96"/>
        <v>0.00059631728436694</v>
      </c>
      <c r="AH78" s="13">
        <f t="shared" si="96"/>
        <v>0.000536973973267519</v>
      </c>
      <c r="AI78" s="13">
        <f t="shared" si="96"/>
        <v>0.000638534487373326</v>
      </c>
      <c r="AJ78" s="13">
        <f t="shared" si="96"/>
        <v>0.000308355459727848</v>
      </c>
      <c r="AK78" s="13">
        <f t="shared" si="65"/>
        <v>0.0379216311397228</v>
      </c>
      <c r="AL78" s="13">
        <f t="shared" si="66"/>
        <v>0.0379216311397228</v>
      </c>
      <c r="AM78" s="13">
        <f t="shared" si="66"/>
        <v>0.0379216311397228</v>
      </c>
      <c r="AN78" s="13">
        <f t="shared" si="66"/>
        <v>0.0379216311397228</v>
      </c>
      <c r="AO78" s="13">
        <f t="shared" si="66"/>
        <v>0.0379216311397228</v>
      </c>
      <c r="AP78" s="13">
        <f t="shared" si="66"/>
        <v>0.0379216311397228</v>
      </c>
      <c r="AQ78" s="13">
        <f t="shared" si="66"/>
        <v>0.0379216311397228</v>
      </c>
      <c r="AR78" s="13">
        <f t="shared" si="66"/>
        <v>0.0379216311397228</v>
      </c>
      <c r="AS78" s="13">
        <f t="shared" si="66"/>
        <v>0.0379216311397228</v>
      </c>
      <c r="AT78" s="13">
        <f t="shared" si="66"/>
        <v>0.0379216311397228</v>
      </c>
      <c r="AU78" s="13">
        <f t="shared" si="66"/>
        <v>0.0379216311397228</v>
      </c>
      <c r="AV78" s="13">
        <f t="shared" si="66"/>
        <v>0.0379216311397228</v>
      </c>
      <c r="AW78" s="13">
        <f t="shared" si="66"/>
        <v>0.0379216311397228</v>
      </c>
      <c r="AX78" s="13">
        <f t="shared" si="66"/>
        <v>0.0379216311397228</v>
      </c>
      <c r="AY78" s="13">
        <f t="shared" si="66"/>
        <v>0.0379216311397228</v>
      </c>
      <c r="AZ78" s="13">
        <f t="shared" si="66"/>
        <v>0.0379216311397228</v>
      </c>
      <c r="BA78" s="13">
        <f t="shared" si="66"/>
        <v>0.0379216311397228</v>
      </c>
      <c r="BB78" s="13">
        <f t="shared" si="92"/>
        <v>0.0379216311397228</v>
      </c>
      <c r="BC78" s="13">
        <f t="shared" si="92"/>
        <v>0.0379216311397228</v>
      </c>
      <c r="BD78" s="13">
        <f t="shared" si="92"/>
        <v>0.0379216311397228</v>
      </c>
      <c r="BE78" s="13">
        <f t="shared" si="92"/>
        <v>0.0379216311397228</v>
      </c>
      <c r="BF78" s="13">
        <f t="shared" si="92"/>
        <v>0.0379216311397228</v>
      </c>
      <c r="BG78" s="13">
        <f t="shared" si="92"/>
        <v>0.0379216311397228</v>
      </c>
      <c r="BH78" s="13">
        <f t="shared" si="92"/>
        <v>0.0379216311397228</v>
      </c>
      <c r="BI78" s="13">
        <f t="shared" si="92"/>
        <v>0.0379216311397228</v>
      </c>
      <c r="BJ78" s="13">
        <f t="shared" si="92"/>
        <v>0.0379216311397228</v>
      </c>
      <c r="BK78" s="13">
        <f t="shared" si="92"/>
        <v>0.0379216311397228</v>
      </c>
      <c r="BL78" s="13">
        <f t="shared" si="92"/>
        <v>0.0379216311397228</v>
      </c>
      <c r="BM78" s="13">
        <f t="shared" si="92"/>
        <v>0.0379216311397228</v>
      </c>
      <c r="BN78" s="13">
        <f t="shared" si="92"/>
        <v>0.0379216311397228</v>
      </c>
      <c r="BO78" s="13">
        <f t="shared" si="92"/>
        <v>0.0379216311397228</v>
      </c>
    </row>
    <row r="79" s="13" customFormat="1" ht="14.25" customHeight="1" spans="5:67">
      <c r="E79" s="14" t="s">
        <v>11</v>
      </c>
      <c r="F79" s="13">
        <f t="shared" si="61"/>
        <v>0.00111377286230108</v>
      </c>
      <c r="G79" s="13">
        <f t="shared" si="67"/>
        <v>0.00119772420340902</v>
      </c>
      <c r="H79" s="13">
        <f t="shared" si="70"/>
        <v>0.0012993971315024</v>
      </c>
      <c r="I79" s="13">
        <f t="shared" si="73"/>
        <v>0.00124452149549199</v>
      </c>
      <c r="J79" s="13">
        <f t="shared" si="76"/>
        <v>0.000889997927517873</v>
      </c>
      <c r="K79" s="13">
        <f t="shared" si="79"/>
        <v>0.000810233963497878</v>
      </c>
      <c r="L79" s="13">
        <f t="shared" si="82"/>
        <v>0.000661351116852153</v>
      </c>
      <c r="M79" s="13">
        <f t="shared" si="85"/>
        <v>0.000574212170192008</v>
      </c>
      <c r="N79" s="13">
        <f t="shared" si="89"/>
        <v>0.00253795577555331</v>
      </c>
      <c r="O79" s="13">
        <f t="shared" si="93"/>
        <v>0.00742750146646787</v>
      </c>
      <c r="P79" s="13">
        <f t="shared" ref="P79:P92" si="97">1/P45</f>
        <v>0.00314135560631562</v>
      </c>
      <c r="Q79" s="13">
        <v>0</v>
      </c>
      <c r="R79" s="13">
        <f t="shared" ref="R79:AD79" si="98">1/R45</f>
        <v>0.00156328485186208</v>
      </c>
      <c r="S79" s="13">
        <f t="shared" si="98"/>
        <v>0.00262585462685369</v>
      </c>
      <c r="T79" s="13">
        <f t="shared" si="98"/>
        <v>0.00184002499800034</v>
      </c>
      <c r="U79" s="13">
        <f t="shared" si="98"/>
        <v>0.0020808445123023</v>
      </c>
      <c r="V79" s="13">
        <f t="shared" si="98"/>
        <v>0.00317804849994663</v>
      </c>
      <c r="W79" s="13">
        <f t="shared" si="98"/>
        <v>0.00171807158315703</v>
      </c>
      <c r="X79" s="13">
        <f t="shared" si="98"/>
        <v>0.000980044027963665</v>
      </c>
      <c r="Y79" s="13">
        <f t="shared" si="98"/>
        <v>0.000744776966592461</v>
      </c>
      <c r="Z79" s="13">
        <f t="shared" si="98"/>
        <v>0.000686122159913848</v>
      </c>
      <c r="AA79" s="13">
        <f t="shared" si="98"/>
        <v>0.000960654163461138</v>
      </c>
      <c r="AB79" s="13">
        <f t="shared" si="98"/>
        <v>0.000794398370149046</v>
      </c>
      <c r="AC79" s="13">
        <f t="shared" si="98"/>
        <v>0.00083744028018468</v>
      </c>
      <c r="AD79" s="13">
        <f t="shared" si="98"/>
        <v>0.000619639188843514</v>
      </c>
      <c r="AE79" s="13">
        <f t="shared" ref="AE79" si="99">1/AE45</f>
        <v>0.000398951943084818</v>
      </c>
      <c r="AF79" s="13">
        <f t="shared" si="96"/>
        <v>0.00116775131626679</v>
      </c>
      <c r="AG79" s="13">
        <f t="shared" si="96"/>
        <v>0.000735932956750377</v>
      </c>
      <c r="AH79" s="13">
        <f t="shared" si="96"/>
        <v>0.000647547216587198</v>
      </c>
      <c r="AI79" s="13">
        <f t="shared" si="96"/>
        <v>0.000797757500706102</v>
      </c>
      <c r="AJ79" s="13">
        <f t="shared" si="96"/>
        <v>0.000341604575918463</v>
      </c>
      <c r="AK79" s="13">
        <f t="shared" si="65"/>
        <v>0.0436167734576454</v>
      </c>
      <c r="AL79" s="13">
        <f t="shared" si="66"/>
        <v>0.0436167734576454</v>
      </c>
      <c r="AM79" s="13">
        <f t="shared" si="66"/>
        <v>0.0436167734576454</v>
      </c>
      <c r="AN79" s="13">
        <f t="shared" si="66"/>
        <v>0.0436167734576454</v>
      </c>
      <c r="AO79" s="13">
        <f t="shared" si="66"/>
        <v>0.0436167734576454</v>
      </c>
      <c r="AP79" s="13">
        <f t="shared" si="66"/>
        <v>0.0436167734576454</v>
      </c>
      <c r="AQ79" s="13">
        <f t="shared" si="66"/>
        <v>0.0436167734576454</v>
      </c>
      <c r="AR79" s="13">
        <f t="shared" si="66"/>
        <v>0.0436167734576454</v>
      </c>
      <c r="AS79" s="13">
        <f t="shared" si="66"/>
        <v>0.0436167734576454</v>
      </c>
      <c r="AT79" s="13">
        <f t="shared" si="66"/>
        <v>0.0436167734576454</v>
      </c>
      <c r="AU79" s="13">
        <f t="shared" si="66"/>
        <v>0.0436167734576454</v>
      </c>
      <c r="AV79" s="13">
        <f t="shared" si="66"/>
        <v>0.0436167734576454</v>
      </c>
      <c r="AW79" s="13">
        <f t="shared" si="66"/>
        <v>0.0436167734576454</v>
      </c>
      <c r="AX79" s="13">
        <f t="shared" si="66"/>
        <v>0.0436167734576454</v>
      </c>
      <c r="AY79" s="13">
        <f t="shared" si="66"/>
        <v>0.0436167734576454</v>
      </c>
      <c r="AZ79" s="13">
        <f t="shared" si="66"/>
        <v>0.0436167734576454</v>
      </c>
      <c r="BA79" s="13">
        <f t="shared" si="66"/>
        <v>0.0436167734576454</v>
      </c>
      <c r="BB79" s="13">
        <f t="shared" si="92"/>
        <v>0.0436167734576454</v>
      </c>
      <c r="BC79" s="13">
        <f t="shared" si="92"/>
        <v>0.0436167734576454</v>
      </c>
      <c r="BD79" s="13">
        <f t="shared" si="92"/>
        <v>0.0436167734576454</v>
      </c>
      <c r="BE79" s="13">
        <f t="shared" si="92"/>
        <v>0.0436167734576454</v>
      </c>
      <c r="BF79" s="13">
        <f t="shared" si="92"/>
        <v>0.0436167734576454</v>
      </c>
      <c r="BG79" s="13">
        <f t="shared" si="92"/>
        <v>0.0436167734576454</v>
      </c>
      <c r="BH79" s="13">
        <f t="shared" si="92"/>
        <v>0.0436167734576454</v>
      </c>
      <c r="BI79" s="13">
        <f t="shared" si="92"/>
        <v>0.0436167734576454</v>
      </c>
      <c r="BJ79" s="13">
        <f t="shared" si="92"/>
        <v>0.0436167734576454</v>
      </c>
      <c r="BK79" s="13">
        <f t="shared" si="92"/>
        <v>0.0436167734576454</v>
      </c>
      <c r="BL79" s="13">
        <f t="shared" si="92"/>
        <v>0.0436167734576454</v>
      </c>
      <c r="BM79" s="13">
        <f t="shared" si="92"/>
        <v>0.0436167734576454</v>
      </c>
      <c r="BN79" s="13">
        <f t="shared" si="92"/>
        <v>0.0436167734576454</v>
      </c>
      <c r="BO79" s="13">
        <f t="shared" si="92"/>
        <v>0.0436167734576454</v>
      </c>
    </row>
    <row r="80" s="13" customFormat="1" ht="14.25" customHeight="1" spans="5:67">
      <c r="E80" s="14" t="s">
        <v>12</v>
      </c>
      <c r="F80" s="13">
        <f t="shared" si="61"/>
        <v>0.000654647152246351</v>
      </c>
      <c r="G80" s="13">
        <f t="shared" si="67"/>
        <v>0.000686534097366346</v>
      </c>
      <c r="H80" s="13">
        <f t="shared" si="70"/>
        <v>0.00070960567970721</v>
      </c>
      <c r="I80" s="13">
        <f t="shared" si="73"/>
        <v>0.000697935334566897</v>
      </c>
      <c r="J80" s="13">
        <f t="shared" si="76"/>
        <v>0.000568251197070537</v>
      </c>
      <c r="K80" s="13">
        <f t="shared" si="79"/>
        <v>0.000568857450707213</v>
      </c>
      <c r="L80" s="13">
        <f t="shared" si="82"/>
        <v>0.000494662259916599</v>
      </c>
      <c r="M80" s="13">
        <f t="shared" si="85"/>
        <v>0.000444138940758738</v>
      </c>
      <c r="N80" s="13">
        <f t="shared" si="89"/>
        <v>0.00165853314064105</v>
      </c>
      <c r="O80" s="13">
        <f t="shared" si="93"/>
        <v>0.00149394492131943</v>
      </c>
      <c r="P80" s="13">
        <f t="shared" si="97"/>
        <v>0.00214429365609271</v>
      </c>
      <c r="Q80" s="13">
        <f t="shared" ref="Q80:Q92" si="100">1/Q46</f>
        <v>0.00156328485186208</v>
      </c>
      <c r="R80" s="13">
        <v>0</v>
      </c>
      <c r="S80" s="13">
        <f t="shared" ref="S80:AD80" si="101">1/S46</f>
        <v>0.00225011497715741</v>
      </c>
      <c r="T80" s="13">
        <f t="shared" si="101"/>
        <v>0.000854261164757924</v>
      </c>
      <c r="U80" s="13">
        <f t="shared" si="101"/>
        <v>0.000918941423424301</v>
      </c>
      <c r="V80" s="13">
        <f t="shared" si="101"/>
        <v>0.00145791090817694</v>
      </c>
      <c r="W80" s="13">
        <f t="shared" si="101"/>
        <v>0.00144409169592701</v>
      </c>
      <c r="X80" s="13">
        <f t="shared" si="101"/>
        <v>0.00143878007868946</v>
      </c>
      <c r="Y80" s="13">
        <f t="shared" si="101"/>
        <v>0.000844971575927285</v>
      </c>
      <c r="Z80" s="13">
        <f t="shared" si="101"/>
        <v>0.000878602230646917</v>
      </c>
      <c r="AA80" s="13">
        <f t="shared" si="101"/>
        <v>0.00076658347611979</v>
      </c>
      <c r="AB80" s="13">
        <f t="shared" si="101"/>
        <v>0.000640862001006908</v>
      </c>
      <c r="AC80" s="13">
        <f t="shared" si="101"/>
        <v>0.000784663879390052</v>
      </c>
      <c r="AD80" s="13">
        <f t="shared" si="101"/>
        <v>0.000593139274506525</v>
      </c>
      <c r="AE80" s="13">
        <f t="shared" ref="AE80" si="102">1/AE46</f>
        <v>0.0003590318705939</v>
      </c>
      <c r="AF80" s="13">
        <f t="shared" si="96"/>
        <v>0.000733875976875797</v>
      </c>
      <c r="AG80" s="13">
        <f t="shared" si="96"/>
        <v>0.000538006902329236</v>
      </c>
      <c r="AH80" s="13">
        <f t="shared" si="96"/>
        <v>0.000491492284714867</v>
      </c>
      <c r="AI80" s="13">
        <f t="shared" si="96"/>
        <v>0.000547035924402244</v>
      </c>
      <c r="AJ80" s="13">
        <f t="shared" si="96"/>
        <v>0.000288792670179479</v>
      </c>
      <c r="AK80" s="13">
        <f t="shared" si="65"/>
        <v>0.0275158469970812</v>
      </c>
      <c r="AL80" s="13">
        <f t="shared" si="66"/>
        <v>0.0275158469970812</v>
      </c>
      <c r="AM80" s="13">
        <f t="shared" si="66"/>
        <v>0.0275158469970812</v>
      </c>
      <c r="AN80" s="13">
        <f t="shared" si="66"/>
        <v>0.0275158469970812</v>
      </c>
      <c r="AO80" s="13">
        <f t="shared" si="66"/>
        <v>0.0275158469970812</v>
      </c>
      <c r="AP80" s="13">
        <f t="shared" si="66"/>
        <v>0.0275158469970812</v>
      </c>
      <c r="AQ80" s="13">
        <f t="shared" si="66"/>
        <v>0.0275158469970812</v>
      </c>
      <c r="AR80" s="13">
        <f t="shared" si="66"/>
        <v>0.0275158469970812</v>
      </c>
      <c r="AS80" s="13">
        <f t="shared" si="66"/>
        <v>0.0275158469970812</v>
      </c>
      <c r="AT80" s="13">
        <f t="shared" si="66"/>
        <v>0.0275158469970812</v>
      </c>
      <c r="AU80" s="13">
        <f t="shared" si="66"/>
        <v>0.0275158469970812</v>
      </c>
      <c r="AV80" s="13">
        <f t="shared" si="66"/>
        <v>0.0275158469970812</v>
      </c>
      <c r="AW80" s="13">
        <f t="shared" si="66"/>
        <v>0.0275158469970812</v>
      </c>
      <c r="AX80" s="13">
        <f t="shared" si="66"/>
        <v>0.0275158469970812</v>
      </c>
      <c r="AY80" s="13">
        <f t="shared" si="66"/>
        <v>0.0275158469970812</v>
      </c>
      <c r="AZ80" s="13">
        <f t="shared" si="66"/>
        <v>0.0275158469970812</v>
      </c>
      <c r="BA80" s="13">
        <f t="shared" si="66"/>
        <v>0.0275158469970812</v>
      </c>
      <c r="BB80" s="13">
        <f t="shared" si="92"/>
        <v>0.0275158469970812</v>
      </c>
      <c r="BC80" s="13">
        <f t="shared" si="92"/>
        <v>0.0275158469970812</v>
      </c>
      <c r="BD80" s="13">
        <f t="shared" si="92"/>
        <v>0.0275158469970812</v>
      </c>
      <c r="BE80" s="13">
        <f t="shared" si="92"/>
        <v>0.0275158469970812</v>
      </c>
      <c r="BF80" s="13">
        <f t="shared" si="92"/>
        <v>0.0275158469970812</v>
      </c>
      <c r="BG80" s="13">
        <f t="shared" si="92"/>
        <v>0.0275158469970812</v>
      </c>
      <c r="BH80" s="13">
        <f t="shared" si="92"/>
        <v>0.0275158469970812</v>
      </c>
      <c r="BI80" s="13">
        <f t="shared" si="92"/>
        <v>0.0275158469970812</v>
      </c>
      <c r="BJ80" s="13">
        <f t="shared" si="92"/>
        <v>0.0275158469970812</v>
      </c>
      <c r="BK80" s="13">
        <f t="shared" si="92"/>
        <v>0.0275158469970812</v>
      </c>
      <c r="BL80" s="13">
        <f t="shared" si="92"/>
        <v>0.0275158469970812</v>
      </c>
      <c r="BM80" s="13">
        <f t="shared" si="92"/>
        <v>0.0275158469970812</v>
      </c>
      <c r="BN80" s="13">
        <f t="shared" si="92"/>
        <v>0.0275158469970812</v>
      </c>
      <c r="BO80" s="13">
        <f t="shared" si="92"/>
        <v>0.0275158469970812</v>
      </c>
    </row>
    <row r="81" s="13" customFormat="1" ht="14.25" customHeight="1" spans="5:67">
      <c r="E81" s="14" t="s">
        <v>13</v>
      </c>
      <c r="F81" s="13">
        <f t="shared" si="61"/>
        <v>0.000804605069605881</v>
      </c>
      <c r="G81" s="13">
        <f t="shared" si="67"/>
        <v>0.000839580433748991</v>
      </c>
      <c r="H81" s="13">
        <f t="shared" si="70"/>
        <v>0.000928349921297168</v>
      </c>
      <c r="I81" s="13">
        <f t="shared" si="73"/>
        <v>0.000942708516545909</v>
      </c>
      <c r="J81" s="13">
        <f t="shared" si="76"/>
        <v>0.00071583745090431</v>
      </c>
      <c r="K81" s="13">
        <f t="shared" si="79"/>
        <v>0.000619180923411284</v>
      </c>
      <c r="L81" s="13">
        <f t="shared" si="82"/>
        <v>0.000528304283812475</v>
      </c>
      <c r="M81" s="13">
        <f t="shared" si="85"/>
        <v>0.000471177000113821</v>
      </c>
      <c r="N81" s="13">
        <f t="shared" si="89"/>
        <v>0.00158016254503403</v>
      </c>
      <c r="O81" s="13">
        <f t="shared" si="93"/>
        <v>0.00203448337887864</v>
      </c>
      <c r="P81" s="13">
        <f t="shared" si="97"/>
        <v>0.00206938388152159</v>
      </c>
      <c r="Q81" s="13">
        <f t="shared" si="100"/>
        <v>0.00262585462685369</v>
      </c>
      <c r="R81" s="13">
        <f t="shared" ref="R81:R92" si="103">1/R47</f>
        <v>0.00225011497715741</v>
      </c>
      <c r="S81" s="13">
        <v>0</v>
      </c>
      <c r="T81" s="13">
        <f t="shared" ref="T81:AD81" si="104">1/T47</f>
        <v>0.001110006655019</v>
      </c>
      <c r="U81" s="13">
        <f t="shared" si="104"/>
        <v>0.00141888644242339</v>
      </c>
      <c r="V81" s="13">
        <f t="shared" si="104"/>
        <v>0.00392113308867309</v>
      </c>
      <c r="W81" s="13">
        <f t="shared" si="104"/>
        <v>0.00342588514115324</v>
      </c>
      <c r="X81" s="13">
        <f t="shared" si="104"/>
        <v>0.00156353336786823</v>
      </c>
      <c r="Y81" s="13">
        <f t="shared" si="104"/>
        <v>0.00100976011609985</v>
      </c>
      <c r="Z81" s="13">
        <f t="shared" si="104"/>
        <v>0.000926717882997883</v>
      </c>
      <c r="AA81" s="13">
        <f t="shared" si="104"/>
        <v>0.00112740884587489</v>
      </c>
      <c r="AB81" s="13">
        <f t="shared" si="104"/>
        <v>0.000878951762436595</v>
      </c>
      <c r="AC81" s="13">
        <f t="shared" si="104"/>
        <v>0.00107450040356832</v>
      </c>
      <c r="AD81" s="13">
        <f t="shared" si="104"/>
        <v>0.000736807564715296</v>
      </c>
      <c r="AE81" s="13">
        <f t="shared" ref="AE81" si="105">1/AE47</f>
        <v>0.000419986329951501</v>
      </c>
      <c r="AF81" s="13">
        <f t="shared" si="96"/>
        <v>0.00108300712212819</v>
      </c>
      <c r="AG81" s="13">
        <f t="shared" si="96"/>
        <v>0.000706482103629276</v>
      </c>
      <c r="AH81" s="13">
        <f t="shared" si="96"/>
        <v>0.000628740196309969</v>
      </c>
      <c r="AI81" s="13">
        <f t="shared" si="96"/>
        <v>0.000713368359604855</v>
      </c>
      <c r="AJ81" s="13">
        <f t="shared" si="96"/>
        <v>0.000331078352866442</v>
      </c>
      <c r="AK81" s="13">
        <f t="shared" si="65"/>
        <v>0.0374859967442052</v>
      </c>
      <c r="AL81" s="13">
        <f t="shared" si="66"/>
        <v>0.0374859967442052</v>
      </c>
      <c r="AM81" s="13">
        <f t="shared" si="66"/>
        <v>0.0374859967442052</v>
      </c>
      <c r="AN81" s="13">
        <f t="shared" si="66"/>
        <v>0.0374859967442052</v>
      </c>
      <c r="AO81" s="13">
        <f t="shared" si="66"/>
        <v>0.0374859967442052</v>
      </c>
      <c r="AP81" s="13">
        <f t="shared" si="66"/>
        <v>0.0374859967442052</v>
      </c>
      <c r="AQ81" s="13">
        <f t="shared" si="66"/>
        <v>0.0374859967442052</v>
      </c>
      <c r="AR81" s="13">
        <f t="shared" si="66"/>
        <v>0.0374859967442052</v>
      </c>
      <c r="AS81" s="13">
        <f t="shared" si="66"/>
        <v>0.0374859967442052</v>
      </c>
      <c r="AT81" s="13">
        <f t="shared" si="66"/>
        <v>0.0374859967442052</v>
      </c>
      <c r="AU81" s="13">
        <f t="shared" si="66"/>
        <v>0.0374859967442052</v>
      </c>
      <c r="AV81" s="13">
        <f t="shared" si="66"/>
        <v>0.0374859967442052</v>
      </c>
      <c r="AW81" s="13">
        <f t="shared" si="66"/>
        <v>0.0374859967442052</v>
      </c>
      <c r="AX81" s="13">
        <f t="shared" si="66"/>
        <v>0.0374859967442052</v>
      </c>
      <c r="AY81" s="13">
        <f t="shared" si="66"/>
        <v>0.0374859967442052</v>
      </c>
      <c r="AZ81" s="13">
        <f t="shared" si="66"/>
        <v>0.0374859967442052</v>
      </c>
      <c r="BA81" s="13">
        <f t="shared" si="66"/>
        <v>0.0374859967442052</v>
      </c>
      <c r="BB81" s="13">
        <f t="shared" si="92"/>
        <v>0.0374859967442052</v>
      </c>
      <c r="BC81" s="13">
        <f t="shared" si="92"/>
        <v>0.0374859967442052</v>
      </c>
      <c r="BD81" s="13">
        <f t="shared" si="92"/>
        <v>0.0374859967442052</v>
      </c>
      <c r="BE81" s="13">
        <f t="shared" si="92"/>
        <v>0.0374859967442052</v>
      </c>
      <c r="BF81" s="13">
        <f t="shared" si="92"/>
        <v>0.0374859967442052</v>
      </c>
      <c r="BG81" s="13">
        <f t="shared" si="92"/>
        <v>0.0374859967442052</v>
      </c>
      <c r="BH81" s="13">
        <f t="shared" si="92"/>
        <v>0.0374859967442052</v>
      </c>
      <c r="BI81" s="13">
        <f t="shared" si="92"/>
        <v>0.0374859967442052</v>
      </c>
      <c r="BJ81" s="13">
        <f t="shared" si="92"/>
        <v>0.0374859967442052</v>
      </c>
      <c r="BK81" s="13">
        <f t="shared" si="92"/>
        <v>0.0374859967442052</v>
      </c>
      <c r="BL81" s="13">
        <f t="shared" si="92"/>
        <v>0.0374859967442052</v>
      </c>
      <c r="BM81" s="13">
        <f t="shared" si="92"/>
        <v>0.0374859967442052</v>
      </c>
      <c r="BN81" s="13">
        <f t="shared" si="92"/>
        <v>0.0374859967442052</v>
      </c>
      <c r="BO81" s="13">
        <f t="shared" si="92"/>
        <v>0.0374859967442052</v>
      </c>
    </row>
    <row r="82" s="13" customFormat="1" ht="14.25" customHeight="1" spans="5:67">
      <c r="E82" s="14" t="s">
        <v>14</v>
      </c>
      <c r="F82" s="13">
        <f t="shared" si="61"/>
        <v>0.00280158349283663</v>
      </c>
      <c r="G82" s="13">
        <f t="shared" si="67"/>
        <v>0.00342640294521824</v>
      </c>
      <c r="H82" s="13">
        <f t="shared" si="70"/>
        <v>0.00333686301031355</v>
      </c>
      <c r="I82" s="13">
        <f t="shared" si="73"/>
        <v>0.00230284486059762</v>
      </c>
      <c r="J82" s="13">
        <f t="shared" si="76"/>
        <v>0.00150161212871198</v>
      </c>
      <c r="K82" s="13">
        <f t="shared" si="79"/>
        <v>0.00127830440211482</v>
      </c>
      <c r="L82" s="13">
        <f t="shared" si="82"/>
        <v>0.000945901508559868</v>
      </c>
      <c r="M82" s="13">
        <f t="shared" si="85"/>
        <v>0.000783783843908534</v>
      </c>
      <c r="N82" s="13">
        <f t="shared" si="89"/>
        <v>0.00141395593112766</v>
      </c>
      <c r="O82" s="13">
        <f t="shared" si="93"/>
        <v>0.00198147607354535</v>
      </c>
      <c r="P82" s="13">
        <f t="shared" si="97"/>
        <v>0.00132971939404746</v>
      </c>
      <c r="Q82" s="13">
        <f t="shared" si="100"/>
        <v>0.00184002499800034</v>
      </c>
      <c r="R82" s="13">
        <f t="shared" si="103"/>
        <v>0.000854261164757924</v>
      </c>
      <c r="S82" s="13">
        <f t="shared" ref="S82:S92" si="106">1/S48</f>
        <v>0.001110006655019</v>
      </c>
      <c r="T82" s="13">
        <v>0</v>
      </c>
      <c r="U82" s="13">
        <f t="shared" ref="U82:AD82" si="107">1/U48</f>
        <v>0.00255460349397029</v>
      </c>
      <c r="V82" s="13">
        <f t="shared" si="107"/>
        <v>0.00138323181605581</v>
      </c>
      <c r="W82" s="13">
        <f t="shared" si="107"/>
        <v>0.000989539432550108</v>
      </c>
      <c r="X82" s="13">
        <f t="shared" si="107"/>
        <v>0.000654194024666281</v>
      </c>
      <c r="Y82" s="13">
        <f t="shared" si="107"/>
        <v>0.000565839970652011</v>
      </c>
      <c r="Z82" s="13">
        <f t="shared" si="107"/>
        <v>0.000515430209927711</v>
      </c>
      <c r="AA82" s="13">
        <f t="shared" si="107"/>
        <v>0.000809736971327805</v>
      </c>
      <c r="AB82" s="13">
        <f t="shared" si="107"/>
        <v>0.000727032103284713</v>
      </c>
      <c r="AC82" s="13">
        <f t="shared" si="107"/>
        <v>0.000665703384031569</v>
      </c>
      <c r="AD82" s="13">
        <f t="shared" si="107"/>
        <v>0.000532235258408874</v>
      </c>
      <c r="AE82" s="13">
        <f t="shared" ref="AE82" si="108">1/AE48</f>
        <v>0.000394705249427379</v>
      </c>
      <c r="AF82" s="13">
        <f t="shared" si="96"/>
        <v>0.00124236393169602</v>
      </c>
      <c r="AG82" s="13">
        <f t="shared" si="96"/>
        <v>0.00082563279430218</v>
      </c>
      <c r="AH82" s="13">
        <f t="shared" si="96"/>
        <v>0.000719792709240253</v>
      </c>
      <c r="AI82" s="13">
        <f t="shared" si="96"/>
        <v>0.00101920561240813</v>
      </c>
      <c r="AJ82" s="13">
        <f t="shared" si="96"/>
        <v>0.000379756572288916</v>
      </c>
      <c r="AK82" s="13">
        <f t="shared" si="65"/>
        <v>0.038885743942997</v>
      </c>
      <c r="AL82" s="13">
        <f t="shared" si="66"/>
        <v>0.038885743942997</v>
      </c>
      <c r="AM82" s="13">
        <f t="shared" si="66"/>
        <v>0.038885743942997</v>
      </c>
      <c r="AN82" s="13">
        <f t="shared" si="66"/>
        <v>0.038885743942997</v>
      </c>
      <c r="AO82" s="13">
        <f t="shared" si="66"/>
        <v>0.038885743942997</v>
      </c>
      <c r="AP82" s="13">
        <f t="shared" si="66"/>
        <v>0.038885743942997</v>
      </c>
      <c r="AQ82" s="13">
        <f t="shared" si="66"/>
        <v>0.038885743942997</v>
      </c>
      <c r="AR82" s="13">
        <f t="shared" si="66"/>
        <v>0.038885743942997</v>
      </c>
      <c r="AS82" s="13">
        <f t="shared" si="66"/>
        <v>0.038885743942997</v>
      </c>
      <c r="AT82" s="13">
        <f t="shared" si="66"/>
        <v>0.038885743942997</v>
      </c>
      <c r="AU82" s="13">
        <f t="shared" si="66"/>
        <v>0.038885743942997</v>
      </c>
      <c r="AV82" s="13">
        <f t="shared" si="66"/>
        <v>0.038885743942997</v>
      </c>
      <c r="AW82" s="13">
        <f t="shared" si="66"/>
        <v>0.038885743942997</v>
      </c>
      <c r="AX82" s="13">
        <f t="shared" si="66"/>
        <v>0.038885743942997</v>
      </c>
      <c r="AY82" s="13">
        <f t="shared" si="66"/>
        <v>0.038885743942997</v>
      </c>
      <c r="AZ82" s="13">
        <f t="shared" si="66"/>
        <v>0.038885743942997</v>
      </c>
      <c r="BA82" s="13">
        <f t="shared" si="66"/>
        <v>0.038885743942997</v>
      </c>
      <c r="BB82" s="13">
        <f t="shared" si="92"/>
        <v>0.038885743942997</v>
      </c>
      <c r="BC82" s="13">
        <f t="shared" si="92"/>
        <v>0.038885743942997</v>
      </c>
      <c r="BD82" s="13">
        <f t="shared" si="92"/>
        <v>0.038885743942997</v>
      </c>
      <c r="BE82" s="13">
        <f t="shared" si="92"/>
        <v>0.038885743942997</v>
      </c>
      <c r="BF82" s="13">
        <f t="shared" si="92"/>
        <v>0.038885743942997</v>
      </c>
      <c r="BG82" s="13">
        <f t="shared" si="92"/>
        <v>0.038885743942997</v>
      </c>
      <c r="BH82" s="13">
        <f t="shared" si="92"/>
        <v>0.038885743942997</v>
      </c>
      <c r="BI82" s="13">
        <f t="shared" si="92"/>
        <v>0.038885743942997</v>
      </c>
      <c r="BJ82" s="13">
        <f t="shared" si="92"/>
        <v>0.038885743942997</v>
      </c>
      <c r="BK82" s="13">
        <f t="shared" si="92"/>
        <v>0.038885743942997</v>
      </c>
      <c r="BL82" s="13">
        <f t="shared" si="92"/>
        <v>0.038885743942997</v>
      </c>
      <c r="BM82" s="13">
        <f t="shared" si="92"/>
        <v>0.038885743942997</v>
      </c>
      <c r="BN82" s="13">
        <f t="shared" si="92"/>
        <v>0.038885743942997</v>
      </c>
      <c r="BO82" s="13">
        <f t="shared" si="92"/>
        <v>0.038885743942997</v>
      </c>
    </row>
    <row r="83" s="13" customFormat="1" ht="14.25" customHeight="1" spans="5:67">
      <c r="E83" s="14" t="s">
        <v>15</v>
      </c>
      <c r="F83" s="13">
        <f t="shared" si="61"/>
        <v>0.00161230682931544</v>
      </c>
      <c r="G83" s="13">
        <f t="shared" si="67"/>
        <v>0.00164926507309471</v>
      </c>
      <c r="H83" s="13">
        <f t="shared" si="70"/>
        <v>0.00247250008629411</v>
      </c>
      <c r="I83" s="13">
        <f t="shared" si="73"/>
        <v>0.00280785569702553</v>
      </c>
      <c r="J83" s="13">
        <f t="shared" si="76"/>
        <v>0.00144347482429209</v>
      </c>
      <c r="K83" s="13">
        <f t="shared" si="79"/>
        <v>0.000859212004506892</v>
      </c>
      <c r="L83" s="13">
        <f t="shared" si="82"/>
        <v>0.000697727760064905</v>
      </c>
      <c r="M83" s="13">
        <f t="shared" si="85"/>
        <v>0.000608194283836672</v>
      </c>
      <c r="N83" s="13">
        <f t="shared" si="89"/>
        <v>0.00121173130603973</v>
      </c>
      <c r="O83" s="13">
        <f t="shared" si="93"/>
        <v>0.00184120129176968</v>
      </c>
      <c r="P83" s="13">
        <f t="shared" si="97"/>
        <v>0.00126394473012585</v>
      </c>
      <c r="Q83" s="13">
        <f t="shared" si="100"/>
        <v>0.0020808445123023</v>
      </c>
      <c r="R83" s="13">
        <f t="shared" si="103"/>
        <v>0.000918941423424301</v>
      </c>
      <c r="S83" s="13">
        <f t="shared" si="106"/>
        <v>0.00141888644242339</v>
      </c>
      <c r="T83" s="13">
        <f t="shared" ref="T83:T92" si="109">1/T49</f>
        <v>0.00255460349397029</v>
      </c>
      <c r="U83" s="13">
        <v>0</v>
      </c>
      <c r="V83" s="13">
        <f t="shared" ref="V83:AD83" si="110">1/V49</f>
        <v>0.00215884637396404</v>
      </c>
      <c r="W83" s="13">
        <f t="shared" si="110"/>
        <v>0.00140853527991744</v>
      </c>
      <c r="X83" s="13">
        <f t="shared" si="110"/>
        <v>0.000789215686362285</v>
      </c>
      <c r="Y83" s="13">
        <f t="shared" si="110"/>
        <v>0.000700714731991973</v>
      </c>
      <c r="Z83" s="13">
        <f t="shared" si="110"/>
        <v>0.000610470651197392</v>
      </c>
      <c r="AA83" s="13">
        <f t="shared" si="110"/>
        <v>0.00118478164229716</v>
      </c>
      <c r="AB83" s="13">
        <f t="shared" si="110"/>
        <v>0.00101195354728045</v>
      </c>
      <c r="AC83" s="13">
        <f t="shared" si="110"/>
        <v>0.000889987048549379</v>
      </c>
      <c r="AD83" s="13">
        <f t="shared" si="110"/>
        <v>0.000671170134752788</v>
      </c>
      <c r="AE83" s="13">
        <f t="shared" ref="AE83" si="111">1/AE49</f>
        <v>0.00045969021145134</v>
      </c>
      <c r="AF83" s="13">
        <f t="shared" si="96"/>
        <v>0.00224605578236888</v>
      </c>
      <c r="AG83" s="13">
        <f t="shared" si="96"/>
        <v>0.00109206391951542</v>
      </c>
      <c r="AH83" s="13">
        <f t="shared" si="96"/>
        <v>0.000907845035337164</v>
      </c>
      <c r="AI83" s="13">
        <f t="shared" si="96"/>
        <v>0.00129046751436957</v>
      </c>
      <c r="AJ83" s="13">
        <f t="shared" si="96"/>
        <v>0.000407665239358829</v>
      </c>
      <c r="AK83" s="13">
        <f t="shared" si="65"/>
        <v>0.0392701525572</v>
      </c>
      <c r="AL83" s="13">
        <f t="shared" si="66"/>
        <v>0.0392701525572</v>
      </c>
      <c r="AM83" s="13">
        <f t="shared" si="66"/>
        <v>0.0392701525572</v>
      </c>
      <c r="AN83" s="13">
        <f t="shared" si="66"/>
        <v>0.0392701525572</v>
      </c>
      <c r="AO83" s="13">
        <f t="shared" si="66"/>
        <v>0.0392701525572</v>
      </c>
      <c r="AP83" s="13">
        <f t="shared" si="66"/>
        <v>0.0392701525572</v>
      </c>
      <c r="AQ83" s="13">
        <f t="shared" si="66"/>
        <v>0.0392701525572</v>
      </c>
      <c r="AR83" s="13">
        <f t="shared" si="66"/>
        <v>0.0392701525572</v>
      </c>
      <c r="AS83" s="13">
        <f t="shared" si="66"/>
        <v>0.0392701525572</v>
      </c>
      <c r="AT83" s="13">
        <f t="shared" si="66"/>
        <v>0.0392701525572</v>
      </c>
      <c r="AU83" s="13">
        <f t="shared" si="66"/>
        <v>0.0392701525572</v>
      </c>
      <c r="AV83" s="13">
        <f t="shared" si="66"/>
        <v>0.0392701525572</v>
      </c>
      <c r="AW83" s="13">
        <f t="shared" si="66"/>
        <v>0.0392701525572</v>
      </c>
      <c r="AX83" s="13">
        <f t="shared" si="66"/>
        <v>0.0392701525572</v>
      </c>
      <c r="AY83" s="13">
        <f t="shared" si="66"/>
        <v>0.0392701525572</v>
      </c>
      <c r="AZ83" s="13">
        <f t="shared" si="66"/>
        <v>0.0392701525572</v>
      </c>
      <c r="BA83" s="13">
        <f t="shared" si="66"/>
        <v>0.0392701525572</v>
      </c>
      <c r="BB83" s="13">
        <f t="shared" si="92"/>
        <v>0.0392701525572</v>
      </c>
      <c r="BC83" s="13">
        <f t="shared" si="92"/>
        <v>0.0392701525572</v>
      </c>
      <c r="BD83" s="13">
        <f t="shared" si="92"/>
        <v>0.0392701525572</v>
      </c>
      <c r="BE83" s="13">
        <f t="shared" si="92"/>
        <v>0.0392701525572</v>
      </c>
      <c r="BF83" s="13">
        <f t="shared" si="92"/>
        <v>0.0392701525572</v>
      </c>
      <c r="BG83" s="13">
        <f t="shared" si="92"/>
        <v>0.0392701525572</v>
      </c>
      <c r="BH83" s="13">
        <f t="shared" si="92"/>
        <v>0.0392701525572</v>
      </c>
      <c r="BI83" s="13">
        <f t="shared" si="92"/>
        <v>0.0392701525572</v>
      </c>
      <c r="BJ83" s="13">
        <f t="shared" si="92"/>
        <v>0.0392701525572</v>
      </c>
      <c r="BK83" s="13">
        <f t="shared" si="92"/>
        <v>0.0392701525572</v>
      </c>
      <c r="BL83" s="13">
        <f t="shared" si="92"/>
        <v>0.0392701525572</v>
      </c>
      <c r="BM83" s="13">
        <f t="shared" si="92"/>
        <v>0.0392701525572</v>
      </c>
      <c r="BN83" s="13">
        <f t="shared" si="92"/>
        <v>0.0392701525572</v>
      </c>
      <c r="BO83" s="13">
        <f t="shared" si="92"/>
        <v>0.0392701525572</v>
      </c>
    </row>
    <row r="84" s="13" customFormat="1" ht="14.25" customHeight="1" spans="5:67">
      <c r="E84" s="14" t="s">
        <v>16</v>
      </c>
      <c r="F84" s="13">
        <f t="shared" si="61"/>
        <v>0.000960311567318679</v>
      </c>
      <c r="G84" s="13">
        <f t="shared" si="67"/>
        <v>0.000997961678596385</v>
      </c>
      <c r="H84" s="13">
        <f t="shared" si="70"/>
        <v>0.00117108010793427</v>
      </c>
      <c r="I84" s="13">
        <f t="shared" si="73"/>
        <v>0.00122222785864019</v>
      </c>
      <c r="J84" s="13">
        <f t="shared" si="76"/>
        <v>0.000865828576375934</v>
      </c>
      <c r="K84" s="13">
        <f t="shared" si="79"/>
        <v>0.000674299855617864</v>
      </c>
      <c r="L84" s="13">
        <f t="shared" si="82"/>
        <v>0.000567535795208285</v>
      </c>
      <c r="M84" s="13">
        <f t="shared" si="85"/>
        <v>0.000503271494617752</v>
      </c>
      <c r="N84" s="13">
        <f t="shared" si="89"/>
        <v>0.00145617291493382</v>
      </c>
      <c r="O84" s="13">
        <f t="shared" si="93"/>
        <v>0.00222590117913998</v>
      </c>
      <c r="P84" s="13">
        <f t="shared" si="97"/>
        <v>0.00175271732691078</v>
      </c>
      <c r="Q84" s="13">
        <f t="shared" si="100"/>
        <v>0.00317804849994663</v>
      </c>
      <c r="R84" s="13">
        <f t="shared" si="103"/>
        <v>0.00145791090817694</v>
      </c>
      <c r="S84" s="13">
        <f t="shared" si="106"/>
        <v>0.00392113308867309</v>
      </c>
      <c r="T84" s="13">
        <f t="shared" si="109"/>
        <v>0.00138323181605581</v>
      </c>
      <c r="U84" s="13">
        <f t="shared" ref="U84:U92" si="112">1/U50</f>
        <v>0.00215884637396404</v>
      </c>
      <c r="V84" s="13">
        <v>0</v>
      </c>
      <c r="W84" s="13">
        <f t="shared" ref="W84:AD84" si="113">1/W50</f>
        <v>0.00342641851353846</v>
      </c>
      <c r="X84" s="13">
        <f t="shared" si="113"/>
        <v>0.00122587986522332</v>
      </c>
      <c r="Y84" s="13">
        <f t="shared" si="113"/>
        <v>0.000944089547051129</v>
      </c>
      <c r="Z84" s="13">
        <f t="shared" si="113"/>
        <v>0.0008215572513268</v>
      </c>
      <c r="AA84" s="13">
        <f t="shared" si="113"/>
        <v>0.0013504282679991</v>
      </c>
      <c r="AB84" s="13">
        <f t="shared" si="113"/>
        <v>0.00102819583145885</v>
      </c>
      <c r="AC84" s="13">
        <f t="shared" si="113"/>
        <v>0.00113657179534958</v>
      </c>
      <c r="AD84" s="13">
        <f t="shared" si="113"/>
        <v>0.000769690687722704</v>
      </c>
      <c r="AE84" s="13">
        <f t="shared" ref="AE84" si="114">1/AE50</f>
        <v>0.000449354247875988</v>
      </c>
      <c r="AF84" s="13">
        <f t="shared" si="96"/>
        <v>0.0014769155820239</v>
      </c>
      <c r="AG84" s="13">
        <f t="shared" si="96"/>
        <v>0.000849839188765441</v>
      </c>
      <c r="AH84" s="13">
        <f t="shared" si="96"/>
        <v>0.000737629625763466</v>
      </c>
      <c r="AI84" s="13">
        <f t="shared" si="96"/>
        <v>0.000871233873276873</v>
      </c>
      <c r="AJ84" s="13">
        <f t="shared" si="96"/>
        <v>0.000359958780919733</v>
      </c>
      <c r="AK84" s="13">
        <f t="shared" si="65"/>
        <v>0.0399442421004058</v>
      </c>
      <c r="AL84" s="13">
        <f t="shared" si="66"/>
        <v>0.0399442421004058</v>
      </c>
      <c r="AM84" s="13">
        <f t="shared" si="66"/>
        <v>0.0399442421004058</v>
      </c>
      <c r="AN84" s="13">
        <f t="shared" si="66"/>
        <v>0.0399442421004058</v>
      </c>
      <c r="AO84" s="13">
        <f t="shared" si="66"/>
        <v>0.0399442421004058</v>
      </c>
      <c r="AP84" s="13">
        <f t="shared" si="66"/>
        <v>0.0399442421004058</v>
      </c>
      <c r="AQ84" s="13">
        <f t="shared" si="66"/>
        <v>0.0399442421004058</v>
      </c>
      <c r="AR84" s="13">
        <f t="shared" si="66"/>
        <v>0.0399442421004058</v>
      </c>
      <c r="AS84" s="13">
        <f t="shared" si="66"/>
        <v>0.0399442421004058</v>
      </c>
      <c r="AT84" s="13">
        <f t="shared" si="66"/>
        <v>0.0399442421004058</v>
      </c>
      <c r="AU84" s="13">
        <f t="shared" si="66"/>
        <v>0.0399442421004058</v>
      </c>
      <c r="AV84" s="13">
        <f t="shared" si="66"/>
        <v>0.0399442421004058</v>
      </c>
      <c r="AW84" s="13">
        <f t="shared" si="66"/>
        <v>0.0399442421004058</v>
      </c>
      <c r="AX84" s="13">
        <f t="shared" si="66"/>
        <v>0.0399442421004058</v>
      </c>
      <c r="AY84" s="13">
        <f t="shared" si="66"/>
        <v>0.0399442421004058</v>
      </c>
      <c r="AZ84" s="13">
        <f t="shared" si="66"/>
        <v>0.0399442421004058</v>
      </c>
      <c r="BA84" s="13">
        <f t="shared" si="66"/>
        <v>0.0399442421004058</v>
      </c>
      <c r="BB84" s="13">
        <f t="shared" si="92"/>
        <v>0.0399442421004058</v>
      </c>
      <c r="BC84" s="13">
        <f t="shared" si="92"/>
        <v>0.0399442421004058</v>
      </c>
      <c r="BD84" s="13">
        <f t="shared" si="92"/>
        <v>0.0399442421004058</v>
      </c>
      <c r="BE84" s="13">
        <f t="shared" si="92"/>
        <v>0.0399442421004058</v>
      </c>
      <c r="BF84" s="13">
        <f t="shared" si="92"/>
        <v>0.0399442421004058</v>
      </c>
      <c r="BG84" s="13">
        <f t="shared" si="92"/>
        <v>0.0399442421004058</v>
      </c>
      <c r="BH84" s="13">
        <f t="shared" si="92"/>
        <v>0.0399442421004058</v>
      </c>
      <c r="BI84" s="13">
        <f t="shared" si="92"/>
        <v>0.0399442421004058</v>
      </c>
      <c r="BJ84" s="13">
        <f t="shared" si="92"/>
        <v>0.0399442421004058</v>
      </c>
      <c r="BK84" s="13">
        <f t="shared" si="92"/>
        <v>0.0399442421004058</v>
      </c>
      <c r="BL84" s="13">
        <f t="shared" si="92"/>
        <v>0.0399442421004058</v>
      </c>
      <c r="BM84" s="13">
        <f t="shared" si="92"/>
        <v>0.0399442421004058</v>
      </c>
      <c r="BN84" s="13">
        <f t="shared" si="92"/>
        <v>0.0399442421004058</v>
      </c>
      <c r="BO84" s="13">
        <f t="shared" si="92"/>
        <v>0.0399442421004058</v>
      </c>
    </row>
    <row r="85" s="13" customFormat="1" ht="14.25" customHeight="1" spans="5:67">
      <c r="E85" s="14" t="s">
        <v>17</v>
      </c>
      <c r="F85" s="13">
        <f t="shared" si="61"/>
        <v>0.000759847313059146</v>
      </c>
      <c r="G85" s="13">
        <f t="shared" si="67"/>
        <v>0.00077906452452169</v>
      </c>
      <c r="H85" s="13">
        <f t="shared" si="70"/>
        <v>0.000898073919407798</v>
      </c>
      <c r="I85" s="13">
        <f t="shared" si="73"/>
        <v>0.000953361079529478</v>
      </c>
      <c r="J85" s="13">
        <f t="shared" si="76"/>
        <v>0.000724556197593699</v>
      </c>
      <c r="K85" s="13">
        <f t="shared" si="79"/>
        <v>0.000563440010616988</v>
      </c>
      <c r="L85" s="13">
        <f t="shared" si="82"/>
        <v>0.000486912475278812</v>
      </c>
      <c r="M85" s="13">
        <f t="shared" si="85"/>
        <v>0.00043889535049067</v>
      </c>
      <c r="N85" s="13">
        <f t="shared" si="89"/>
        <v>0.00110359546479855</v>
      </c>
      <c r="O85" s="13">
        <f t="shared" si="93"/>
        <v>0.00140179254132891</v>
      </c>
      <c r="P85" s="13">
        <f t="shared" si="97"/>
        <v>0.0013080214168811</v>
      </c>
      <c r="Q85" s="13">
        <f t="shared" si="100"/>
        <v>0.00171807158315703</v>
      </c>
      <c r="R85" s="13">
        <f t="shared" si="103"/>
        <v>0.00144409169592701</v>
      </c>
      <c r="S85" s="13">
        <f t="shared" si="106"/>
        <v>0.00342588514115324</v>
      </c>
      <c r="T85" s="13">
        <f t="shared" si="109"/>
        <v>0.000989539432550108</v>
      </c>
      <c r="U85" s="13">
        <f t="shared" si="112"/>
        <v>0.00140853527991744</v>
      </c>
      <c r="V85" s="13">
        <f t="shared" ref="V85:V92" si="115">1/V51</f>
        <v>0.00342641851353846</v>
      </c>
      <c r="W85" s="13">
        <v>0</v>
      </c>
      <c r="X85" s="13">
        <f t="shared" ref="X85:AD85" si="116">1/X51</f>
        <v>0.00177379408951342</v>
      </c>
      <c r="Y85" s="13">
        <f t="shared" si="116"/>
        <v>0.00130187945996812</v>
      </c>
      <c r="Z85" s="13">
        <f t="shared" si="116"/>
        <v>0.00107093789585362</v>
      </c>
      <c r="AA85" s="13">
        <f t="shared" si="116"/>
        <v>0.0016338315639939</v>
      </c>
      <c r="AB85" s="13">
        <f t="shared" si="116"/>
        <v>0.00115207469575054</v>
      </c>
      <c r="AC85" s="13">
        <f t="shared" si="116"/>
        <v>0.0015586009773286</v>
      </c>
      <c r="AD85" s="13">
        <f t="shared" si="116"/>
        <v>0.000935891035499673</v>
      </c>
      <c r="AE85" s="13">
        <f t="shared" ref="AE85" si="117">1/AE51</f>
        <v>0.000476410289872827</v>
      </c>
      <c r="AF85" s="13">
        <f t="shared" si="96"/>
        <v>0.00129101661098275</v>
      </c>
      <c r="AG85" s="13">
        <f t="shared" si="96"/>
        <v>0.000814368808967742</v>
      </c>
      <c r="AH85" s="13">
        <f t="shared" si="96"/>
        <v>0.000718994761224294</v>
      </c>
      <c r="AI85" s="13">
        <f t="shared" si="96"/>
        <v>0.00078249192085557</v>
      </c>
      <c r="AJ85" s="13">
        <f t="shared" si="96"/>
        <v>0.000353670334270737</v>
      </c>
      <c r="AK85" s="13">
        <f t="shared" si="65"/>
        <v>0.0356940643838319</v>
      </c>
      <c r="AL85" s="13">
        <f t="shared" si="66"/>
        <v>0.0356940643838319</v>
      </c>
      <c r="AM85" s="13">
        <f t="shared" si="66"/>
        <v>0.0356940643838319</v>
      </c>
      <c r="AN85" s="13">
        <f t="shared" si="66"/>
        <v>0.0356940643838319</v>
      </c>
      <c r="AO85" s="13">
        <f t="shared" si="66"/>
        <v>0.0356940643838319</v>
      </c>
      <c r="AP85" s="13">
        <f t="shared" si="66"/>
        <v>0.0356940643838319</v>
      </c>
      <c r="AQ85" s="13">
        <f t="shared" si="66"/>
        <v>0.0356940643838319</v>
      </c>
      <c r="AR85" s="13">
        <f t="shared" si="66"/>
        <v>0.0356940643838319</v>
      </c>
      <c r="AS85" s="13">
        <f t="shared" si="66"/>
        <v>0.0356940643838319</v>
      </c>
      <c r="AT85" s="13">
        <f t="shared" si="66"/>
        <v>0.0356940643838319</v>
      </c>
      <c r="AU85" s="13">
        <f t="shared" si="66"/>
        <v>0.0356940643838319</v>
      </c>
      <c r="AV85" s="13">
        <f t="shared" si="66"/>
        <v>0.0356940643838319</v>
      </c>
      <c r="AW85" s="13">
        <f t="shared" si="66"/>
        <v>0.0356940643838319</v>
      </c>
      <c r="AX85" s="13">
        <f t="shared" si="66"/>
        <v>0.0356940643838319</v>
      </c>
      <c r="AY85" s="13">
        <f t="shared" si="66"/>
        <v>0.0356940643838319</v>
      </c>
      <c r="AZ85" s="13">
        <f t="shared" si="66"/>
        <v>0.0356940643838319</v>
      </c>
      <c r="BA85" s="13">
        <f t="shared" si="66"/>
        <v>0.0356940643838319</v>
      </c>
      <c r="BB85" s="13">
        <f t="shared" si="92"/>
        <v>0.0356940643838319</v>
      </c>
      <c r="BC85" s="13">
        <f t="shared" si="92"/>
        <v>0.0356940643838319</v>
      </c>
      <c r="BD85" s="13">
        <f t="shared" si="92"/>
        <v>0.0356940643838319</v>
      </c>
      <c r="BE85" s="13">
        <f t="shared" si="92"/>
        <v>0.0356940643838319</v>
      </c>
      <c r="BF85" s="13">
        <f t="shared" si="92"/>
        <v>0.0356940643838319</v>
      </c>
      <c r="BG85" s="13">
        <f t="shared" si="92"/>
        <v>0.0356940643838319</v>
      </c>
      <c r="BH85" s="13">
        <f t="shared" si="92"/>
        <v>0.0356940643838319</v>
      </c>
      <c r="BI85" s="13">
        <f t="shared" si="92"/>
        <v>0.0356940643838319</v>
      </c>
      <c r="BJ85" s="13">
        <f t="shared" si="92"/>
        <v>0.0356940643838319</v>
      </c>
      <c r="BK85" s="13">
        <f t="shared" si="92"/>
        <v>0.0356940643838319</v>
      </c>
      <c r="BL85" s="13">
        <f t="shared" si="92"/>
        <v>0.0356940643838319</v>
      </c>
      <c r="BM85" s="13">
        <f t="shared" si="92"/>
        <v>0.0356940643838319</v>
      </c>
      <c r="BN85" s="13">
        <f t="shared" si="92"/>
        <v>0.0356940643838319</v>
      </c>
      <c r="BO85" s="13">
        <f t="shared" si="92"/>
        <v>0.0356940643838319</v>
      </c>
    </row>
    <row r="86" s="13" customFormat="1" ht="14.25" customHeight="1" spans="5:67">
      <c r="E86" s="14" t="s">
        <v>18</v>
      </c>
      <c r="F86" s="13">
        <f t="shared" si="61"/>
        <v>0.000538601697867884</v>
      </c>
      <c r="G86" s="13">
        <f t="shared" si="67"/>
        <v>0.000551251940343169</v>
      </c>
      <c r="H86" s="13">
        <f t="shared" si="70"/>
        <v>0.000599951908367369</v>
      </c>
      <c r="I86" s="13">
        <f t="shared" si="73"/>
        <v>0.000620518072223437</v>
      </c>
      <c r="J86" s="13">
        <f t="shared" si="76"/>
        <v>0.000514464253369292</v>
      </c>
      <c r="K86" s="13">
        <f t="shared" si="79"/>
        <v>0.000443545884188354</v>
      </c>
      <c r="L86" s="13">
        <f t="shared" si="82"/>
        <v>0.000394915218980554</v>
      </c>
      <c r="M86" s="13">
        <f t="shared" si="85"/>
        <v>0.000362077189966978</v>
      </c>
      <c r="N86" s="13">
        <f t="shared" si="89"/>
        <v>0.000829001715056999</v>
      </c>
      <c r="O86" s="13">
        <f t="shared" si="93"/>
        <v>0.000888313505507278</v>
      </c>
      <c r="P86" s="13">
        <f t="shared" si="97"/>
        <v>0.000953562180784253</v>
      </c>
      <c r="Q86" s="13">
        <f t="shared" si="100"/>
        <v>0.000980044027963665</v>
      </c>
      <c r="R86" s="13">
        <f t="shared" si="103"/>
        <v>0.00143878007868946</v>
      </c>
      <c r="S86" s="13">
        <f t="shared" si="106"/>
        <v>0.00156353336786823</v>
      </c>
      <c r="T86" s="13">
        <f t="shared" si="109"/>
        <v>0.000654194024666281</v>
      </c>
      <c r="U86" s="13">
        <f t="shared" si="112"/>
        <v>0.000789215686362285</v>
      </c>
      <c r="V86" s="13">
        <f t="shared" si="115"/>
        <v>0.00122587986522332</v>
      </c>
      <c r="W86" s="13">
        <f t="shared" ref="W86:W92" si="118">1/W52</f>
        <v>0.00177379408951342</v>
      </c>
      <c r="X86" s="13">
        <v>0</v>
      </c>
      <c r="Y86" s="13">
        <f>1/Y52</f>
        <v>0.00195160107947817</v>
      </c>
      <c r="Z86" s="13">
        <f>1/Z52</f>
        <v>0.00218915678415587</v>
      </c>
      <c r="AA86" s="13">
        <f>1/AA52</f>
        <v>0.00102176231962843</v>
      </c>
      <c r="AB86" s="13">
        <f>1/AB52</f>
        <v>0.000821954312106635</v>
      </c>
      <c r="AC86" s="13">
        <f>1/AC52</f>
        <v>0.00129749870939978</v>
      </c>
      <c r="AD86" s="13">
        <f t="shared" ref="AD86:AJ86" si="119">1/AD52</f>
        <v>0.000900119894277342</v>
      </c>
      <c r="AE86" s="13">
        <f t="shared" si="119"/>
        <v>0.000433606672618894</v>
      </c>
      <c r="AF86" s="13">
        <f t="shared" si="119"/>
        <v>0.00076198186685415</v>
      </c>
      <c r="AG86" s="13">
        <f t="shared" si="119"/>
        <v>0.000582900187906884</v>
      </c>
      <c r="AH86" s="13">
        <f t="shared" si="119"/>
        <v>0.000538372562713496</v>
      </c>
      <c r="AI86" s="13">
        <f t="shared" si="119"/>
        <v>0.000550446898520762</v>
      </c>
      <c r="AJ86" s="13">
        <f t="shared" si="119"/>
        <v>0.000305277733940193</v>
      </c>
      <c r="AK86" s="13">
        <f t="shared" si="65"/>
        <v>0.0264763237285428</v>
      </c>
      <c r="AL86" s="13">
        <f t="shared" si="66"/>
        <v>0.0264763237285428</v>
      </c>
      <c r="AM86" s="13">
        <f t="shared" si="66"/>
        <v>0.0264763237285428</v>
      </c>
      <c r="AN86" s="13">
        <f t="shared" si="66"/>
        <v>0.0264763237285428</v>
      </c>
      <c r="AO86" s="13">
        <f t="shared" si="66"/>
        <v>0.0264763237285428</v>
      </c>
      <c r="AP86" s="13">
        <f t="shared" si="66"/>
        <v>0.0264763237285428</v>
      </c>
      <c r="AQ86" s="13">
        <f t="shared" si="66"/>
        <v>0.0264763237285428</v>
      </c>
      <c r="AR86" s="13">
        <f t="shared" si="66"/>
        <v>0.0264763237285428</v>
      </c>
      <c r="AS86" s="13">
        <f t="shared" si="66"/>
        <v>0.0264763237285428</v>
      </c>
      <c r="AT86" s="13">
        <f t="shared" si="66"/>
        <v>0.0264763237285428</v>
      </c>
      <c r="AU86" s="13">
        <f t="shared" si="66"/>
        <v>0.0264763237285428</v>
      </c>
      <c r="AV86" s="13">
        <f t="shared" si="66"/>
        <v>0.0264763237285428</v>
      </c>
      <c r="AW86" s="13">
        <f t="shared" si="66"/>
        <v>0.0264763237285428</v>
      </c>
      <c r="AX86" s="13">
        <f t="shared" si="66"/>
        <v>0.0264763237285428</v>
      </c>
      <c r="AY86" s="13">
        <f t="shared" si="66"/>
        <v>0.0264763237285428</v>
      </c>
      <c r="AZ86" s="13">
        <f t="shared" si="66"/>
        <v>0.0264763237285428</v>
      </c>
      <c r="BA86" s="13">
        <f t="shared" si="66"/>
        <v>0.0264763237285428</v>
      </c>
      <c r="BB86" s="13">
        <f t="shared" si="92"/>
        <v>0.0264763237285428</v>
      </c>
      <c r="BC86" s="13">
        <f t="shared" si="92"/>
        <v>0.0264763237285428</v>
      </c>
      <c r="BD86" s="13">
        <f t="shared" si="92"/>
        <v>0.0264763237285428</v>
      </c>
      <c r="BE86" s="13">
        <f t="shared" si="92"/>
        <v>0.0264763237285428</v>
      </c>
      <c r="BF86" s="13">
        <f t="shared" si="92"/>
        <v>0.0264763237285428</v>
      </c>
      <c r="BG86" s="13">
        <f t="shared" si="92"/>
        <v>0.0264763237285428</v>
      </c>
      <c r="BH86" s="13">
        <f t="shared" si="92"/>
        <v>0.0264763237285428</v>
      </c>
      <c r="BI86" s="13">
        <f t="shared" si="92"/>
        <v>0.0264763237285428</v>
      </c>
      <c r="BJ86" s="13">
        <f t="shared" si="92"/>
        <v>0.0264763237285428</v>
      </c>
      <c r="BK86" s="13">
        <f t="shared" si="92"/>
        <v>0.0264763237285428</v>
      </c>
      <c r="BL86" s="13">
        <f t="shared" si="92"/>
        <v>0.0264763237285428</v>
      </c>
      <c r="BM86" s="13">
        <f t="shared" si="92"/>
        <v>0.0264763237285428</v>
      </c>
      <c r="BN86" s="13">
        <f t="shared" si="92"/>
        <v>0.0264763237285428</v>
      </c>
      <c r="BO86" s="13">
        <f t="shared" si="92"/>
        <v>0.0264763237285428</v>
      </c>
    </row>
    <row r="87" s="13" customFormat="1" ht="14.25" customHeight="1" spans="5:67">
      <c r="E87" s="14" t="s">
        <v>19</v>
      </c>
      <c r="F87" s="13">
        <f t="shared" si="61"/>
        <v>0.000488452171000528</v>
      </c>
      <c r="G87" s="13">
        <f t="shared" si="67"/>
        <v>0.00049331361141516</v>
      </c>
      <c r="H87" s="13">
        <f t="shared" si="70"/>
        <v>0.000547710970374872</v>
      </c>
      <c r="I87" s="13">
        <f t="shared" si="73"/>
        <v>0.000580452306534261</v>
      </c>
      <c r="J87" s="13">
        <f t="shared" si="76"/>
        <v>0.000493449841501777</v>
      </c>
      <c r="K87" s="13">
        <f t="shared" si="79"/>
        <v>0.000393685991652593</v>
      </c>
      <c r="L87" s="13">
        <f t="shared" si="82"/>
        <v>0.000354788404607795</v>
      </c>
      <c r="M87" s="13">
        <f t="shared" si="85"/>
        <v>0.000328795859279337</v>
      </c>
      <c r="N87" s="13">
        <f t="shared" si="89"/>
        <v>0.00061825466174652</v>
      </c>
      <c r="O87" s="13">
        <f t="shared" si="93"/>
        <v>0.000680688527920785</v>
      </c>
      <c r="P87" s="13">
        <f t="shared" si="97"/>
        <v>0.000683825326185278</v>
      </c>
      <c r="Q87" s="13">
        <f t="shared" si="100"/>
        <v>0.000744776966592461</v>
      </c>
      <c r="R87" s="13">
        <f t="shared" si="103"/>
        <v>0.000844971575927285</v>
      </c>
      <c r="S87" s="13">
        <f t="shared" si="106"/>
        <v>0.00100976011609985</v>
      </c>
      <c r="T87" s="13">
        <f t="shared" si="109"/>
        <v>0.000565839970652011</v>
      </c>
      <c r="U87" s="13">
        <f t="shared" si="112"/>
        <v>0.000700714731991973</v>
      </c>
      <c r="V87" s="13">
        <f t="shared" si="115"/>
        <v>0.000944089547051129</v>
      </c>
      <c r="W87" s="13">
        <f t="shared" si="118"/>
        <v>0.00130187945996812</v>
      </c>
      <c r="X87" s="13">
        <f t="shared" ref="X87:X92" si="120">1/X53</f>
        <v>0.00195160107947817</v>
      </c>
      <c r="Y87" s="13">
        <v>0</v>
      </c>
      <c r="Z87" s="13">
        <f>1/Z53</f>
        <v>0.00290530685527145</v>
      </c>
      <c r="AA87" s="13">
        <f>1/AA53</f>
        <v>0.00123689513386218</v>
      </c>
      <c r="AB87" s="13">
        <f>1/AB53</f>
        <v>0.00102708948994374</v>
      </c>
      <c r="AC87" s="13">
        <f>1/AC53</f>
        <v>0.00214290412975668</v>
      </c>
      <c r="AD87" s="13">
        <f>1/AD53</f>
        <v>0.00153091506253217</v>
      </c>
      <c r="AE87" s="13">
        <f t="shared" ref="AE87" si="121">1/AE53</f>
        <v>0.00053365189695995</v>
      </c>
      <c r="AF87" s="13">
        <f t="shared" ref="AF87:AJ92" si="122">1/AF53</f>
        <v>0.000768127687154828</v>
      </c>
      <c r="AG87" s="13">
        <f t="shared" si="122"/>
        <v>0.000634580457634343</v>
      </c>
      <c r="AH87" s="13">
        <f t="shared" si="122"/>
        <v>0.000596193012441093</v>
      </c>
      <c r="AI87" s="13">
        <f t="shared" si="122"/>
        <v>0.000565485407904094</v>
      </c>
      <c r="AJ87" s="13">
        <f t="shared" si="122"/>
        <v>0.00033103421904057</v>
      </c>
      <c r="AK87" s="13">
        <f t="shared" si="65"/>
        <v>0.025999234472481</v>
      </c>
      <c r="AL87" s="13">
        <f t="shared" si="66"/>
        <v>0.025999234472481</v>
      </c>
      <c r="AM87" s="13">
        <f t="shared" si="66"/>
        <v>0.025999234472481</v>
      </c>
      <c r="AN87" s="13">
        <f t="shared" si="66"/>
        <v>0.025999234472481</v>
      </c>
      <c r="AO87" s="13">
        <f t="shared" si="66"/>
        <v>0.025999234472481</v>
      </c>
      <c r="AP87" s="13">
        <f t="shared" si="66"/>
        <v>0.025999234472481</v>
      </c>
      <c r="AQ87" s="13">
        <f t="shared" si="66"/>
        <v>0.025999234472481</v>
      </c>
      <c r="AR87" s="13">
        <f t="shared" si="66"/>
        <v>0.025999234472481</v>
      </c>
      <c r="AS87" s="13">
        <f t="shared" si="66"/>
        <v>0.025999234472481</v>
      </c>
      <c r="AT87" s="13">
        <f t="shared" si="66"/>
        <v>0.025999234472481</v>
      </c>
      <c r="AU87" s="13">
        <f t="shared" si="66"/>
        <v>0.025999234472481</v>
      </c>
      <c r="AV87" s="13">
        <f t="shared" si="66"/>
        <v>0.025999234472481</v>
      </c>
      <c r="AW87" s="13">
        <f t="shared" si="66"/>
        <v>0.025999234472481</v>
      </c>
      <c r="AX87" s="13">
        <f t="shared" si="66"/>
        <v>0.025999234472481</v>
      </c>
      <c r="AY87" s="13">
        <f t="shared" si="66"/>
        <v>0.025999234472481</v>
      </c>
      <c r="AZ87" s="13">
        <f t="shared" si="66"/>
        <v>0.025999234472481</v>
      </c>
      <c r="BA87" s="13">
        <f t="shared" si="66"/>
        <v>0.025999234472481</v>
      </c>
      <c r="BB87" s="13">
        <f t="shared" si="92"/>
        <v>0.025999234472481</v>
      </c>
      <c r="BC87" s="13">
        <f t="shared" si="92"/>
        <v>0.025999234472481</v>
      </c>
      <c r="BD87" s="13">
        <f t="shared" si="92"/>
        <v>0.025999234472481</v>
      </c>
      <c r="BE87" s="13">
        <f t="shared" si="92"/>
        <v>0.025999234472481</v>
      </c>
      <c r="BF87" s="13">
        <f t="shared" si="92"/>
        <v>0.025999234472481</v>
      </c>
      <c r="BG87" s="13">
        <f t="shared" si="92"/>
        <v>0.025999234472481</v>
      </c>
      <c r="BH87" s="13">
        <f t="shared" si="92"/>
        <v>0.025999234472481</v>
      </c>
      <c r="BI87" s="13">
        <f t="shared" si="92"/>
        <v>0.025999234472481</v>
      </c>
      <c r="BJ87" s="13">
        <f t="shared" si="92"/>
        <v>0.025999234472481</v>
      </c>
      <c r="BK87" s="13">
        <f t="shared" si="92"/>
        <v>0.025999234472481</v>
      </c>
      <c r="BL87" s="13">
        <f t="shared" si="92"/>
        <v>0.025999234472481</v>
      </c>
      <c r="BM87" s="13">
        <f t="shared" si="92"/>
        <v>0.025999234472481</v>
      </c>
      <c r="BN87" s="13">
        <f t="shared" si="92"/>
        <v>0.025999234472481</v>
      </c>
      <c r="BO87" s="13">
        <f t="shared" si="92"/>
        <v>0.025999234472481</v>
      </c>
    </row>
    <row r="88" s="13" customFormat="1" ht="14.25" customHeight="1" spans="5:67">
      <c r="E88" s="14" t="s">
        <v>20</v>
      </c>
      <c r="F88" s="13">
        <f t="shared" si="61"/>
        <v>0.00044453002387482</v>
      </c>
      <c r="G88" s="13">
        <f t="shared" si="67"/>
        <v>0.000451077671989057</v>
      </c>
      <c r="H88" s="13">
        <f t="shared" si="70"/>
        <v>0.000489594174521794</v>
      </c>
      <c r="I88" s="13">
        <f t="shared" si="73"/>
        <v>0.000509888370117665</v>
      </c>
      <c r="J88" s="13">
        <f t="shared" si="76"/>
        <v>0.000438495456940638</v>
      </c>
      <c r="K88" s="13">
        <f t="shared" si="79"/>
        <v>0.000372003932172213</v>
      </c>
      <c r="L88" s="13">
        <f t="shared" si="82"/>
        <v>0.000337044612406381</v>
      </c>
      <c r="M88" s="13">
        <f t="shared" si="85"/>
        <v>0.000312986953850803</v>
      </c>
      <c r="N88" s="13">
        <f t="shared" si="89"/>
        <v>0.000601382435057246</v>
      </c>
      <c r="O88" s="13">
        <f t="shared" si="93"/>
        <v>0.000636844111700274</v>
      </c>
      <c r="P88" s="13">
        <f t="shared" si="97"/>
        <v>0.000664370788324898</v>
      </c>
      <c r="Q88" s="13">
        <f t="shared" si="100"/>
        <v>0.000686122159913848</v>
      </c>
      <c r="R88" s="13">
        <f t="shared" si="103"/>
        <v>0.000878602230646917</v>
      </c>
      <c r="S88" s="13">
        <f t="shared" si="106"/>
        <v>0.000926717882997883</v>
      </c>
      <c r="T88" s="13">
        <f t="shared" si="109"/>
        <v>0.000515430209927711</v>
      </c>
      <c r="U88" s="13">
        <f t="shared" si="112"/>
        <v>0.000610470651197392</v>
      </c>
      <c r="V88" s="13">
        <f t="shared" si="115"/>
        <v>0.0008215572513268</v>
      </c>
      <c r="W88" s="13">
        <f t="shared" si="118"/>
        <v>0.00107093789585362</v>
      </c>
      <c r="X88" s="13">
        <f t="shared" si="120"/>
        <v>0.00218915678415587</v>
      </c>
      <c r="Y88" s="13">
        <f>1/Y54</f>
        <v>0.00290530685527145</v>
      </c>
      <c r="Z88" s="13">
        <v>0</v>
      </c>
      <c r="AA88" s="13">
        <f>1/AA54</f>
        <v>0.00088693791763777</v>
      </c>
      <c r="AB88" s="13">
        <f>1/AB54</f>
        <v>0.000762870688725921</v>
      </c>
      <c r="AC88" s="13">
        <f>1/AC54</f>
        <v>0.00124425783182371</v>
      </c>
      <c r="AD88" s="13">
        <f>1/AD54</f>
        <v>0.00102517803581798</v>
      </c>
      <c r="AE88" s="13">
        <f t="shared" ref="AE88" si="123">1/AE54</f>
        <v>0.000456274338747288</v>
      </c>
      <c r="AF88" s="13">
        <f t="shared" si="122"/>
        <v>0.000631563263633847</v>
      </c>
      <c r="AG88" s="13">
        <f t="shared" si="122"/>
        <v>0.000526522476798947</v>
      </c>
      <c r="AH88" s="13">
        <f t="shared" si="122"/>
        <v>0.000497577631233818</v>
      </c>
      <c r="AI88" s="13">
        <f t="shared" si="122"/>
        <v>0.000483416830467425</v>
      </c>
      <c r="AJ88" s="13">
        <f t="shared" si="122"/>
        <v>0.000297216474964048</v>
      </c>
      <c r="AK88" s="13">
        <f t="shared" si="65"/>
        <v>0.022674335942098</v>
      </c>
      <c r="AL88" s="13">
        <f t="shared" si="66"/>
        <v>0.022674335942098</v>
      </c>
      <c r="AM88" s="13">
        <f t="shared" si="66"/>
        <v>0.022674335942098</v>
      </c>
      <c r="AN88" s="13">
        <f t="shared" si="66"/>
        <v>0.022674335942098</v>
      </c>
      <c r="AO88" s="13">
        <f t="shared" si="66"/>
        <v>0.022674335942098</v>
      </c>
      <c r="AP88" s="13">
        <f t="shared" si="66"/>
        <v>0.022674335942098</v>
      </c>
      <c r="AQ88" s="13">
        <f t="shared" si="66"/>
        <v>0.022674335942098</v>
      </c>
      <c r="AR88" s="13">
        <f t="shared" si="66"/>
        <v>0.022674335942098</v>
      </c>
      <c r="AS88" s="13">
        <f t="shared" si="66"/>
        <v>0.022674335942098</v>
      </c>
      <c r="AT88" s="13">
        <f t="shared" si="66"/>
        <v>0.022674335942098</v>
      </c>
      <c r="AU88" s="13">
        <f t="shared" si="66"/>
        <v>0.022674335942098</v>
      </c>
      <c r="AV88" s="13">
        <f t="shared" si="66"/>
        <v>0.022674335942098</v>
      </c>
      <c r="AW88" s="13">
        <f t="shared" si="66"/>
        <v>0.022674335942098</v>
      </c>
      <c r="AX88" s="13">
        <f t="shared" si="66"/>
        <v>0.022674335942098</v>
      </c>
      <c r="AY88" s="13">
        <f t="shared" si="66"/>
        <v>0.022674335942098</v>
      </c>
      <c r="AZ88" s="13">
        <f t="shared" si="66"/>
        <v>0.022674335942098</v>
      </c>
      <c r="BA88" s="13">
        <f t="shared" si="66"/>
        <v>0.022674335942098</v>
      </c>
      <c r="BB88" s="13">
        <f t="shared" si="92"/>
        <v>0.022674335942098</v>
      </c>
      <c r="BC88" s="13">
        <f t="shared" si="92"/>
        <v>0.022674335942098</v>
      </c>
      <c r="BD88" s="13">
        <f t="shared" si="92"/>
        <v>0.022674335942098</v>
      </c>
      <c r="BE88" s="13">
        <f t="shared" si="92"/>
        <v>0.022674335942098</v>
      </c>
      <c r="BF88" s="13">
        <f t="shared" si="92"/>
        <v>0.022674335942098</v>
      </c>
      <c r="BG88" s="13">
        <f t="shared" si="92"/>
        <v>0.022674335942098</v>
      </c>
      <c r="BH88" s="13">
        <f t="shared" si="92"/>
        <v>0.022674335942098</v>
      </c>
      <c r="BI88" s="13">
        <f t="shared" si="92"/>
        <v>0.022674335942098</v>
      </c>
      <c r="BJ88" s="13">
        <f t="shared" si="92"/>
        <v>0.022674335942098</v>
      </c>
      <c r="BK88" s="13">
        <f t="shared" si="92"/>
        <v>0.022674335942098</v>
      </c>
      <c r="BL88" s="13">
        <f t="shared" si="92"/>
        <v>0.022674335942098</v>
      </c>
      <c r="BM88" s="13">
        <f t="shared" si="92"/>
        <v>0.022674335942098</v>
      </c>
      <c r="BN88" s="13">
        <f t="shared" si="92"/>
        <v>0.022674335942098</v>
      </c>
      <c r="BO88" s="13">
        <f t="shared" si="92"/>
        <v>0.022674335942098</v>
      </c>
    </row>
    <row r="89" s="13" customFormat="1" ht="14.25" customHeight="1" spans="5:67">
      <c r="E89" s="14" t="s">
        <v>21</v>
      </c>
      <c r="F89" s="13">
        <f t="shared" si="61"/>
        <v>0.000704561141841193</v>
      </c>
      <c r="G89" s="13">
        <f t="shared" si="67"/>
        <v>0.000699707171114382</v>
      </c>
      <c r="H89" s="13">
        <f t="shared" si="70"/>
        <v>0.000847132530301743</v>
      </c>
      <c r="I89" s="13">
        <f t="shared" si="73"/>
        <v>0.000966501289030378</v>
      </c>
      <c r="J89" s="13">
        <f t="shared" si="76"/>
        <v>0.000774946806395952</v>
      </c>
      <c r="K89" s="13">
        <f t="shared" si="79"/>
        <v>0.000498946096622651</v>
      </c>
      <c r="L89" s="13">
        <f t="shared" si="82"/>
        <v>0.00044078838376935</v>
      </c>
      <c r="M89" s="13">
        <f t="shared" si="85"/>
        <v>0.000404548179752562</v>
      </c>
      <c r="N89" s="13">
        <f t="shared" si="89"/>
        <v>0.000701202856125156</v>
      </c>
      <c r="O89" s="13">
        <f t="shared" si="93"/>
        <v>0.000854049184476893</v>
      </c>
      <c r="P89" s="13">
        <f t="shared" si="97"/>
        <v>0.000763544503262815</v>
      </c>
      <c r="Q89" s="13">
        <f t="shared" si="100"/>
        <v>0.000960654163461138</v>
      </c>
      <c r="R89" s="13">
        <f t="shared" si="103"/>
        <v>0.00076658347611979</v>
      </c>
      <c r="S89" s="13">
        <f t="shared" si="106"/>
        <v>0.00112740884587489</v>
      </c>
      <c r="T89" s="13">
        <f t="shared" si="109"/>
        <v>0.000809736971327805</v>
      </c>
      <c r="U89" s="13">
        <f t="shared" si="112"/>
        <v>0.00118478164229716</v>
      </c>
      <c r="V89" s="13">
        <f t="shared" si="115"/>
        <v>0.0013504282679991</v>
      </c>
      <c r="W89" s="13">
        <f t="shared" si="118"/>
        <v>0.0016338315639939</v>
      </c>
      <c r="X89" s="13">
        <f t="shared" si="120"/>
        <v>0.00102176231962843</v>
      </c>
      <c r="Y89" s="13">
        <f>1/Y55</f>
        <v>0.00123689513386218</v>
      </c>
      <c r="Z89" s="13">
        <f>1/Z55</f>
        <v>0.00088693791763777</v>
      </c>
      <c r="AA89" s="13">
        <v>0</v>
      </c>
      <c r="AB89" s="13">
        <f>1/AB55</f>
        <v>0.00388599497383147</v>
      </c>
      <c r="AC89" s="13">
        <f>1/AC55</f>
        <v>0.00277106925426986</v>
      </c>
      <c r="AD89" s="13">
        <f>1/AD55</f>
        <v>0.0015385782028703</v>
      </c>
      <c r="AE89" s="13">
        <f t="shared" ref="AE89" si="124">1/AE55</f>
        <v>0.000668901567220471</v>
      </c>
      <c r="AF89" s="13">
        <f t="shared" si="122"/>
        <v>0.00183579046869581</v>
      </c>
      <c r="AG89" s="13">
        <f t="shared" si="122"/>
        <v>0.00129563236875281</v>
      </c>
      <c r="AH89" s="13">
        <f t="shared" si="122"/>
        <v>0.00112228920717818</v>
      </c>
      <c r="AI89" s="13">
        <f t="shared" si="122"/>
        <v>0.00103423621597486</v>
      </c>
      <c r="AJ89" s="13">
        <f t="shared" si="122"/>
        <v>0.000435321464254087</v>
      </c>
      <c r="AK89" s="13">
        <f t="shared" si="65"/>
        <v>0.0332227621679431</v>
      </c>
      <c r="AL89" s="13">
        <f t="shared" si="66"/>
        <v>0.0332227621679431</v>
      </c>
      <c r="AM89" s="13">
        <f t="shared" si="66"/>
        <v>0.0332227621679431</v>
      </c>
      <c r="AN89" s="13">
        <f t="shared" si="66"/>
        <v>0.0332227621679431</v>
      </c>
      <c r="AO89" s="13">
        <f t="shared" si="66"/>
        <v>0.0332227621679431</v>
      </c>
      <c r="AP89" s="13">
        <f t="shared" si="66"/>
        <v>0.0332227621679431</v>
      </c>
      <c r="AQ89" s="13">
        <f t="shared" si="66"/>
        <v>0.0332227621679431</v>
      </c>
      <c r="AR89" s="13">
        <f t="shared" si="66"/>
        <v>0.0332227621679431</v>
      </c>
      <c r="AS89" s="13">
        <f t="shared" si="66"/>
        <v>0.0332227621679431</v>
      </c>
      <c r="AT89" s="13">
        <f t="shared" si="66"/>
        <v>0.0332227621679431</v>
      </c>
      <c r="AU89" s="13">
        <f t="shared" si="66"/>
        <v>0.0332227621679431</v>
      </c>
      <c r="AV89" s="13">
        <f t="shared" si="66"/>
        <v>0.0332227621679431</v>
      </c>
      <c r="AW89" s="13">
        <f t="shared" si="66"/>
        <v>0.0332227621679431</v>
      </c>
      <c r="AX89" s="13">
        <f t="shared" si="66"/>
        <v>0.0332227621679431</v>
      </c>
      <c r="AY89" s="13">
        <f t="shared" si="66"/>
        <v>0.0332227621679431</v>
      </c>
      <c r="AZ89" s="13">
        <f t="shared" si="66"/>
        <v>0.0332227621679431</v>
      </c>
      <c r="BA89" s="13">
        <f t="shared" si="66"/>
        <v>0.0332227621679431</v>
      </c>
      <c r="BB89" s="13">
        <f t="shared" si="92"/>
        <v>0.0332227621679431</v>
      </c>
      <c r="BC89" s="13">
        <f t="shared" si="92"/>
        <v>0.0332227621679431</v>
      </c>
      <c r="BD89" s="13">
        <f t="shared" si="92"/>
        <v>0.0332227621679431</v>
      </c>
      <c r="BE89" s="13">
        <f t="shared" si="92"/>
        <v>0.0332227621679431</v>
      </c>
      <c r="BF89" s="13">
        <f t="shared" si="92"/>
        <v>0.0332227621679431</v>
      </c>
      <c r="BG89" s="13">
        <f t="shared" si="92"/>
        <v>0.0332227621679431</v>
      </c>
      <c r="BH89" s="13">
        <f t="shared" si="92"/>
        <v>0.0332227621679431</v>
      </c>
      <c r="BI89" s="13">
        <f t="shared" si="92"/>
        <v>0.0332227621679431</v>
      </c>
      <c r="BJ89" s="13">
        <f t="shared" si="92"/>
        <v>0.0332227621679431</v>
      </c>
      <c r="BK89" s="13">
        <f t="shared" si="92"/>
        <v>0.0332227621679431</v>
      </c>
      <c r="BL89" s="13">
        <f t="shared" si="92"/>
        <v>0.0332227621679431</v>
      </c>
      <c r="BM89" s="13">
        <f t="shared" si="92"/>
        <v>0.0332227621679431</v>
      </c>
      <c r="BN89" s="13">
        <f t="shared" si="92"/>
        <v>0.0332227621679431</v>
      </c>
      <c r="BO89" s="13">
        <f t="shared" si="92"/>
        <v>0.0332227621679431</v>
      </c>
    </row>
    <row r="90" s="13" customFormat="1" ht="14.25" customHeight="1" spans="5:67">
      <c r="E90" s="14" t="s">
        <v>22</v>
      </c>
      <c r="F90" s="13">
        <f t="shared" si="61"/>
        <v>0.000664034374340759</v>
      </c>
      <c r="G90" s="13">
        <f t="shared" si="67"/>
        <v>0.000653039939532596</v>
      </c>
      <c r="H90" s="13">
        <f t="shared" si="70"/>
        <v>0.000788648615824519</v>
      </c>
      <c r="I90" s="13">
        <f t="shared" si="73"/>
        <v>0.000907070917691517</v>
      </c>
      <c r="J90" s="13">
        <f t="shared" si="76"/>
        <v>0.000766331764253086</v>
      </c>
      <c r="K90" s="13">
        <f t="shared" si="79"/>
        <v>0.000472185435422523</v>
      </c>
      <c r="L90" s="13">
        <f t="shared" si="82"/>
        <v>0.000421771712509267</v>
      </c>
      <c r="M90" s="13">
        <f t="shared" si="85"/>
        <v>0.000390313498602812</v>
      </c>
      <c r="N90" s="13">
        <f t="shared" si="89"/>
        <v>0.000605931957886626</v>
      </c>
      <c r="O90" s="13">
        <f t="shared" si="93"/>
        <v>0.000722687688345227</v>
      </c>
      <c r="P90" s="13">
        <f t="shared" si="97"/>
        <v>0.000648156345536249</v>
      </c>
      <c r="Q90" s="13">
        <f t="shared" si="100"/>
        <v>0.000794398370149046</v>
      </c>
      <c r="R90" s="13">
        <f t="shared" si="103"/>
        <v>0.000640862001006908</v>
      </c>
      <c r="S90" s="13">
        <f t="shared" si="106"/>
        <v>0.000878951762436595</v>
      </c>
      <c r="T90" s="13">
        <f t="shared" si="109"/>
        <v>0.000727032103284713</v>
      </c>
      <c r="U90" s="13">
        <f t="shared" si="112"/>
        <v>0.00101195354728045</v>
      </c>
      <c r="V90" s="13">
        <f t="shared" si="115"/>
        <v>0.00102819583145885</v>
      </c>
      <c r="W90" s="13">
        <f t="shared" si="118"/>
        <v>0.00115207469575054</v>
      </c>
      <c r="X90" s="13">
        <f t="shared" si="120"/>
        <v>0.000821954312106635</v>
      </c>
      <c r="Y90" s="13">
        <f>1/Y56</f>
        <v>0.00102708948994374</v>
      </c>
      <c r="Z90" s="13">
        <f>1/Z56</f>
        <v>0.000762870688725921</v>
      </c>
      <c r="AA90" s="13">
        <f>1/AA56</f>
        <v>0.00388599497383147</v>
      </c>
      <c r="AB90" s="13">
        <v>0</v>
      </c>
      <c r="AC90" s="13">
        <f>1/AC56</f>
        <v>0.0019704246851561</v>
      </c>
      <c r="AD90" s="13">
        <f>1/AD56</f>
        <v>0.00161907223540333</v>
      </c>
      <c r="AE90" s="13">
        <f t="shared" ref="AE90" si="125">1/AE56</f>
        <v>0.000798176569835025</v>
      </c>
      <c r="AF90" s="13">
        <f t="shared" si="122"/>
        <v>0.00167199616528058</v>
      </c>
      <c r="AG90" s="13">
        <f t="shared" si="122"/>
        <v>0.00158785186042867</v>
      </c>
      <c r="AH90" s="13">
        <f t="shared" si="122"/>
        <v>0.00141471135563845</v>
      </c>
      <c r="AI90" s="13">
        <f t="shared" si="122"/>
        <v>0.00111429933411013</v>
      </c>
      <c r="AJ90" s="13">
        <f t="shared" si="122"/>
        <v>0.00048323001459767</v>
      </c>
      <c r="AK90" s="13">
        <f t="shared" si="65"/>
        <v>0.03043131224637</v>
      </c>
      <c r="AL90" s="13">
        <f t="shared" si="66"/>
        <v>0.03043131224637</v>
      </c>
      <c r="AM90" s="13">
        <f t="shared" si="66"/>
        <v>0.03043131224637</v>
      </c>
      <c r="AN90" s="13">
        <f t="shared" si="66"/>
        <v>0.03043131224637</v>
      </c>
      <c r="AO90" s="13">
        <f t="shared" si="66"/>
        <v>0.03043131224637</v>
      </c>
      <c r="AP90" s="13">
        <f t="shared" si="66"/>
        <v>0.03043131224637</v>
      </c>
      <c r="AQ90" s="13">
        <f t="shared" si="66"/>
        <v>0.03043131224637</v>
      </c>
      <c r="AR90" s="13">
        <f t="shared" si="66"/>
        <v>0.03043131224637</v>
      </c>
      <c r="AS90" s="13">
        <f t="shared" si="66"/>
        <v>0.03043131224637</v>
      </c>
      <c r="AT90" s="13">
        <f t="shared" si="66"/>
        <v>0.03043131224637</v>
      </c>
      <c r="AU90" s="13">
        <f t="shared" si="66"/>
        <v>0.03043131224637</v>
      </c>
      <c r="AV90" s="13">
        <f t="shared" si="66"/>
        <v>0.03043131224637</v>
      </c>
      <c r="AW90" s="13">
        <f t="shared" si="66"/>
        <v>0.03043131224637</v>
      </c>
      <c r="AX90" s="13">
        <f t="shared" si="66"/>
        <v>0.03043131224637</v>
      </c>
      <c r="AY90" s="13">
        <f t="shared" si="66"/>
        <v>0.03043131224637</v>
      </c>
      <c r="AZ90" s="13">
        <f t="shared" si="66"/>
        <v>0.03043131224637</v>
      </c>
      <c r="BA90" s="13">
        <f t="shared" si="66"/>
        <v>0.03043131224637</v>
      </c>
      <c r="BB90" s="13">
        <f t="shared" si="92"/>
        <v>0.03043131224637</v>
      </c>
      <c r="BC90" s="13">
        <f t="shared" si="92"/>
        <v>0.03043131224637</v>
      </c>
      <c r="BD90" s="13">
        <f t="shared" si="92"/>
        <v>0.03043131224637</v>
      </c>
      <c r="BE90" s="13">
        <f t="shared" si="92"/>
        <v>0.03043131224637</v>
      </c>
      <c r="BF90" s="13">
        <f t="shared" si="92"/>
        <v>0.03043131224637</v>
      </c>
      <c r="BG90" s="13">
        <f t="shared" si="92"/>
        <v>0.03043131224637</v>
      </c>
      <c r="BH90" s="13">
        <f t="shared" si="92"/>
        <v>0.03043131224637</v>
      </c>
      <c r="BI90" s="13">
        <f t="shared" si="92"/>
        <v>0.03043131224637</v>
      </c>
      <c r="BJ90" s="13">
        <f t="shared" si="92"/>
        <v>0.03043131224637</v>
      </c>
      <c r="BK90" s="13">
        <f t="shared" si="92"/>
        <v>0.03043131224637</v>
      </c>
      <c r="BL90" s="13">
        <f t="shared" si="92"/>
        <v>0.03043131224637</v>
      </c>
      <c r="BM90" s="13">
        <f t="shared" si="92"/>
        <v>0.03043131224637</v>
      </c>
      <c r="BN90" s="13">
        <f t="shared" si="92"/>
        <v>0.03043131224637</v>
      </c>
      <c r="BO90" s="13">
        <f t="shared" si="92"/>
        <v>0.03043131224637</v>
      </c>
    </row>
    <row r="91" s="13" customFormat="1" ht="14.25" customHeight="1" spans="5:67">
      <c r="E91" s="14" t="s">
        <v>23</v>
      </c>
      <c r="F91" s="13">
        <f t="shared" si="61"/>
        <v>0.000578153670361845</v>
      </c>
      <c r="G91" s="13">
        <f t="shared" si="67"/>
        <v>0.000578864658305187</v>
      </c>
      <c r="H91" s="13">
        <f t="shared" si="70"/>
        <v>0.000668984868012902</v>
      </c>
      <c r="I91" s="13">
        <f t="shared" si="73"/>
        <v>0.000733009296131364</v>
      </c>
      <c r="J91" s="13">
        <f t="shared" si="76"/>
        <v>0.000610093044987516</v>
      </c>
      <c r="K91" s="13">
        <f t="shared" si="79"/>
        <v>0.000437879779209783</v>
      </c>
      <c r="L91" s="13">
        <f t="shared" si="82"/>
        <v>0.000391265131744443</v>
      </c>
      <c r="M91" s="13">
        <f t="shared" si="85"/>
        <v>0.000361295956354776</v>
      </c>
      <c r="N91" s="13">
        <f t="shared" si="89"/>
        <v>0.000647434979861748</v>
      </c>
      <c r="O91" s="13">
        <f t="shared" si="93"/>
        <v>0.000752594212956945</v>
      </c>
      <c r="P91" s="13">
        <f t="shared" si="97"/>
        <v>0.000711366363089151</v>
      </c>
      <c r="Q91" s="13">
        <f t="shared" si="100"/>
        <v>0.00083744028018468</v>
      </c>
      <c r="R91" s="13">
        <f t="shared" si="103"/>
        <v>0.000784663879390052</v>
      </c>
      <c r="S91" s="13">
        <f t="shared" si="106"/>
        <v>0.00107450040356832</v>
      </c>
      <c r="T91" s="13">
        <f t="shared" si="109"/>
        <v>0.000665703384031569</v>
      </c>
      <c r="U91" s="13">
        <f t="shared" si="112"/>
        <v>0.000889987048549379</v>
      </c>
      <c r="V91" s="13">
        <f t="shared" si="115"/>
        <v>0.00113657179534958</v>
      </c>
      <c r="W91" s="13">
        <f t="shared" si="118"/>
        <v>0.0015586009773286</v>
      </c>
      <c r="X91" s="13">
        <f t="shared" si="120"/>
        <v>0.00129749870939978</v>
      </c>
      <c r="Y91" s="13">
        <f>1/Y57</f>
        <v>0.00214290412975668</v>
      </c>
      <c r="Z91" s="13">
        <f>1/Z57</f>
        <v>0.00124425783182371</v>
      </c>
      <c r="AA91" s="13">
        <f>1/AA57</f>
        <v>0.00277106925426986</v>
      </c>
      <c r="AB91" s="13">
        <f>1/AB57</f>
        <v>0.0019704246851561</v>
      </c>
      <c r="AC91" s="13">
        <v>0</v>
      </c>
      <c r="AD91" s="13">
        <f>1/AD57</f>
        <v>0.00234246514662502</v>
      </c>
      <c r="AE91" s="13">
        <f t="shared" ref="AE91" si="126">1/AE57</f>
        <v>0.00064758338340843</v>
      </c>
      <c r="AF91" s="13">
        <f t="shared" si="122"/>
        <v>0.00111774162677594</v>
      </c>
      <c r="AG91" s="13">
        <f t="shared" si="122"/>
        <v>0.000898032529388144</v>
      </c>
      <c r="AH91" s="13">
        <f t="shared" si="122"/>
        <v>0.000825929338719596</v>
      </c>
      <c r="AI91" s="13">
        <f t="shared" si="122"/>
        <v>0.000753485755818083</v>
      </c>
      <c r="AJ91" s="13">
        <f t="shared" si="122"/>
        <v>0.000389633493149046</v>
      </c>
      <c r="AK91" s="13">
        <f t="shared" si="65"/>
        <v>0.0298194356137082</v>
      </c>
      <c r="AL91" s="13">
        <f t="shared" si="66"/>
        <v>0.0298194356137082</v>
      </c>
      <c r="AM91" s="13">
        <f t="shared" si="66"/>
        <v>0.0298194356137082</v>
      </c>
      <c r="AN91" s="13">
        <f t="shared" si="66"/>
        <v>0.0298194356137082</v>
      </c>
      <c r="AO91" s="13">
        <f t="shared" si="66"/>
        <v>0.0298194356137082</v>
      </c>
      <c r="AP91" s="13">
        <f t="shared" si="66"/>
        <v>0.0298194356137082</v>
      </c>
      <c r="AQ91" s="13">
        <f t="shared" si="66"/>
        <v>0.0298194356137082</v>
      </c>
      <c r="AR91" s="13">
        <f t="shared" si="66"/>
        <v>0.0298194356137082</v>
      </c>
      <c r="AS91" s="13">
        <f t="shared" si="66"/>
        <v>0.0298194356137082</v>
      </c>
      <c r="AT91" s="13">
        <f t="shared" si="66"/>
        <v>0.0298194356137082</v>
      </c>
      <c r="AU91" s="13">
        <f t="shared" si="66"/>
        <v>0.0298194356137082</v>
      </c>
      <c r="AV91" s="13">
        <f t="shared" si="66"/>
        <v>0.0298194356137082</v>
      </c>
      <c r="AW91" s="13">
        <f t="shared" si="66"/>
        <v>0.0298194356137082</v>
      </c>
      <c r="AX91" s="13">
        <f t="shared" si="66"/>
        <v>0.0298194356137082</v>
      </c>
      <c r="AY91" s="13">
        <f t="shared" si="66"/>
        <v>0.0298194356137082</v>
      </c>
      <c r="AZ91" s="13">
        <f t="shared" si="66"/>
        <v>0.0298194356137082</v>
      </c>
      <c r="BA91" s="13">
        <f t="shared" si="66"/>
        <v>0.0298194356137082</v>
      </c>
      <c r="BB91" s="13">
        <f t="shared" si="92"/>
        <v>0.0298194356137082</v>
      </c>
      <c r="BC91" s="13">
        <f t="shared" si="92"/>
        <v>0.0298194356137082</v>
      </c>
      <c r="BD91" s="13">
        <f t="shared" si="92"/>
        <v>0.0298194356137082</v>
      </c>
      <c r="BE91" s="13">
        <f t="shared" si="92"/>
        <v>0.0298194356137082</v>
      </c>
      <c r="BF91" s="13">
        <f t="shared" si="92"/>
        <v>0.0298194356137082</v>
      </c>
      <c r="BG91" s="13">
        <f t="shared" si="92"/>
        <v>0.0298194356137082</v>
      </c>
      <c r="BH91" s="13">
        <f t="shared" si="92"/>
        <v>0.0298194356137082</v>
      </c>
      <c r="BI91" s="13">
        <f t="shared" si="92"/>
        <v>0.0298194356137082</v>
      </c>
      <c r="BJ91" s="13">
        <f t="shared" si="92"/>
        <v>0.0298194356137082</v>
      </c>
      <c r="BK91" s="13">
        <f t="shared" si="92"/>
        <v>0.0298194356137082</v>
      </c>
      <c r="BL91" s="13">
        <f t="shared" si="92"/>
        <v>0.0298194356137082</v>
      </c>
      <c r="BM91" s="13">
        <f t="shared" si="92"/>
        <v>0.0298194356137082</v>
      </c>
      <c r="BN91" s="13">
        <f t="shared" si="92"/>
        <v>0.0298194356137082</v>
      </c>
      <c r="BO91" s="13">
        <f t="shared" si="92"/>
        <v>0.0298194356137082</v>
      </c>
    </row>
    <row r="92" s="13" customFormat="1" ht="14.25" customHeight="1" spans="5:67">
      <c r="E92" s="14" t="s">
        <v>24</v>
      </c>
      <c r="F92" s="13">
        <f t="shared" si="61"/>
        <v>0.000483482562888557</v>
      </c>
      <c r="G92" s="13">
        <f t="shared" si="67"/>
        <v>0.000480973108423049</v>
      </c>
      <c r="H92" s="13">
        <f t="shared" si="70"/>
        <v>0.000546711117040654</v>
      </c>
      <c r="I92" s="13">
        <f t="shared" si="73"/>
        <v>0.000595810786648438</v>
      </c>
      <c r="J92" s="13">
        <f t="shared" si="76"/>
        <v>0.000523248929937114</v>
      </c>
      <c r="K92" s="13">
        <f t="shared" si="79"/>
        <v>0.000376972427333154</v>
      </c>
      <c r="L92" s="13">
        <f t="shared" si="82"/>
        <v>0.000342663280044466</v>
      </c>
      <c r="M92" s="13">
        <f t="shared" si="85"/>
        <v>0.000320328308110439</v>
      </c>
      <c r="N92" s="13">
        <f t="shared" si="89"/>
        <v>0.000507513089884011</v>
      </c>
      <c r="O92" s="13">
        <f t="shared" si="93"/>
        <v>0.000571962570933543</v>
      </c>
      <c r="P92" s="13">
        <f t="shared" si="97"/>
        <v>0.000545698191711284</v>
      </c>
      <c r="Q92" s="13">
        <f t="shared" si="100"/>
        <v>0.000619639188843514</v>
      </c>
      <c r="R92" s="13">
        <f t="shared" si="103"/>
        <v>0.000593139274506525</v>
      </c>
      <c r="S92" s="13">
        <f t="shared" si="106"/>
        <v>0.000736807564715296</v>
      </c>
      <c r="T92" s="13">
        <f t="shared" si="109"/>
        <v>0.000532235258408874</v>
      </c>
      <c r="U92" s="13">
        <f t="shared" si="112"/>
        <v>0.000671170134752788</v>
      </c>
      <c r="V92" s="13">
        <f t="shared" si="115"/>
        <v>0.000769690687722704</v>
      </c>
      <c r="W92" s="13">
        <f t="shared" si="118"/>
        <v>0.000935891035499673</v>
      </c>
      <c r="X92" s="13">
        <f t="shared" si="120"/>
        <v>0.000900119894277342</v>
      </c>
      <c r="Y92" s="13">
        <f>1/Y58</f>
        <v>0.00153091506253217</v>
      </c>
      <c r="Z92" s="13">
        <f>1/Z58</f>
        <v>0.00102517803581798</v>
      </c>
      <c r="AA92" s="13">
        <f>1/AA58</f>
        <v>0.0015385782028703</v>
      </c>
      <c r="AB92" s="13">
        <f>1/AB58</f>
        <v>0.00161907223540333</v>
      </c>
      <c r="AC92" s="13">
        <f>1/AC58</f>
        <v>0.00234246514662502</v>
      </c>
      <c r="AD92" s="13">
        <v>0</v>
      </c>
      <c r="AE92" s="13">
        <f t="shared" ref="AE92:AE98" si="127">1/AE58</f>
        <v>0.000819142179072204</v>
      </c>
      <c r="AF92" s="13">
        <f t="shared" si="122"/>
        <v>0.000849492387396039</v>
      </c>
      <c r="AG92" s="13">
        <f t="shared" si="122"/>
        <v>0.000813702790403765</v>
      </c>
      <c r="AH92" s="13">
        <f t="shared" si="122"/>
        <v>0.000790166689328382</v>
      </c>
      <c r="AI92" s="13">
        <f t="shared" si="122"/>
        <v>0.000660322369555232</v>
      </c>
      <c r="AJ92" s="13">
        <f t="shared" si="122"/>
        <v>0.000405640281001294</v>
      </c>
      <c r="AK92" s="13">
        <f t="shared" si="65"/>
        <v>0.0234487327916871</v>
      </c>
      <c r="AL92" s="13">
        <f t="shared" si="66"/>
        <v>0.0234487327916871</v>
      </c>
      <c r="AM92" s="13">
        <f t="shared" si="66"/>
        <v>0.0234487327916871</v>
      </c>
      <c r="AN92" s="13">
        <f t="shared" si="66"/>
        <v>0.0234487327916871</v>
      </c>
      <c r="AO92" s="13">
        <f t="shared" si="66"/>
        <v>0.0234487327916871</v>
      </c>
      <c r="AP92" s="13">
        <f t="shared" si="66"/>
        <v>0.0234487327916871</v>
      </c>
      <c r="AQ92" s="13">
        <f t="shared" si="66"/>
        <v>0.0234487327916871</v>
      </c>
      <c r="AR92" s="13">
        <f t="shared" si="66"/>
        <v>0.0234487327916871</v>
      </c>
      <c r="AS92" s="13">
        <f t="shared" ref="AS92:BH98" si="128">$AK92</f>
        <v>0.0234487327916871</v>
      </c>
      <c r="AT92" s="13">
        <f t="shared" si="128"/>
        <v>0.0234487327916871</v>
      </c>
      <c r="AU92" s="13">
        <f t="shared" si="128"/>
        <v>0.0234487327916871</v>
      </c>
      <c r="AV92" s="13">
        <f t="shared" si="128"/>
        <v>0.0234487327916871</v>
      </c>
      <c r="AW92" s="13">
        <f t="shared" si="128"/>
        <v>0.0234487327916871</v>
      </c>
      <c r="AX92" s="13">
        <f t="shared" si="128"/>
        <v>0.0234487327916871</v>
      </c>
      <c r="AY92" s="13">
        <f t="shared" si="128"/>
        <v>0.0234487327916871</v>
      </c>
      <c r="AZ92" s="13">
        <f t="shared" si="128"/>
        <v>0.0234487327916871</v>
      </c>
      <c r="BA92" s="13">
        <f t="shared" si="128"/>
        <v>0.0234487327916871</v>
      </c>
      <c r="BB92" s="13">
        <f t="shared" si="128"/>
        <v>0.0234487327916871</v>
      </c>
      <c r="BC92" s="13">
        <f t="shared" si="128"/>
        <v>0.0234487327916871</v>
      </c>
      <c r="BD92" s="13">
        <f t="shared" si="128"/>
        <v>0.0234487327916871</v>
      </c>
      <c r="BE92" s="13">
        <f t="shared" si="128"/>
        <v>0.0234487327916871</v>
      </c>
      <c r="BF92" s="13">
        <f t="shared" si="128"/>
        <v>0.0234487327916871</v>
      </c>
      <c r="BG92" s="13">
        <f t="shared" si="128"/>
        <v>0.0234487327916871</v>
      </c>
      <c r="BH92" s="13">
        <f t="shared" si="128"/>
        <v>0.0234487327916871</v>
      </c>
      <c r="BI92" s="13">
        <f t="shared" si="92"/>
        <v>0.0234487327916871</v>
      </c>
      <c r="BJ92" s="13">
        <f t="shared" si="92"/>
        <v>0.0234487327916871</v>
      </c>
      <c r="BK92" s="13">
        <f t="shared" si="92"/>
        <v>0.0234487327916871</v>
      </c>
      <c r="BL92" s="13">
        <f t="shared" si="92"/>
        <v>0.0234487327916871</v>
      </c>
      <c r="BM92" s="13">
        <f t="shared" si="92"/>
        <v>0.0234487327916871</v>
      </c>
      <c r="BN92" s="13">
        <f t="shared" si="92"/>
        <v>0.0234487327916871</v>
      </c>
      <c r="BO92" s="13">
        <f t="shared" si="92"/>
        <v>0.0234487327916871</v>
      </c>
    </row>
    <row r="93" s="13" customFormat="1" ht="14.25" customHeight="1" spans="5:67">
      <c r="E93" s="14" t="s">
        <v>25</v>
      </c>
      <c r="F93" s="13">
        <f t="shared" si="61"/>
        <v>0.000391184843361474</v>
      </c>
      <c r="G93" s="13">
        <f t="shared" ref="G93:AJ93" si="129">1/G59</f>
        <v>0.000382977153953863</v>
      </c>
      <c r="H93" s="13">
        <f t="shared" si="129"/>
        <v>0.000426644967925435</v>
      </c>
      <c r="I93" s="13">
        <f t="shared" si="129"/>
        <v>0.000462425798899447</v>
      </c>
      <c r="J93" s="13">
        <f t="shared" si="129"/>
        <v>0.000451066067186916</v>
      </c>
      <c r="K93" s="13">
        <f t="shared" si="129"/>
        <v>0.000313873859316345</v>
      </c>
      <c r="L93" s="13">
        <f t="shared" si="129"/>
        <v>0.000294092994879609</v>
      </c>
      <c r="M93" s="13">
        <f t="shared" si="129"/>
        <v>0.000281609762683737</v>
      </c>
      <c r="N93" s="13">
        <f t="shared" si="129"/>
        <v>0.000344841443329906</v>
      </c>
      <c r="O93" s="13">
        <f t="shared" si="129"/>
        <v>0.000380589476803687</v>
      </c>
      <c r="P93" s="13">
        <f t="shared" si="129"/>
        <v>0.000357716092136178</v>
      </c>
      <c r="Q93" s="13">
        <f t="shared" si="129"/>
        <v>0.000398951943084818</v>
      </c>
      <c r="R93" s="13">
        <f t="shared" si="129"/>
        <v>0.0003590318705939</v>
      </c>
      <c r="S93" s="13">
        <f t="shared" si="129"/>
        <v>0.000419986329951501</v>
      </c>
      <c r="T93" s="13">
        <f t="shared" si="129"/>
        <v>0.000394705249427379</v>
      </c>
      <c r="U93" s="13">
        <f t="shared" si="129"/>
        <v>0.00045969021145134</v>
      </c>
      <c r="V93" s="13">
        <f t="shared" si="129"/>
        <v>0.000449354247875988</v>
      </c>
      <c r="W93" s="13">
        <f t="shared" si="129"/>
        <v>0.000476410289872827</v>
      </c>
      <c r="X93" s="13">
        <f t="shared" si="129"/>
        <v>0.000433606672618894</v>
      </c>
      <c r="Y93" s="13">
        <f t="shared" si="129"/>
        <v>0.00053365189695995</v>
      </c>
      <c r="Z93" s="13">
        <f t="shared" si="129"/>
        <v>0.000456274338747288</v>
      </c>
      <c r="AA93" s="13">
        <f t="shared" si="129"/>
        <v>0.000668901567220471</v>
      </c>
      <c r="AB93" s="13">
        <f t="shared" si="129"/>
        <v>0.000798176569835025</v>
      </c>
      <c r="AC93" s="13">
        <f t="shared" si="129"/>
        <v>0.00064758338340843</v>
      </c>
      <c r="AD93" s="13">
        <f t="shared" si="129"/>
        <v>0.000819142179072204</v>
      </c>
      <c r="AE93" s="13">
        <v>0</v>
      </c>
      <c r="AF93" s="13">
        <f t="shared" si="129"/>
        <v>0.000576968312105499</v>
      </c>
      <c r="AG93" s="13">
        <f t="shared" si="129"/>
        <v>0.000727289960841335</v>
      </c>
      <c r="AH93" s="13">
        <f t="shared" si="129"/>
        <v>0.000805818970592094</v>
      </c>
      <c r="AI93" s="13">
        <f t="shared" si="129"/>
        <v>0.000587298111173288</v>
      </c>
      <c r="AJ93" s="13">
        <f t="shared" si="129"/>
        <v>0.000625795269504079</v>
      </c>
      <c r="AK93" s="13">
        <f t="shared" si="65"/>
        <v>0.0147256598348129</v>
      </c>
      <c r="AL93" s="13">
        <f t="shared" ref="AL93:BA98" si="130">$AK93</f>
        <v>0.0147256598348129</v>
      </c>
      <c r="AM93" s="13">
        <f t="shared" si="130"/>
        <v>0.0147256598348129</v>
      </c>
      <c r="AN93" s="13">
        <f t="shared" si="130"/>
        <v>0.0147256598348129</v>
      </c>
      <c r="AO93" s="13">
        <f t="shared" si="130"/>
        <v>0.0147256598348129</v>
      </c>
      <c r="AP93" s="13">
        <f t="shared" si="130"/>
        <v>0.0147256598348129</v>
      </c>
      <c r="AQ93" s="13">
        <f t="shared" si="130"/>
        <v>0.0147256598348129</v>
      </c>
      <c r="AR93" s="13">
        <f t="shared" si="130"/>
        <v>0.0147256598348129</v>
      </c>
      <c r="AS93" s="13">
        <f t="shared" si="130"/>
        <v>0.0147256598348129</v>
      </c>
      <c r="AT93" s="13">
        <f t="shared" si="130"/>
        <v>0.0147256598348129</v>
      </c>
      <c r="AU93" s="13">
        <f t="shared" si="130"/>
        <v>0.0147256598348129</v>
      </c>
      <c r="AV93" s="13">
        <f t="shared" si="130"/>
        <v>0.0147256598348129</v>
      </c>
      <c r="AW93" s="13">
        <f t="shared" si="130"/>
        <v>0.0147256598348129</v>
      </c>
      <c r="AX93" s="13">
        <f t="shared" si="130"/>
        <v>0.0147256598348129</v>
      </c>
      <c r="AY93" s="13">
        <f t="shared" si="130"/>
        <v>0.0147256598348129</v>
      </c>
      <c r="AZ93" s="13">
        <f t="shared" si="130"/>
        <v>0.0147256598348129</v>
      </c>
      <c r="BA93" s="13">
        <f t="shared" si="130"/>
        <v>0.0147256598348129</v>
      </c>
      <c r="BB93" s="13">
        <f t="shared" si="128"/>
        <v>0.0147256598348129</v>
      </c>
      <c r="BC93" s="13">
        <f t="shared" si="128"/>
        <v>0.0147256598348129</v>
      </c>
      <c r="BD93" s="13">
        <f t="shared" si="128"/>
        <v>0.0147256598348129</v>
      </c>
      <c r="BE93" s="13">
        <f t="shared" si="128"/>
        <v>0.0147256598348129</v>
      </c>
      <c r="BF93" s="13">
        <f t="shared" si="128"/>
        <v>0.0147256598348129</v>
      </c>
      <c r="BG93" s="13">
        <f t="shared" si="128"/>
        <v>0.0147256598348129</v>
      </c>
      <c r="BH93" s="13">
        <f t="shared" si="128"/>
        <v>0.0147256598348129</v>
      </c>
      <c r="BI93" s="13">
        <f t="shared" si="92"/>
        <v>0.0147256598348129</v>
      </c>
      <c r="BJ93" s="13">
        <f t="shared" si="92"/>
        <v>0.0147256598348129</v>
      </c>
      <c r="BK93" s="13">
        <f t="shared" si="92"/>
        <v>0.0147256598348129</v>
      </c>
      <c r="BL93" s="13">
        <f t="shared" si="92"/>
        <v>0.0147256598348129</v>
      </c>
      <c r="BM93" s="13">
        <f t="shared" si="92"/>
        <v>0.0147256598348129</v>
      </c>
      <c r="BN93" s="13">
        <f t="shared" si="92"/>
        <v>0.0147256598348129</v>
      </c>
      <c r="BO93" s="13">
        <f t="shared" si="92"/>
        <v>0.0147256598348129</v>
      </c>
    </row>
    <row r="94" s="13" customFormat="1" ht="14.25" customHeight="1" spans="5:67">
      <c r="E94" s="14" t="s">
        <v>26</v>
      </c>
      <c r="F94" s="13">
        <f t="shared" si="61"/>
        <v>0.00110149105409593</v>
      </c>
      <c r="G94" s="13">
        <f t="shared" ref="G94:AD94" si="131">1/G60</f>
        <v>0.00106957539731319</v>
      </c>
      <c r="H94" s="13">
        <f t="shared" si="131"/>
        <v>0.00149235635766363</v>
      </c>
      <c r="I94" s="13">
        <f t="shared" si="131"/>
        <v>0.00197747545393706</v>
      </c>
      <c r="J94" s="13">
        <f t="shared" si="131"/>
        <v>0.0013405781480492</v>
      </c>
      <c r="K94" s="13">
        <f t="shared" si="131"/>
        <v>0.00065672685310053</v>
      </c>
      <c r="L94" s="13">
        <f t="shared" si="131"/>
        <v>0.000563934965994195</v>
      </c>
      <c r="M94" s="13">
        <f t="shared" si="131"/>
        <v>0.000509125654874927</v>
      </c>
      <c r="N94" s="13">
        <f t="shared" si="131"/>
        <v>0.000807761874595789</v>
      </c>
      <c r="O94" s="13">
        <f t="shared" si="131"/>
        <v>0.00105029254269202</v>
      </c>
      <c r="P94" s="13">
        <f t="shared" si="131"/>
        <v>0.000851989196003336</v>
      </c>
      <c r="Q94" s="13">
        <f t="shared" si="131"/>
        <v>0.00116775131626679</v>
      </c>
      <c r="R94" s="13">
        <f t="shared" si="131"/>
        <v>0.000733875976875797</v>
      </c>
      <c r="S94" s="13">
        <f t="shared" si="131"/>
        <v>0.00108300712212819</v>
      </c>
      <c r="T94" s="13">
        <f t="shared" si="131"/>
        <v>0.00124236393169602</v>
      </c>
      <c r="U94" s="13">
        <f t="shared" si="131"/>
        <v>0.00224605578236888</v>
      </c>
      <c r="V94" s="13">
        <f t="shared" si="131"/>
        <v>0.0014769155820239</v>
      </c>
      <c r="W94" s="13">
        <f t="shared" si="131"/>
        <v>0.00129101661098275</v>
      </c>
      <c r="X94" s="13">
        <f t="shared" si="131"/>
        <v>0.00076198186685415</v>
      </c>
      <c r="Y94" s="13">
        <f t="shared" si="131"/>
        <v>0.000768127687154828</v>
      </c>
      <c r="Z94" s="13">
        <f t="shared" si="131"/>
        <v>0.000631563263633847</v>
      </c>
      <c r="AA94" s="13">
        <f t="shared" si="131"/>
        <v>0.00183579046869581</v>
      </c>
      <c r="AB94" s="13">
        <f t="shared" si="131"/>
        <v>0.00167199616528058</v>
      </c>
      <c r="AC94" s="13">
        <f t="shared" si="131"/>
        <v>0.00111774162677594</v>
      </c>
      <c r="AD94" s="13">
        <f t="shared" si="131"/>
        <v>0.000849492387396039</v>
      </c>
      <c r="AE94" s="13">
        <f t="shared" si="127"/>
        <v>0.000576968312105499</v>
      </c>
      <c r="AF94" s="13">
        <v>0</v>
      </c>
      <c r="AG94" s="13">
        <f>1/AG60</f>
        <v>0.00197797726473579</v>
      </c>
      <c r="AH94" s="13">
        <f>1/AH60</f>
        <v>0.00145033978468407</v>
      </c>
      <c r="AI94" s="13">
        <f>1/AI60</f>
        <v>0.00197988754673144</v>
      </c>
      <c r="AJ94" s="13">
        <f t="shared" ref="AJ94" si="132">1/AJ60</f>
        <v>0.000475913280213212</v>
      </c>
      <c r="AK94" s="13">
        <f t="shared" si="65"/>
        <v>0.0347600734749233</v>
      </c>
      <c r="AL94" s="13">
        <f t="shared" si="130"/>
        <v>0.0347600734749233</v>
      </c>
      <c r="AM94" s="13">
        <f t="shared" si="130"/>
        <v>0.0347600734749233</v>
      </c>
      <c r="AN94" s="13">
        <f t="shared" si="130"/>
        <v>0.0347600734749233</v>
      </c>
      <c r="AO94" s="13">
        <f t="shared" si="130"/>
        <v>0.0347600734749233</v>
      </c>
      <c r="AP94" s="13">
        <f t="shared" si="130"/>
        <v>0.0347600734749233</v>
      </c>
      <c r="AQ94" s="13">
        <f t="shared" si="130"/>
        <v>0.0347600734749233</v>
      </c>
      <c r="AR94" s="13">
        <f t="shared" si="130"/>
        <v>0.0347600734749233</v>
      </c>
      <c r="AS94" s="13">
        <f t="shared" si="130"/>
        <v>0.0347600734749233</v>
      </c>
      <c r="AT94" s="13">
        <f t="shared" si="130"/>
        <v>0.0347600734749233</v>
      </c>
      <c r="AU94" s="13">
        <f t="shared" si="130"/>
        <v>0.0347600734749233</v>
      </c>
      <c r="AV94" s="13">
        <f t="shared" si="130"/>
        <v>0.0347600734749233</v>
      </c>
      <c r="AW94" s="13">
        <f t="shared" si="130"/>
        <v>0.0347600734749233</v>
      </c>
      <c r="AX94" s="13">
        <f t="shared" si="130"/>
        <v>0.0347600734749233</v>
      </c>
      <c r="AY94" s="13">
        <f t="shared" si="130"/>
        <v>0.0347600734749233</v>
      </c>
      <c r="AZ94" s="13">
        <f t="shared" si="130"/>
        <v>0.0347600734749233</v>
      </c>
      <c r="BA94" s="13">
        <f t="shared" si="130"/>
        <v>0.0347600734749233</v>
      </c>
      <c r="BB94" s="13">
        <f t="shared" si="128"/>
        <v>0.0347600734749233</v>
      </c>
      <c r="BC94" s="13">
        <f t="shared" si="128"/>
        <v>0.0347600734749233</v>
      </c>
      <c r="BD94" s="13">
        <f t="shared" si="128"/>
        <v>0.0347600734749233</v>
      </c>
      <c r="BE94" s="13">
        <f t="shared" si="128"/>
        <v>0.0347600734749233</v>
      </c>
      <c r="BF94" s="13">
        <f t="shared" si="128"/>
        <v>0.0347600734749233</v>
      </c>
      <c r="BG94" s="13">
        <f t="shared" si="128"/>
        <v>0.0347600734749233</v>
      </c>
      <c r="BH94" s="13">
        <f t="shared" si="128"/>
        <v>0.0347600734749233</v>
      </c>
      <c r="BI94" s="13">
        <f t="shared" si="92"/>
        <v>0.0347600734749233</v>
      </c>
      <c r="BJ94" s="13">
        <f t="shared" si="92"/>
        <v>0.0347600734749233</v>
      </c>
      <c r="BK94" s="13">
        <f t="shared" si="92"/>
        <v>0.0347600734749233</v>
      </c>
      <c r="BL94" s="13">
        <f t="shared" si="92"/>
        <v>0.0347600734749233</v>
      </c>
      <c r="BM94" s="13">
        <f t="shared" si="92"/>
        <v>0.0347600734749233</v>
      </c>
      <c r="BN94" s="13">
        <f t="shared" si="92"/>
        <v>0.0347600734749233</v>
      </c>
      <c r="BO94" s="13">
        <f t="shared" si="92"/>
        <v>0.0347600734749233</v>
      </c>
    </row>
    <row r="95" s="13" customFormat="1" ht="14.25" customHeight="1" spans="5:67">
      <c r="E95" s="14" t="s">
        <v>27</v>
      </c>
      <c r="F95" s="13">
        <f t="shared" si="61"/>
        <v>0.000844065741156431</v>
      </c>
      <c r="G95" s="13">
        <f t="shared" ref="G95:AD95" si="133">1/G61</f>
        <v>0.000803158387810841</v>
      </c>
      <c r="H95" s="13">
        <f t="shared" si="133"/>
        <v>0.00101700405704846</v>
      </c>
      <c r="I95" s="13">
        <f t="shared" si="133"/>
        <v>0.00124455200265685</v>
      </c>
      <c r="J95" s="13">
        <f t="shared" si="133"/>
        <v>0.00117837595005099</v>
      </c>
      <c r="K95" s="13">
        <f t="shared" si="133"/>
        <v>0.00055173760528309</v>
      </c>
      <c r="L95" s="13">
        <f t="shared" si="133"/>
        <v>0.000493620857572507</v>
      </c>
      <c r="M95" s="13">
        <f t="shared" si="133"/>
        <v>0.000458282282150437</v>
      </c>
      <c r="N95" s="13">
        <f t="shared" si="133"/>
        <v>0.000576828621021383</v>
      </c>
      <c r="O95" s="13">
        <f t="shared" si="133"/>
        <v>0.000690708570532895</v>
      </c>
      <c r="P95" s="13">
        <f t="shared" si="133"/>
        <v>0.00059631728436694</v>
      </c>
      <c r="Q95" s="13">
        <f t="shared" si="133"/>
        <v>0.000735932956750377</v>
      </c>
      <c r="R95" s="13">
        <f t="shared" si="133"/>
        <v>0.000538006902329236</v>
      </c>
      <c r="S95" s="13">
        <f t="shared" si="133"/>
        <v>0.000706482103629276</v>
      </c>
      <c r="T95" s="13">
        <f t="shared" si="133"/>
        <v>0.00082563279430218</v>
      </c>
      <c r="U95" s="13">
        <f t="shared" si="133"/>
        <v>0.00109206391951542</v>
      </c>
      <c r="V95" s="13">
        <f t="shared" si="133"/>
        <v>0.000849839188765441</v>
      </c>
      <c r="W95" s="13">
        <f t="shared" si="133"/>
        <v>0.000814368808967742</v>
      </c>
      <c r="X95" s="13">
        <f t="shared" si="133"/>
        <v>0.000582900187906884</v>
      </c>
      <c r="Y95" s="13">
        <f t="shared" si="133"/>
        <v>0.000634580457634343</v>
      </c>
      <c r="Z95" s="13">
        <f t="shared" si="133"/>
        <v>0.000526522476798947</v>
      </c>
      <c r="AA95" s="13">
        <f t="shared" si="133"/>
        <v>0.00129563236875281</v>
      </c>
      <c r="AB95" s="13">
        <f t="shared" si="133"/>
        <v>0.00158785186042867</v>
      </c>
      <c r="AC95" s="13">
        <f t="shared" si="133"/>
        <v>0.000898032529388144</v>
      </c>
      <c r="AD95" s="13">
        <f t="shared" si="133"/>
        <v>0.000813702790403765</v>
      </c>
      <c r="AE95" s="13">
        <f t="shared" si="127"/>
        <v>0.000727289960841335</v>
      </c>
      <c r="AF95" s="13">
        <f>1/AF61</f>
        <v>0.00197797726473579</v>
      </c>
      <c r="AG95" s="13">
        <v>0</v>
      </c>
      <c r="AH95" s="13">
        <f>1/AH61</f>
        <v>0.00537007263221573</v>
      </c>
      <c r="AI95" s="13">
        <f>1/AI61</f>
        <v>0.0029249962421969</v>
      </c>
      <c r="AJ95" s="13">
        <f t="shared" ref="AJ95" si="134">1/AJ61</f>
        <v>0.000622823217323636</v>
      </c>
      <c r="AK95" s="13">
        <f t="shared" si="65"/>
        <v>0.0319793600225375</v>
      </c>
      <c r="AL95" s="13">
        <f t="shared" si="130"/>
        <v>0.0319793600225375</v>
      </c>
      <c r="AM95" s="13">
        <f t="shared" si="130"/>
        <v>0.0319793600225375</v>
      </c>
      <c r="AN95" s="13">
        <f t="shared" si="130"/>
        <v>0.0319793600225375</v>
      </c>
      <c r="AO95" s="13">
        <f t="shared" si="130"/>
        <v>0.0319793600225375</v>
      </c>
      <c r="AP95" s="13">
        <f t="shared" si="130"/>
        <v>0.0319793600225375</v>
      </c>
      <c r="AQ95" s="13">
        <f t="shared" si="130"/>
        <v>0.0319793600225375</v>
      </c>
      <c r="AR95" s="13">
        <f t="shared" si="130"/>
        <v>0.0319793600225375</v>
      </c>
      <c r="AS95" s="13">
        <f t="shared" si="130"/>
        <v>0.0319793600225375</v>
      </c>
      <c r="AT95" s="13">
        <f t="shared" si="130"/>
        <v>0.0319793600225375</v>
      </c>
      <c r="AU95" s="13">
        <f t="shared" si="130"/>
        <v>0.0319793600225375</v>
      </c>
      <c r="AV95" s="13">
        <f t="shared" si="130"/>
        <v>0.0319793600225375</v>
      </c>
      <c r="AW95" s="13">
        <f t="shared" si="130"/>
        <v>0.0319793600225375</v>
      </c>
      <c r="AX95" s="13">
        <f t="shared" si="130"/>
        <v>0.0319793600225375</v>
      </c>
      <c r="AY95" s="13">
        <f t="shared" si="130"/>
        <v>0.0319793600225375</v>
      </c>
      <c r="AZ95" s="13">
        <f t="shared" si="130"/>
        <v>0.0319793600225375</v>
      </c>
      <c r="BA95" s="13">
        <f t="shared" si="130"/>
        <v>0.0319793600225375</v>
      </c>
      <c r="BB95" s="13">
        <f t="shared" si="128"/>
        <v>0.0319793600225375</v>
      </c>
      <c r="BC95" s="13">
        <f t="shared" si="128"/>
        <v>0.0319793600225375</v>
      </c>
      <c r="BD95" s="13">
        <f t="shared" si="128"/>
        <v>0.0319793600225375</v>
      </c>
      <c r="BE95" s="13">
        <f t="shared" si="128"/>
        <v>0.0319793600225375</v>
      </c>
      <c r="BF95" s="13">
        <f t="shared" si="128"/>
        <v>0.0319793600225375</v>
      </c>
      <c r="BG95" s="13">
        <f t="shared" si="128"/>
        <v>0.0319793600225375</v>
      </c>
      <c r="BH95" s="13">
        <f t="shared" si="128"/>
        <v>0.0319793600225375</v>
      </c>
      <c r="BI95" s="13">
        <f t="shared" si="92"/>
        <v>0.0319793600225375</v>
      </c>
      <c r="BJ95" s="13">
        <f t="shared" si="92"/>
        <v>0.0319793600225375</v>
      </c>
      <c r="BK95" s="13">
        <f t="shared" si="92"/>
        <v>0.0319793600225375</v>
      </c>
      <c r="BL95" s="13">
        <f t="shared" si="92"/>
        <v>0.0319793600225375</v>
      </c>
      <c r="BM95" s="13">
        <f t="shared" si="92"/>
        <v>0.0319793600225375</v>
      </c>
      <c r="BN95" s="13">
        <f t="shared" si="92"/>
        <v>0.0319793600225375</v>
      </c>
      <c r="BO95" s="13">
        <f t="shared" si="92"/>
        <v>0.0319793600225375</v>
      </c>
    </row>
    <row r="96" s="13" customFormat="1" ht="14.25" customHeight="1" spans="5:67">
      <c r="E96" s="14" t="s">
        <v>28</v>
      </c>
      <c r="F96" s="13">
        <f t="shared" si="61"/>
        <v>0.000745804752497066</v>
      </c>
      <c r="G96" s="13">
        <f t="shared" ref="G96:AB96" si="135">1/G62</f>
        <v>0.000710904664964182</v>
      </c>
      <c r="H96" s="13">
        <f t="shared" si="135"/>
        <v>0.000869296361882544</v>
      </c>
      <c r="I96" s="13">
        <f t="shared" si="135"/>
        <v>0.0010275797793672</v>
      </c>
      <c r="J96" s="13">
        <f t="shared" si="135"/>
        <v>0.0010224729203572</v>
      </c>
      <c r="K96" s="13">
        <f t="shared" si="135"/>
        <v>0.000509482417035704</v>
      </c>
      <c r="L96" s="13">
        <f t="shared" si="135"/>
        <v>0.000461887741305844</v>
      </c>
      <c r="M96" s="13">
        <f t="shared" si="135"/>
        <v>0.000432785818460077</v>
      </c>
      <c r="N96" s="13">
        <f t="shared" si="135"/>
        <v>0.000520883751259508</v>
      </c>
      <c r="O96" s="13">
        <f t="shared" si="135"/>
        <v>0.000612009073558352</v>
      </c>
      <c r="P96" s="13">
        <f t="shared" si="135"/>
        <v>0.000536973973267519</v>
      </c>
      <c r="Q96" s="13">
        <f t="shared" si="135"/>
        <v>0.000647547216587198</v>
      </c>
      <c r="R96" s="13">
        <f t="shared" si="135"/>
        <v>0.000491492284714867</v>
      </c>
      <c r="S96" s="13">
        <f t="shared" si="135"/>
        <v>0.000628740196309969</v>
      </c>
      <c r="T96" s="13">
        <f t="shared" si="135"/>
        <v>0.000719792709240253</v>
      </c>
      <c r="U96" s="13">
        <f t="shared" si="135"/>
        <v>0.000907845035337164</v>
      </c>
      <c r="V96" s="13">
        <f t="shared" si="135"/>
        <v>0.000737629625763466</v>
      </c>
      <c r="W96" s="13">
        <f t="shared" si="135"/>
        <v>0.000718994761224294</v>
      </c>
      <c r="X96" s="13">
        <f t="shared" si="135"/>
        <v>0.000538372562713496</v>
      </c>
      <c r="Y96" s="13">
        <f t="shared" si="135"/>
        <v>0.000596193012441093</v>
      </c>
      <c r="Z96" s="13">
        <f t="shared" si="135"/>
        <v>0.000497577631233818</v>
      </c>
      <c r="AA96" s="13">
        <f t="shared" si="135"/>
        <v>0.00112228920717818</v>
      </c>
      <c r="AB96" s="13">
        <f t="shared" si="135"/>
        <v>0.00141471135563845</v>
      </c>
      <c r="AC96" s="13">
        <f t="shared" ref="AC96:AJ96" si="136">1/AC62</f>
        <v>0.000825929338719596</v>
      </c>
      <c r="AD96" s="13">
        <f t="shared" si="136"/>
        <v>0.000790166689328382</v>
      </c>
      <c r="AE96" s="13">
        <f t="shared" si="127"/>
        <v>0.000805818970592094</v>
      </c>
      <c r="AF96" s="13">
        <f t="shared" si="136"/>
        <v>0.00145033978468407</v>
      </c>
      <c r="AG96" s="13">
        <f t="shared" si="136"/>
        <v>0.00537007263221573</v>
      </c>
      <c r="AH96" s="13">
        <v>0</v>
      </c>
      <c r="AI96" s="13">
        <f t="shared" si="136"/>
        <v>0.00215253752386529</v>
      </c>
      <c r="AJ96" s="13">
        <f t="shared" si="136"/>
        <v>0.000696033367300529</v>
      </c>
      <c r="AK96" s="13">
        <f t="shared" si="65"/>
        <v>0.0285621651590431</v>
      </c>
      <c r="AL96" s="13">
        <f t="shared" si="130"/>
        <v>0.0285621651590431</v>
      </c>
      <c r="AM96" s="13">
        <f t="shared" si="130"/>
        <v>0.0285621651590431</v>
      </c>
      <c r="AN96" s="13">
        <f t="shared" si="130"/>
        <v>0.0285621651590431</v>
      </c>
      <c r="AO96" s="13">
        <f t="shared" si="130"/>
        <v>0.0285621651590431</v>
      </c>
      <c r="AP96" s="13">
        <f t="shared" si="130"/>
        <v>0.0285621651590431</v>
      </c>
      <c r="AQ96" s="13">
        <f t="shared" si="130"/>
        <v>0.0285621651590431</v>
      </c>
      <c r="AR96" s="13">
        <f t="shared" si="130"/>
        <v>0.0285621651590431</v>
      </c>
      <c r="AS96" s="13">
        <f t="shared" si="130"/>
        <v>0.0285621651590431</v>
      </c>
      <c r="AT96" s="13">
        <f t="shared" si="130"/>
        <v>0.0285621651590431</v>
      </c>
      <c r="AU96" s="13">
        <f t="shared" si="130"/>
        <v>0.0285621651590431</v>
      </c>
      <c r="AV96" s="13">
        <f t="shared" si="130"/>
        <v>0.0285621651590431</v>
      </c>
      <c r="AW96" s="13">
        <f t="shared" si="130"/>
        <v>0.0285621651590431</v>
      </c>
      <c r="AX96" s="13">
        <f t="shared" si="130"/>
        <v>0.0285621651590431</v>
      </c>
      <c r="AY96" s="13">
        <f t="shared" si="130"/>
        <v>0.0285621651590431</v>
      </c>
      <c r="AZ96" s="13">
        <f t="shared" si="130"/>
        <v>0.0285621651590431</v>
      </c>
      <c r="BA96" s="13">
        <f t="shared" si="130"/>
        <v>0.0285621651590431</v>
      </c>
      <c r="BB96" s="13">
        <f t="shared" si="128"/>
        <v>0.0285621651590431</v>
      </c>
      <c r="BC96" s="13">
        <f t="shared" si="128"/>
        <v>0.0285621651590431</v>
      </c>
      <c r="BD96" s="13">
        <f t="shared" si="128"/>
        <v>0.0285621651590431</v>
      </c>
      <c r="BE96" s="13">
        <f t="shared" si="128"/>
        <v>0.0285621651590431</v>
      </c>
      <c r="BF96" s="13">
        <f t="shared" si="128"/>
        <v>0.0285621651590431</v>
      </c>
      <c r="BG96" s="13">
        <f t="shared" si="128"/>
        <v>0.0285621651590431</v>
      </c>
      <c r="BH96" s="13">
        <f t="shared" si="128"/>
        <v>0.0285621651590431</v>
      </c>
      <c r="BI96" s="13">
        <f t="shared" si="92"/>
        <v>0.0285621651590431</v>
      </c>
      <c r="BJ96" s="13">
        <f t="shared" si="92"/>
        <v>0.0285621651590431</v>
      </c>
      <c r="BK96" s="13">
        <f t="shared" si="92"/>
        <v>0.0285621651590431</v>
      </c>
      <c r="BL96" s="13">
        <f t="shared" si="92"/>
        <v>0.0285621651590431</v>
      </c>
      <c r="BM96" s="13">
        <f t="shared" si="92"/>
        <v>0.0285621651590431</v>
      </c>
      <c r="BN96" s="13">
        <f t="shared" si="92"/>
        <v>0.0285621651590431</v>
      </c>
      <c r="BO96" s="13">
        <f t="shared" si="92"/>
        <v>0.0285621651590431</v>
      </c>
    </row>
    <row r="97" s="13" customFormat="1" ht="14.25" customHeight="1" spans="5:67">
      <c r="E97" s="14" t="s">
        <v>29</v>
      </c>
      <c r="F97" s="13">
        <f t="shared" si="61"/>
        <v>0.00113095226947689</v>
      </c>
      <c r="G97" s="13">
        <f t="shared" ref="G97:AD97" si="137">1/G63</f>
        <v>0.00104604743111951</v>
      </c>
      <c r="H97" s="13">
        <f t="shared" si="137"/>
        <v>0.0014026143122248</v>
      </c>
      <c r="I97" s="13">
        <f t="shared" si="137"/>
        <v>0.00182516764170769</v>
      </c>
      <c r="J97" s="13">
        <f t="shared" si="137"/>
        <v>0.00194444399720696</v>
      </c>
      <c r="K97" s="13">
        <f t="shared" si="137"/>
        <v>0.000666494798619347</v>
      </c>
      <c r="L97" s="13">
        <f t="shared" si="137"/>
        <v>0.000588065887075927</v>
      </c>
      <c r="M97" s="13">
        <f t="shared" si="137"/>
        <v>0.000540986602875327</v>
      </c>
      <c r="N97" s="13">
        <f t="shared" si="137"/>
        <v>0.000627760359772842</v>
      </c>
      <c r="O97" s="13">
        <f t="shared" si="137"/>
        <v>0.000760010974026496</v>
      </c>
      <c r="P97" s="13">
        <f t="shared" si="137"/>
        <v>0.000638534487373326</v>
      </c>
      <c r="Q97" s="13">
        <f t="shared" si="137"/>
        <v>0.000797757500706102</v>
      </c>
      <c r="R97" s="13">
        <f t="shared" si="137"/>
        <v>0.000547035924402244</v>
      </c>
      <c r="S97" s="13">
        <f t="shared" si="137"/>
        <v>0.000713368359604855</v>
      </c>
      <c r="T97" s="13">
        <f t="shared" si="137"/>
        <v>0.00101920561240813</v>
      </c>
      <c r="U97" s="13">
        <f t="shared" si="137"/>
        <v>0.00129046751436957</v>
      </c>
      <c r="V97" s="13">
        <f t="shared" si="137"/>
        <v>0.000871233873276873</v>
      </c>
      <c r="W97" s="13">
        <f t="shared" si="137"/>
        <v>0.00078249192085557</v>
      </c>
      <c r="X97" s="13">
        <f t="shared" si="137"/>
        <v>0.000550446898520762</v>
      </c>
      <c r="Y97" s="13">
        <f t="shared" si="137"/>
        <v>0.000565485407904094</v>
      </c>
      <c r="Z97" s="13">
        <f t="shared" si="137"/>
        <v>0.000483416830467425</v>
      </c>
      <c r="AA97" s="13">
        <f t="shared" si="137"/>
        <v>0.00103423621597486</v>
      </c>
      <c r="AB97" s="13">
        <f t="shared" si="137"/>
        <v>0.00111429933411013</v>
      </c>
      <c r="AC97" s="13">
        <f t="shared" si="137"/>
        <v>0.000753485755818083</v>
      </c>
      <c r="AD97" s="13">
        <f t="shared" si="137"/>
        <v>0.000660322369555232</v>
      </c>
      <c r="AE97" s="13">
        <f t="shared" si="127"/>
        <v>0.000587298111173288</v>
      </c>
      <c r="AF97" s="13">
        <f t="shared" ref="AF97:AH98" si="138">1/AF63</f>
        <v>0.00197988754673144</v>
      </c>
      <c r="AG97" s="13">
        <f t="shared" si="138"/>
        <v>0.0029249962421969</v>
      </c>
      <c r="AH97" s="13">
        <f t="shared" si="138"/>
        <v>0.00215253752386529</v>
      </c>
      <c r="AI97" s="13">
        <v>0</v>
      </c>
      <c r="AJ97" s="13">
        <f t="shared" ref="AJ97" si="139">1/AJ63</f>
        <v>0.000595211681664047</v>
      </c>
      <c r="AK97" s="13">
        <f t="shared" si="65"/>
        <v>0.030594263385084</v>
      </c>
      <c r="AL97" s="13">
        <f t="shared" si="130"/>
        <v>0.030594263385084</v>
      </c>
      <c r="AM97" s="13">
        <f t="shared" si="130"/>
        <v>0.030594263385084</v>
      </c>
      <c r="AN97" s="13">
        <f t="shared" si="130"/>
        <v>0.030594263385084</v>
      </c>
      <c r="AO97" s="13">
        <f t="shared" si="130"/>
        <v>0.030594263385084</v>
      </c>
      <c r="AP97" s="13">
        <f t="shared" si="130"/>
        <v>0.030594263385084</v>
      </c>
      <c r="AQ97" s="13">
        <f t="shared" si="130"/>
        <v>0.030594263385084</v>
      </c>
      <c r="AR97" s="13">
        <f t="shared" si="130"/>
        <v>0.030594263385084</v>
      </c>
      <c r="AS97" s="13">
        <f t="shared" si="130"/>
        <v>0.030594263385084</v>
      </c>
      <c r="AT97" s="13">
        <f t="shared" si="130"/>
        <v>0.030594263385084</v>
      </c>
      <c r="AU97" s="13">
        <f t="shared" si="130"/>
        <v>0.030594263385084</v>
      </c>
      <c r="AV97" s="13">
        <f t="shared" si="130"/>
        <v>0.030594263385084</v>
      </c>
      <c r="AW97" s="13">
        <f t="shared" si="130"/>
        <v>0.030594263385084</v>
      </c>
      <c r="AX97" s="13">
        <f t="shared" si="130"/>
        <v>0.030594263385084</v>
      </c>
      <c r="AY97" s="13">
        <f t="shared" si="130"/>
        <v>0.030594263385084</v>
      </c>
      <c r="AZ97" s="13">
        <f t="shared" si="130"/>
        <v>0.030594263385084</v>
      </c>
      <c r="BA97" s="13">
        <f t="shared" si="130"/>
        <v>0.030594263385084</v>
      </c>
      <c r="BB97" s="13">
        <f t="shared" si="128"/>
        <v>0.030594263385084</v>
      </c>
      <c r="BC97" s="13">
        <f t="shared" si="128"/>
        <v>0.030594263385084</v>
      </c>
      <c r="BD97" s="13">
        <f t="shared" si="128"/>
        <v>0.030594263385084</v>
      </c>
      <c r="BE97" s="13">
        <f t="shared" si="128"/>
        <v>0.030594263385084</v>
      </c>
      <c r="BF97" s="13">
        <f t="shared" si="128"/>
        <v>0.030594263385084</v>
      </c>
      <c r="BG97" s="13">
        <f t="shared" si="128"/>
        <v>0.030594263385084</v>
      </c>
      <c r="BH97" s="13">
        <f t="shared" si="128"/>
        <v>0.030594263385084</v>
      </c>
      <c r="BI97" s="13">
        <f t="shared" si="92"/>
        <v>0.030594263385084</v>
      </c>
      <c r="BJ97" s="13">
        <f t="shared" si="92"/>
        <v>0.030594263385084</v>
      </c>
      <c r="BK97" s="13">
        <f t="shared" si="92"/>
        <v>0.030594263385084</v>
      </c>
      <c r="BL97" s="13">
        <f t="shared" si="92"/>
        <v>0.030594263385084</v>
      </c>
      <c r="BM97" s="13">
        <f t="shared" si="92"/>
        <v>0.030594263385084</v>
      </c>
      <c r="BN97" s="13">
        <f t="shared" si="92"/>
        <v>0.030594263385084</v>
      </c>
      <c r="BO97" s="13">
        <f t="shared" si="92"/>
        <v>0.030594263385084</v>
      </c>
    </row>
    <row r="98" s="13" customFormat="1" ht="14.25" customHeight="1" spans="5:67">
      <c r="E98" s="14" t="s">
        <v>30</v>
      </c>
      <c r="F98" s="13">
        <f t="shared" si="61"/>
        <v>0.000410849937379194</v>
      </c>
      <c r="G98" s="13">
        <f t="shared" ref="G98:AD98" si="140">1/G64</f>
        <v>0.000395952025107518</v>
      </c>
      <c r="H98" s="13">
        <f t="shared" si="140"/>
        <v>0.000427336393100894</v>
      </c>
      <c r="I98" s="13">
        <f t="shared" si="140"/>
        <v>0.00045368184054175</v>
      </c>
      <c r="J98" s="13">
        <f t="shared" si="140"/>
        <v>0.000497340080139926</v>
      </c>
      <c r="K98" s="13">
        <f t="shared" si="140"/>
        <v>0.000340994389517465</v>
      </c>
      <c r="L98" s="13">
        <f t="shared" si="140"/>
        <v>0.000330231680868361</v>
      </c>
      <c r="M98" s="13">
        <f t="shared" si="140"/>
        <v>0.000325000294326347</v>
      </c>
      <c r="N98" s="13">
        <f t="shared" si="140"/>
        <v>0.000305532311018071</v>
      </c>
      <c r="O98" s="13">
        <f t="shared" si="140"/>
        <v>0.000333852897082765</v>
      </c>
      <c r="P98" s="13">
        <f t="shared" si="140"/>
        <v>0.000308355459727848</v>
      </c>
      <c r="Q98" s="13">
        <f t="shared" si="140"/>
        <v>0.000341604575918463</v>
      </c>
      <c r="R98" s="13">
        <f t="shared" si="140"/>
        <v>0.000288792670179479</v>
      </c>
      <c r="S98" s="13">
        <f t="shared" si="140"/>
        <v>0.000331078352866442</v>
      </c>
      <c r="T98" s="13">
        <f t="shared" si="140"/>
        <v>0.000379756572288916</v>
      </c>
      <c r="U98" s="13">
        <f t="shared" si="140"/>
        <v>0.000407665239358829</v>
      </c>
      <c r="V98" s="13">
        <f t="shared" si="140"/>
        <v>0.000359958780919733</v>
      </c>
      <c r="W98" s="13">
        <f t="shared" si="140"/>
        <v>0.000353670334270737</v>
      </c>
      <c r="X98" s="13">
        <f t="shared" si="140"/>
        <v>0.000305277733940193</v>
      </c>
      <c r="Y98" s="13">
        <f t="shared" si="140"/>
        <v>0.00033103421904057</v>
      </c>
      <c r="Z98" s="13">
        <f t="shared" si="140"/>
        <v>0.000297216474964048</v>
      </c>
      <c r="AA98" s="13">
        <f t="shared" si="140"/>
        <v>0.000435321464254087</v>
      </c>
      <c r="AB98" s="13">
        <f t="shared" si="140"/>
        <v>0.00048323001459767</v>
      </c>
      <c r="AC98" s="13">
        <f t="shared" si="140"/>
        <v>0.000389633493149046</v>
      </c>
      <c r="AD98" s="13">
        <f t="shared" si="140"/>
        <v>0.000405640281001294</v>
      </c>
      <c r="AE98" s="13">
        <f t="shared" si="127"/>
        <v>0.000625795269504079</v>
      </c>
      <c r="AF98" s="13">
        <f t="shared" si="138"/>
        <v>0.000475913280213212</v>
      </c>
      <c r="AG98" s="13">
        <f t="shared" si="138"/>
        <v>0.000622823217323636</v>
      </c>
      <c r="AH98" s="13">
        <f t="shared" si="138"/>
        <v>0.000696033367300529</v>
      </c>
      <c r="AI98" s="13">
        <f>1/AI64</f>
        <v>0.000595211681664047</v>
      </c>
      <c r="AJ98" s="13">
        <v>0</v>
      </c>
      <c r="AK98" s="13">
        <f t="shared" si="65"/>
        <v>0.0122547843315651</v>
      </c>
      <c r="AL98" s="13">
        <f t="shared" si="130"/>
        <v>0.0122547843315651</v>
      </c>
      <c r="AM98" s="13">
        <f t="shared" si="130"/>
        <v>0.0122547843315651</v>
      </c>
      <c r="AN98" s="13">
        <f t="shared" si="130"/>
        <v>0.0122547843315651</v>
      </c>
      <c r="AO98" s="13">
        <f t="shared" si="130"/>
        <v>0.0122547843315651</v>
      </c>
      <c r="AP98" s="13">
        <f t="shared" si="130"/>
        <v>0.0122547843315651</v>
      </c>
      <c r="AQ98" s="13">
        <f t="shared" si="130"/>
        <v>0.0122547843315651</v>
      </c>
      <c r="AR98" s="13">
        <f t="shared" si="130"/>
        <v>0.0122547843315651</v>
      </c>
      <c r="AS98" s="13">
        <f t="shared" si="130"/>
        <v>0.0122547843315651</v>
      </c>
      <c r="AT98" s="13">
        <f t="shared" si="130"/>
        <v>0.0122547843315651</v>
      </c>
      <c r="AU98" s="13">
        <f t="shared" si="130"/>
        <v>0.0122547843315651</v>
      </c>
      <c r="AV98" s="13">
        <f t="shared" si="130"/>
        <v>0.0122547843315651</v>
      </c>
      <c r="AW98" s="13">
        <f t="shared" si="130"/>
        <v>0.0122547843315651</v>
      </c>
      <c r="AX98" s="13">
        <f t="shared" si="130"/>
        <v>0.0122547843315651</v>
      </c>
      <c r="AY98" s="13">
        <f t="shared" si="130"/>
        <v>0.0122547843315651</v>
      </c>
      <c r="AZ98" s="13">
        <f t="shared" si="130"/>
        <v>0.0122547843315651</v>
      </c>
      <c r="BA98" s="13">
        <f t="shared" si="130"/>
        <v>0.0122547843315651</v>
      </c>
      <c r="BB98" s="13">
        <f t="shared" si="128"/>
        <v>0.0122547843315651</v>
      </c>
      <c r="BC98" s="13">
        <f t="shared" si="128"/>
        <v>0.0122547843315651</v>
      </c>
      <c r="BD98" s="13">
        <f t="shared" si="128"/>
        <v>0.0122547843315651</v>
      </c>
      <c r="BE98" s="13">
        <f t="shared" si="128"/>
        <v>0.0122547843315651</v>
      </c>
      <c r="BF98" s="13">
        <f t="shared" si="128"/>
        <v>0.0122547843315651</v>
      </c>
      <c r="BG98" s="13">
        <f t="shared" si="128"/>
        <v>0.0122547843315651</v>
      </c>
      <c r="BH98" s="13">
        <f t="shared" si="128"/>
        <v>0.0122547843315651</v>
      </c>
      <c r="BI98" s="13">
        <f t="shared" si="92"/>
        <v>0.0122547843315651</v>
      </c>
      <c r="BJ98" s="13">
        <f t="shared" si="92"/>
        <v>0.0122547843315651</v>
      </c>
      <c r="BK98" s="13">
        <f t="shared" si="92"/>
        <v>0.0122547843315651</v>
      </c>
      <c r="BL98" s="13">
        <f t="shared" ref="BL98:BO98" si="141">$AK98</f>
        <v>0.0122547843315651</v>
      </c>
      <c r="BM98" s="13">
        <f t="shared" si="141"/>
        <v>0.0122547843315651</v>
      </c>
      <c r="BN98" s="13">
        <f t="shared" si="141"/>
        <v>0.0122547843315651</v>
      </c>
      <c r="BO98" s="13">
        <f t="shared" si="141"/>
        <v>0.0122547843315651</v>
      </c>
    </row>
    <row r="99" s="13" customFormat="1" ht="14.25" customHeight="1"/>
    <row r="100" s="13" customFormat="1" ht="14.25" customHeight="1" spans="3:4">
      <c r="C100" s="16" t="s">
        <v>36</v>
      </c>
      <c r="D100" s="16"/>
    </row>
    <row r="101" s="13" customFormat="1" ht="14.25" customHeight="1" spans="5:36">
      <c r="E101" s="14" t="s">
        <v>38</v>
      </c>
      <c r="F101" s="14" t="s">
        <v>0</v>
      </c>
      <c r="G101" s="14" t="s">
        <v>1</v>
      </c>
      <c r="H101" s="14" t="s">
        <v>2</v>
      </c>
      <c r="I101" s="14" t="s">
        <v>3</v>
      </c>
      <c r="J101" s="14" t="s">
        <v>4</v>
      </c>
      <c r="K101" s="14" t="s">
        <v>5</v>
      </c>
      <c r="L101" s="14" t="s">
        <v>6</v>
      </c>
      <c r="M101" s="14" t="s">
        <v>7</v>
      </c>
      <c r="N101" s="14" t="s">
        <v>8</v>
      </c>
      <c r="O101" s="14" t="s">
        <v>9</v>
      </c>
      <c r="P101" s="14" t="s">
        <v>10</v>
      </c>
      <c r="Q101" s="14" t="s">
        <v>11</v>
      </c>
      <c r="R101" s="14" t="s">
        <v>12</v>
      </c>
      <c r="S101" s="14" t="s">
        <v>13</v>
      </c>
      <c r="T101" s="14" t="s">
        <v>14</v>
      </c>
      <c r="U101" s="14" t="s">
        <v>15</v>
      </c>
      <c r="V101" s="14" t="s">
        <v>16</v>
      </c>
      <c r="W101" s="14" t="s">
        <v>17</v>
      </c>
      <c r="X101" s="14" t="s">
        <v>18</v>
      </c>
      <c r="Y101" s="14" t="s">
        <v>19</v>
      </c>
      <c r="Z101" s="14" t="s">
        <v>20</v>
      </c>
      <c r="AA101" s="14" t="s">
        <v>21</v>
      </c>
      <c r="AB101" s="14" t="s">
        <v>22</v>
      </c>
      <c r="AC101" s="14" t="s">
        <v>23</v>
      </c>
      <c r="AD101" s="14" t="s">
        <v>24</v>
      </c>
      <c r="AE101" s="14" t="s">
        <v>25</v>
      </c>
      <c r="AF101" s="14" t="s">
        <v>26</v>
      </c>
      <c r="AG101" s="14" t="s">
        <v>27</v>
      </c>
      <c r="AH101" s="14" t="s">
        <v>28</v>
      </c>
      <c r="AI101" s="14" t="s">
        <v>29</v>
      </c>
      <c r="AJ101" s="14" t="s">
        <v>30</v>
      </c>
    </row>
    <row r="102" s="13" customFormat="1" ht="14.25" customHeight="1" spans="5:36">
      <c r="E102" s="14" t="s">
        <v>0</v>
      </c>
      <c r="F102" s="13">
        <f t="shared" ref="F102:F127" si="142">F68/AK68</f>
        <v>0</v>
      </c>
      <c r="G102" s="13">
        <f t="shared" ref="G102:AH102" si="143">G68/AL68</f>
        <v>0.240156462088104</v>
      </c>
      <c r="H102" s="13">
        <f t="shared" si="143"/>
        <v>0.0963511992175787</v>
      </c>
      <c r="I102" s="13">
        <f t="shared" si="143"/>
        <v>0.0566454358874996</v>
      </c>
      <c r="J102" s="13">
        <f t="shared" si="143"/>
        <v>0.0543461898782626</v>
      </c>
      <c r="K102" s="13">
        <f t="shared" si="143"/>
        <v>0.0365806314213206</v>
      </c>
      <c r="L102" s="13">
        <f t="shared" si="143"/>
        <v>0.0266050939932564</v>
      </c>
      <c r="M102" s="13">
        <f t="shared" si="143"/>
        <v>0.0218312576697995</v>
      </c>
      <c r="N102" s="13">
        <f t="shared" si="143"/>
        <v>0.022142587914109</v>
      </c>
      <c r="O102" s="13">
        <f t="shared" si="143"/>
        <v>0.0268063172395087</v>
      </c>
      <c r="P102" s="13">
        <f t="shared" si="143"/>
        <v>0.0209207294836517</v>
      </c>
      <c r="Q102" s="13">
        <f t="shared" si="143"/>
        <v>0.0256975372458575</v>
      </c>
      <c r="R102" s="13">
        <f t="shared" si="143"/>
        <v>0.0151043539909824</v>
      </c>
      <c r="S102" s="13">
        <f t="shared" si="143"/>
        <v>0.018564259773474</v>
      </c>
      <c r="T102" s="13">
        <f t="shared" si="143"/>
        <v>0.0646395675378625</v>
      </c>
      <c r="U102" s="13">
        <f t="shared" si="143"/>
        <v>0.0371999679651773</v>
      </c>
      <c r="V102" s="13">
        <f t="shared" si="143"/>
        <v>0.0221567997426469</v>
      </c>
      <c r="W102" s="13">
        <f t="shared" si="143"/>
        <v>0.0175315859179408</v>
      </c>
      <c r="X102" s="13">
        <f t="shared" si="143"/>
        <v>0.0124268939028078</v>
      </c>
      <c r="Y102" s="13">
        <f t="shared" si="143"/>
        <v>0.011269818364198</v>
      </c>
      <c r="Z102" s="13">
        <f t="shared" si="143"/>
        <v>0.0102564241166949</v>
      </c>
      <c r="AA102" s="13">
        <f t="shared" si="143"/>
        <v>0.0162559950931482</v>
      </c>
      <c r="AB102" s="13">
        <f t="shared" si="143"/>
        <v>0.0153209407813158</v>
      </c>
      <c r="AC102" s="13">
        <f t="shared" si="143"/>
        <v>0.0133394572455802</v>
      </c>
      <c r="AD102" s="13">
        <f t="shared" si="143"/>
        <v>0.0111551570235627</v>
      </c>
      <c r="AE102" s="13">
        <f t="shared" si="143"/>
        <v>0.00902561682238135</v>
      </c>
      <c r="AF102" s="13">
        <f t="shared" si="143"/>
        <v>0.0254141650840092</v>
      </c>
      <c r="AG102" s="13">
        <f t="shared" si="143"/>
        <v>0.0194747165741737</v>
      </c>
      <c r="AH102" s="13">
        <f t="shared" si="143"/>
        <v>0.0172075887769746</v>
      </c>
      <c r="AI102" s="13">
        <f t="shared" ref="AI102" si="144">AI68/BN68</f>
        <v>0.0260939093165957</v>
      </c>
      <c r="AJ102" s="13">
        <f t="shared" ref="AJ102" si="145">AJ68/BO68</f>
        <v>0.00947933993152551</v>
      </c>
    </row>
    <row r="103" s="13" customFormat="1" ht="14.25" customHeight="1" spans="5:36">
      <c r="E103" s="14" t="s">
        <v>1</v>
      </c>
      <c r="F103" s="13">
        <f t="shared" si="142"/>
        <v>0.24029280598076</v>
      </c>
      <c r="G103" s="13">
        <f t="shared" ref="G103:G126" si="146">G69/AL69</f>
        <v>0</v>
      </c>
      <c r="H103" s="13">
        <f t="shared" ref="H103:H126" si="147">H69/AM69</f>
        <v>0.0856150678283382</v>
      </c>
      <c r="I103" s="13">
        <f t="shared" ref="I103:I126" si="148">I69/AN69</f>
        <v>0.0513286596068714</v>
      </c>
      <c r="J103" s="13">
        <f t="shared" ref="J103:J126" si="149">J69/AO69</f>
        <v>0.044834512708915</v>
      </c>
      <c r="K103" s="13">
        <f t="shared" ref="K103:K126" si="150">K69/AP69</f>
        <v>0.03924594135136</v>
      </c>
      <c r="L103" s="13">
        <f t="shared" ref="L103:L126" si="151">L69/AQ69</f>
        <v>0.0274393149543346</v>
      </c>
      <c r="M103" s="13">
        <f t="shared" ref="M103:M126" si="152">M69/AR69</f>
        <v>0.0221305882177354</v>
      </c>
      <c r="N103" s="13">
        <f t="shared" ref="N103:N126" si="153">N69/AS69</f>
        <v>0.024157634758574</v>
      </c>
      <c r="O103" s="13">
        <f t="shared" ref="O103:O126" si="154">O69/AT69</f>
        <v>0.0293144986888146</v>
      </c>
      <c r="P103" s="13">
        <f t="shared" ref="P103:P126" si="155">P69/AU69</f>
        <v>0.02256146417468</v>
      </c>
      <c r="Q103" s="13">
        <f t="shared" ref="Q103:Q126" si="156">Q69/AV69</f>
        <v>0.0276501944566679</v>
      </c>
      <c r="R103" s="13">
        <f t="shared" ref="R103:R126" si="157">R69/AW69</f>
        <v>0.0158490587726979</v>
      </c>
      <c r="S103" s="13">
        <f t="shared" ref="S103:S126" si="158">S69/AX69</f>
        <v>0.0193822268842015</v>
      </c>
      <c r="T103" s="13">
        <f t="shared" ref="T103:T126" si="159">T69/AY69</f>
        <v>0.0791006038389539</v>
      </c>
      <c r="U103" s="13">
        <f t="shared" ref="U103:U126" si="160">U69/AZ69</f>
        <v>0.0380742911029627</v>
      </c>
      <c r="V103" s="13">
        <f t="shared" ref="V103:V126" si="161">V69/BA69</f>
        <v>0.0230385546146214</v>
      </c>
      <c r="W103" s="13">
        <f t="shared" ref="W103:W126" si="162">W69/BB69</f>
        <v>0.017985180174204</v>
      </c>
      <c r="X103" s="13">
        <f t="shared" ref="X103:X126" si="163">X69/BC69</f>
        <v>0.0127259875868926</v>
      </c>
      <c r="Y103" s="13">
        <f t="shared" ref="Y103:Y126" si="164">Y69/BD69</f>
        <v>0.0113884458917393</v>
      </c>
      <c r="Z103" s="13">
        <f t="shared" ref="Z103:Z126" si="165">Z69/BE69</f>
        <v>0.010413403444682</v>
      </c>
      <c r="AA103" s="13">
        <f t="shared" ref="AA103:AA126" si="166">AA69/BF69</f>
        <v>0.0161531672224467</v>
      </c>
      <c r="AB103" s="13">
        <f t="shared" ref="AB103:AB126" si="167">AB69/BG69</f>
        <v>0.0150758256906332</v>
      </c>
      <c r="AC103" s="13">
        <f t="shared" ref="AC103:AC126" si="168">AC69/BH69</f>
        <v>0.0133634440388486</v>
      </c>
      <c r="AD103" s="13">
        <f t="shared" ref="AD103:AD126" si="169">AD69/BI69</f>
        <v>0.0111035578461828</v>
      </c>
      <c r="AE103" s="13">
        <f t="shared" ref="AE103:AI117" si="170">AE69/BJ69</f>
        <v>0.00884126140988508</v>
      </c>
      <c r="AF103" s="13">
        <f t="shared" ref="AF103:AF125" si="171">AF69/BJ69</f>
        <v>0.0246918010319926</v>
      </c>
      <c r="AG103" s="13">
        <f t="shared" ref="AG103:AG125" si="172">AG69/BK69</f>
        <v>0.0185414017177457</v>
      </c>
      <c r="AH103" s="13">
        <f t="shared" ref="AH103:AH125" si="173">AH69/BL69</f>
        <v>0.016411668204136</v>
      </c>
      <c r="AI103" s="13">
        <f t="shared" si="170"/>
        <v>0.0241486435683849</v>
      </c>
      <c r="AJ103" s="13">
        <f t="shared" ref="AJ103:AJ125" si="174">AJ69/BN69</f>
        <v>0.00914079423173812</v>
      </c>
    </row>
    <row r="104" s="13" customFormat="1" ht="14.25" customHeight="1" spans="5:36">
      <c r="E104" s="14" t="s">
        <v>2</v>
      </c>
      <c r="F104" s="13">
        <f t="shared" si="142"/>
        <v>0.0967422069590014</v>
      </c>
      <c r="G104" s="13">
        <f t="shared" si="146"/>
        <v>0.0859137309705475</v>
      </c>
      <c r="H104" s="13">
        <f t="shared" si="147"/>
        <v>0</v>
      </c>
      <c r="I104" s="13">
        <f t="shared" si="148"/>
        <v>0.127725747688147</v>
      </c>
      <c r="J104" s="13">
        <f t="shared" si="149"/>
        <v>0.0625820900489652</v>
      </c>
      <c r="K104" s="13">
        <f t="shared" si="150"/>
        <v>0.0270382309805938</v>
      </c>
      <c r="L104" s="13">
        <f t="shared" si="151"/>
        <v>0.0209988733676981</v>
      </c>
      <c r="M104" s="13">
        <f t="shared" si="152"/>
        <v>0.0178746416133259</v>
      </c>
      <c r="N104" s="13">
        <f t="shared" si="153"/>
        <v>0.0232164941793655</v>
      </c>
      <c r="O104" s="13">
        <f t="shared" si="154"/>
        <v>0.0302083013751399</v>
      </c>
      <c r="P104" s="13">
        <f t="shared" si="155"/>
        <v>0.0226039665294554</v>
      </c>
      <c r="Q104" s="13">
        <f t="shared" si="156"/>
        <v>0.0301020201607865</v>
      </c>
      <c r="R104" s="13">
        <f t="shared" si="157"/>
        <v>0.016438826867393</v>
      </c>
      <c r="S104" s="13">
        <f t="shared" si="158"/>
        <v>0.0215062873155961</v>
      </c>
      <c r="T104" s="13">
        <f t="shared" si="159"/>
        <v>0.0773022466919738</v>
      </c>
      <c r="U104" s="13">
        <f t="shared" si="160"/>
        <v>0.0572782913250832</v>
      </c>
      <c r="V104" s="13">
        <f t="shared" si="161"/>
        <v>0.0271294096041094</v>
      </c>
      <c r="W104" s="13">
        <f t="shared" si="162"/>
        <v>0.020804909117071</v>
      </c>
      <c r="X104" s="13">
        <f t="shared" si="163"/>
        <v>0.0138985718864068</v>
      </c>
      <c r="Y104" s="13">
        <f t="shared" si="164"/>
        <v>0.0126883508303927</v>
      </c>
      <c r="Z104" s="13">
        <f t="shared" si="165"/>
        <v>0.0113420088091302</v>
      </c>
      <c r="AA104" s="13">
        <f t="shared" si="166"/>
        <v>0.0196247935967943</v>
      </c>
      <c r="AB104" s="13">
        <f t="shared" si="167"/>
        <v>0.0182699468528743</v>
      </c>
      <c r="AC104" s="13">
        <f t="shared" si="168"/>
        <v>0.0154977993224455</v>
      </c>
      <c r="AD104" s="13">
        <f t="shared" si="169"/>
        <v>0.0126651880847665</v>
      </c>
      <c r="AE104" s="13">
        <f t="shared" si="170"/>
        <v>0.00988371846807163</v>
      </c>
      <c r="AF104" s="13">
        <f t="shared" si="171"/>
        <v>0.0345721412464005</v>
      </c>
      <c r="AG104" s="13">
        <f t="shared" si="172"/>
        <v>0.0235600617291481</v>
      </c>
      <c r="AH104" s="13">
        <f t="shared" si="173"/>
        <v>0.0201382440954222</v>
      </c>
      <c r="AI104" s="13">
        <f t="shared" si="170"/>
        <v>0.0324931641611222</v>
      </c>
      <c r="AJ104" s="13">
        <f t="shared" si="174"/>
        <v>0.00989973612277222</v>
      </c>
    </row>
    <row r="105" s="13" customFormat="1" ht="14.25" customHeight="1" spans="5:36">
      <c r="E105" s="14" t="s">
        <v>3</v>
      </c>
      <c r="F105" s="13">
        <f t="shared" si="142"/>
        <v>0.060302281063527</v>
      </c>
      <c r="G105" s="13">
        <f t="shared" si="146"/>
        <v>0.0546112665685105</v>
      </c>
      <c r="H105" s="13">
        <f t="shared" si="147"/>
        <v>0.135421744773214</v>
      </c>
      <c r="I105" s="13">
        <f t="shared" si="148"/>
        <v>0</v>
      </c>
      <c r="J105" s="13">
        <f t="shared" si="149"/>
        <v>0.0729248367934471</v>
      </c>
      <c r="K105" s="13">
        <f t="shared" si="150"/>
        <v>0.0237468067555774</v>
      </c>
      <c r="L105" s="13">
        <f t="shared" si="151"/>
        <v>0.019272985391714</v>
      </c>
      <c r="M105" s="13">
        <f t="shared" si="152"/>
        <v>0.0168223320292933</v>
      </c>
      <c r="N105" s="13">
        <f t="shared" si="153"/>
        <v>0.022575362318761</v>
      </c>
      <c r="O105" s="13">
        <f t="shared" si="154"/>
        <v>0.0295767868514937</v>
      </c>
      <c r="P105" s="13">
        <f t="shared" si="155"/>
        <v>0.022525041622986</v>
      </c>
      <c r="Q105" s="13">
        <f t="shared" si="156"/>
        <v>0.0305679343566012</v>
      </c>
      <c r="R105" s="13">
        <f t="shared" si="157"/>
        <v>0.0171426862207466</v>
      </c>
      <c r="S105" s="13">
        <f t="shared" si="158"/>
        <v>0.023154804602063</v>
      </c>
      <c r="T105" s="13">
        <f t="shared" si="159"/>
        <v>0.0565624706259947</v>
      </c>
      <c r="U105" s="13">
        <f t="shared" si="160"/>
        <v>0.0689665457289304</v>
      </c>
      <c r="V105" s="13">
        <f t="shared" si="161"/>
        <v>0.0300203580951029</v>
      </c>
      <c r="W105" s="13">
        <f t="shared" si="162"/>
        <v>0.0234164528316764</v>
      </c>
      <c r="X105" s="13">
        <f t="shared" si="163"/>
        <v>0.0152411635857782</v>
      </c>
      <c r="Y105" s="13">
        <f t="shared" si="164"/>
        <v>0.0142570683331289</v>
      </c>
      <c r="Z105" s="13">
        <f t="shared" si="165"/>
        <v>0.0125238770751722</v>
      </c>
      <c r="AA105" s="13">
        <f t="shared" si="166"/>
        <v>0.0237392026298201</v>
      </c>
      <c r="AB105" s="13">
        <f t="shared" si="167"/>
        <v>0.0222794739739028</v>
      </c>
      <c r="AC105" s="13">
        <f t="shared" si="168"/>
        <v>0.0180041727909763</v>
      </c>
      <c r="AD105" s="13">
        <f t="shared" si="169"/>
        <v>0.0146343032894137</v>
      </c>
      <c r="AE105" s="13">
        <f t="shared" si="170"/>
        <v>0.0113581015006648</v>
      </c>
      <c r="AF105" s="13">
        <f t="shared" si="171"/>
        <v>0.0485707479434432</v>
      </c>
      <c r="AG105" s="13">
        <f t="shared" si="172"/>
        <v>0.0305686836735205</v>
      </c>
      <c r="AH105" s="13">
        <f t="shared" si="173"/>
        <v>0.0252394123811014</v>
      </c>
      <c r="AI105" s="13">
        <f t="shared" si="170"/>
        <v>0.0448297637795784</v>
      </c>
      <c r="AJ105" s="13">
        <f t="shared" si="174"/>
        <v>0.0111433324138607</v>
      </c>
    </row>
    <row r="106" s="13" customFormat="1" ht="14.25" customHeight="1" spans="5:36">
      <c r="E106" s="14" t="s">
        <v>4</v>
      </c>
      <c r="F106" s="13">
        <f t="shared" si="142"/>
        <v>0.0732517907464061</v>
      </c>
      <c r="G106" s="13">
        <f t="shared" si="146"/>
        <v>0.0603969637380086</v>
      </c>
      <c r="H106" s="13">
        <f t="shared" si="147"/>
        <v>0.0840118099419486</v>
      </c>
      <c r="I106" s="13">
        <f t="shared" si="148"/>
        <v>0.0923327546794686</v>
      </c>
      <c r="J106" s="13">
        <f t="shared" si="149"/>
        <v>0</v>
      </c>
      <c r="K106" s="13">
        <f t="shared" si="150"/>
        <v>0.0310850152110541</v>
      </c>
      <c r="L106" s="13">
        <f t="shared" si="151"/>
        <v>0.0261777241833625</v>
      </c>
      <c r="M106" s="13">
        <f t="shared" si="152"/>
        <v>0.0233030295740665</v>
      </c>
      <c r="N106" s="13">
        <f t="shared" si="153"/>
        <v>0.0227332245094248</v>
      </c>
      <c r="O106" s="13">
        <f t="shared" si="154"/>
        <v>0.0274525757828137</v>
      </c>
      <c r="P106" s="13">
        <f t="shared" si="155"/>
        <v>0.0223380341517394</v>
      </c>
      <c r="Q106" s="13">
        <f t="shared" si="156"/>
        <v>0.0276778921022183</v>
      </c>
      <c r="R106" s="13">
        <f t="shared" si="157"/>
        <v>0.0176719460047943</v>
      </c>
      <c r="S106" s="13">
        <f t="shared" si="158"/>
        <v>0.0222617054672395</v>
      </c>
      <c r="T106" s="13">
        <f t="shared" si="159"/>
        <v>0.0466983766959816</v>
      </c>
      <c r="U106" s="13">
        <f t="shared" si="160"/>
        <v>0.0448903746893529</v>
      </c>
      <c r="V106" s="13">
        <f t="shared" si="161"/>
        <v>0.0269262536181233</v>
      </c>
      <c r="W106" s="13">
        <f t="shared" si="162"/>
        <v>0.0225328482673228</v>
      </c>
      <c r="X106" s="13">
        <f t="shared" si="163"/>
        <v>0.0159992351161038</v>
      </c>
      <c r="Y106" s="13">
        <f t="shared" si="164"/>
        <v>0.0153457115445571</v>
      </c>
      <c r="Z106" s="13">
        <f t="shared" si="165"/>
        <v>0.0136366946138447</v>
      </c>
      <c r="AA106" s="13">
        <f t="shared" si="166"/>
        <v>0.0240999371225559</v>
      </c>
      <c r="AB106" s="13">
        <f t="shared" si="167"/>
        <v>0.0238320194122851</v>
      </c>
      <c r="AC106" s="13">
        <f t="shared" si="168"/>
        <v>0.0189731784191589</v>
      </c>
      <c r="AD106" s="13">
        <f t="shared" si="169"/>
        <v>0.0162724282581094</v>
      </c>
      <c r="AE106" s="13">
        <f t="shared" si="170"/>
        <v>0.0140276258545789</v>
      </c>
      <c r="AF106" s="13">
        <f t="shared" si="171"/>
        <v>0.0416904086954204</v>
      </c>
      <c r="AG106" s="13">
        <f t="shared" si="172"/>
        <v>0.0366461105053588</v>
      </c>
      <c r="AH106" s="13">
        <f t="shared" si="173"/>
        <v>0.0317977090643488</v>
      </c>
      <c r="AI106" s="13">
        <f t="shared" si="170"/>
        <v>0.0604699286251084</v>
      </c>
      <c r="AJ106" s="13">
        <f t="shared" si="174"/>
        <v>0.0154666934052439</v>
      </c>
    </row>
    <row r="107" s="13" customFormat="1" ht="14.25" customHeight="1" spans="5:36">
      <c r="E107" s="14" t="s">
        <v>5</v>
      </c>
      <c r="F107" s="13">
        <f t="shared" si="142"/>
        <v>0.0612270976699631</v>
      </c>
      <c r="G107" s="13">
        <f t="shared" si="146"/>
        <v>0.065650907581259</v>
      </c>
      <c r="H107" s="13">
        <f t="shared" si="147"/>
        <v>0.0450725244660529</v>
      </c>
      <c r="I107" s="13">
        <f t="shared" si="148"/>
        <v>0.0373360935596819</v>
      </c>
      <c r="J107" s="13">
        <f t="shared" si="149"/>
        <v>0.0386006320156071</v>
      </c>
      <c r="K107" s="13">
        <f t="shared" si="150"/>
        <v>0</v>
      </c>
      <c r="L107" s="13">
        <f t="shared" si="151"/>
        <v>0.138343693736974</v>
      </c>
      <c r="M107" s="13">
        <f t="shared" si="152"/>
        <v>0.0761201834030579</v>
      </c>
      <c r="N107" s="13">
        <f t="shared" si="153"/>
        <v>0.0331679377027292</v>
      </c>
      <c r="O107" s="13">
        <f t="shared" si="154"/>
        <v>0.0340270155886451</v>
      </c>
      <c r="P107" s="13">
        <f t="shared" si="155"/>
        <v>0.0298999926549063</v>
      </c>
      <c r="Q107" s="13">
        <f t="shared" si="156"/>
        <v>0.0312894401087485</v>
      </c>
      <c r="R107" s="13">
        <f t="shared" si="157"/>
        <v>0.0219680140998747</v>
      </c>
      <c r="S107" s="13">
        <f t="shared" si="158"/>
        <v>0.0239113950937305</v>
      </c>
      <c r="T107" s="13">
        <f t="shared" si="159"/>
        <v>0.0493652831560496</v>
      </c>
      <c r="U107" s="13">
        <f t="shared" si="160"/>
        <v>0.0331808635121558</v>
      </c>
      <c r="V107" s="13">
        <f t="shared" si="161"/>
        <v>0.0260399661063433</v>
      </c>
      <c r="W107" s="13">
        <f t="shared" si="162"/>
        <v>0.0217588045691929</v>
      </c>
      <c r="X107" s="13">
        <f t="shared" si="163"/>
        <v>0.0171287591041964</v>
      </c>
      <c r="Y107" s="13">
        <f t="shared" si="164"/>
        <v>0.0152032805490995</v>
      </c>
      <c r="Z107" s="13">
        <f t="shared" si="165"/>
        <v>0.0143659674616342</v>
      </c>
      <c r="AA107" s="13">
        <f t="shared" si="166"/>
        <v>0.0192681925358578</v>
      </c>
      <c r="AB107" s="13">
        <f t="shared" si="167"/>
        <v>0.018234755104678</v>
      </c>
      <c r="AC107" s="13">
        <f t="shared" si="168"/>
        <v>0.0169099466865936</v>
      </c>
      <c r="AD107" s="13">
        <f t="shared" si="169"/>
        <v>0.014557839734055</v>
      </c>
      <c r="AE107" s="13">
        <f t="shared" si="170"/>
        <v>0.0121211128701423</v>
      </c>
      <c r="AF107" s="13">
        <f t="shared" si="171"/>
        <v>0.0253613356926992</v>
      </c>
      <c r="AG107" s="13">
        <f t="shared" si="172"/>
        <v>0.0213068836089278</v>
      </c>
      <c r="AH107" s="13">
        <f t="shared" si="173"/>
        <v>0.0196750818806435</v>
      </c>
      <c r="AI107" s="13">
        <f t="shared" si="170"/>
        <v>0.0257385521018672</v>
      </c>
      <c r="AJ107" s="13">
        <f t="shared" si="174"/>
        <v>0.0131684476446339</v>
      </c>
    </row>
    <row r="108" s="13" customFormat="1" ht="14.25" customHeight="1" spans="5:36">
      <c r="E108" s="14" t="s">
        <v>6</v>
      </c>
      <c r="F108" s="13">
        <f t="shared" si="142"/>
        <v>0.0468020736181678</v>
      </c>
      <c r="G108" s="13">
        <f t="shared" si="146"/>
        <v>0.0482421962064506</v>
      </c>
      <c r="H108" s="13">
        <f t="shared" si="147"/>
        <v>0.036790647064178</v>
      </c>
      <c r="I108" s="13">
        <f t="shared" si="148"/>
        <v>0.0318478759168005</v>
      </c>
      <c r="J108" s="13">
        <f t="shared" si="149"/>
        <v>0.0341651271272015</v>
      </c>
      <c r="K108" s="13">
        <f t="shared" si="150"/>
        <v>0.145400931652414</v>
      </c>
      <c r="L108" s="13">
        <f t="shared" si="151"/>
        <v>0</v>
      </c>
      <c r="M108" s="13">
        <f t="shared" si="152"/>
        <v>0.17569678566062</v>
      </c>
      <c r="N108" s="13">
        <f t="shared" si="153"/>
        <v>0.0285342847382434</v>
      </c>
      <c r="O108" s="13">
        <f t="shared" si="154"/>
        <v>0.0287802870334648</v>
      </c>
      <c r="P108" s="13">
        <f t="shared" si="155"/>
        <v>0.0260825102803024</v>
      </c>
      <c r="Q108" s="13">
        <f t="shared" si="156"/>
        <v>0.0268427657517564</v>
      </c>
      <c r="R108" s="13">
        <f t="shared" si="157"/>
        <v>0.0200772370845547</v>
      </c>
      <c r="S108" s="13">
        <f t="shared" si="158"/>
        <v>0.0214426917482592</v>
      </c>
      <c r="T108" s="13">
        <f t="shared" si="159"/>
        <v>0.0383920310581129</v>
      </c>
      <c r="U108" s="13">
        <f t="shared" si="160"/>
        <v>0.0283192125100876</v>
      </c>
      <c r="V108" s="13">
        <f t="shared" si="161"/>
        <v>0.0230350112343099</v>
      </c>
      <c r="W108" s="13">
        <f t="shared" si="162"/>
        <v>0.0197626906229885</v>
      </c>
      <c r="X108" s="13">
        <f t="shared" si="163"/>
        <v>0.0160287273201481</v>
      </c>
      <c r="Y108" s="13">
        <f t="shared" si="164"/>
        <v>0.0144000694845056</v>
      </c>
      <c r="Z108" s="13">
        <f t="shared" si="165"/>
        <v>0.0136798885617343</v>
      </c>
      <c r="AA108" s="13">
        <f t="shared" si="166"/>
        <v>0.0178906166937963</v>
      </c>
      <c r="AB108" s="13">
        <f t="shared" si="167"/>
        <v>0.017118772450995</v>
      </c>
      <c r="AC108" s="13">
        <f t="shared" si="168"/>
        <v>0.0158805784259287</v>
      </c>
      <c r="AD108" s="13">
        <f t="shared" si="169"/>
        <v>0.0139079377407604</v>
      </c>
      <c r="AE108" s="13">
        <f t="shared" si="170"/>
        <v>0.0119365782707987</v>
      </c>
      <c r="AF108" s="13">
        <f t="shared" si="171"/>
        <v>0.0228888616132645</v>
      </c>
      <c r="AG108" s="13">
        <f t="shared" si="172"/>
        <v>0.0200349688877323</v>
      </c>
      <c r="AH108" s="13">
        <f t="shared" si="173"/>
        <v>0.0187469925241727</v>
      </c>
      <c r="AI108" s="13">
        <f t="shared" si="170"/>
        <v>0.0238682818417418</v>
      </c>
      <c r="AJ108" s="13">
        <f t="shared" si="174"/>
        <v>0.0134033668765087</v>
      </c>
    </row>
    <row r="109" s="13" customFormat="1" ht="14.25" customHeight="1" spans="5:36">
      <c r="E109" s="14" t="s">
        <v>7</v>
      </c>
      <c r="F109" s="13">
        <f t="shared" si="142"/>
        <v>0.0449777843855023</v>
      </c>
      <c r="G109" s="13">
        <f t="shared" si="146"/>
        <v>0.045568608625789</v>
      </c>
      <c r="H109" s="13">
        <f t="shared" si="147"/>
        <v>0.0366773356196174</v>
      </c>
      <c r="I109" s="13">
        <f t="shared" si="148"/>
        <v>0.0325564232341723</v>
      </c>
      <c r="J109" s="13">
        <f t="shared" si="149"/>
        <v>0.0356190674298275</v>
      </c>
      <c r="K109" s="13">
        <f t="shared" si="150"/>
        <v>0.0936972086730123</v>
      </c>
      <c r="L109" s="13">
        <f t="shared" si="151"/>
        <v>0.205770361735771</v>
      </c>
      <c r="M109" s="13">
        <f t="shared" si="152"/>
        <v>0</v>
      </c>
      <c r="N109" s="13">
        <f t="shared" si="153"/>
        <v>0.0287835175595135</v>
      </c>
      <c r="O109" s="13">
        <f t="shared" si="154"/>
        <v>0.0289693688647957</v>
      </c>
      <c r="P109" s="13">
        <f t="shared" si="155"/>
        <v>0.0266089062354727</v>
      </c>
      <c r="Q109" s="13">
        <f t="shared" si="156"/>
        <v>0.0272952180423033</v>
      </c>
      <c r="R109" s="13">
        <f t="shared" si="157"/>
        <v>0.0211121774465937</v>
      </c>
      <c r="S109" s="13">
        <f t="shared" si="158"/>
        <v>0.0223974336007623</v>
      </c>
      <c r="T109" s="13">
        <f t="shared" si="159"/>
        <v>0.0372572230755129</v>
      </c>
      <c r="U109" s="13">
        <f t="shared" si="160"/>
        <v>0.0289105603314771</v>
      </c>
      <c r="V109" s="13">
        <f t="shared" si="161"/>
        <v>0.0239230477742643</v>
      </c>
      <c r="W109" s="13">
        <f t="shared" si="162"/>
        <v>0.0208629229948054</v>
      </c>
      <c r="X109" s="13">
        <f t="shared" si="163"/>
        <v>0.0172113660443463</v>
      </c>
      <c r="Y109" s="13">
        <f t="shared" si="164"/>
        <v>0.0156293355249419</v>
      </c>
      <c r="Z109" s="13">
        <f t="shared" si="165"/>
        <v>0.0148778580344218</v>
      </c>
      <c r="AA109" s="13">
        <f t="shared" si="166"/>
        <v>0.0192302276896547</v>
      </c>
      <c r="AB109" s="13">
        <f t="shared" si="167"/>
        <v>0.0185535810668303</v>
      </c>
      <c r="AC109" s="13">
        <f t="shared" si="168"/>
        <v>0.0171742300467239</v>
      </c>
      <c r="AD109" s="13">
        <f t="shared" si="169"/>
        <v>0.015226829852932</v>
      </c>
      <c r="AE109" s="13">
        <f t="shared" si="170"/>
        <v>0.0133863409281688</v>
      </c>
      <c r="AF109" s="13">
        <f t="shared" si="171"/>
        <v>0.0242013257157101</v>
      </c>
      <c r="AG109" s="13">
        <f t="shared" si="172"/>
        <v>0.0217844822272536</v>
      </c>
      <c r="AH109" s="13">
        <f t="shared" si="173"/>
        <v>0.0205725059371946</v>
      </c>
      <c r="AI109" s="13">
        <f t="shared" si="170"/>
        <v>0.0257158382388679</v>
      </c>
      <c r="AJ109" s="13">
        <f t="shared" si="174"/>
        <v>0.0154489130637619</v>
      </c>
    </row>
    <row r="110" s="13" customFormat="1" ht="14.25" customHeight="1" spans="5:36">
      <c r="E110" s="14" t="s">
        <v>8</v>
      </c>
      <c r="F110" s="13">
        <f t="shared" si="142"/>
        <v>0.0271739729867847</v>
      </c>
      <c r="G110" s="13">
        <f t="shared" si="146"/>
        <v>0.0296300702211411</v>
      </c>
      <c r="H110" s="13">
        <f t="shared" si="147"/>
        <v>0.0283767422141025</v>
      </c>
      <c r="I110" s="13">
        <f t="shared" si="148"/>
        <v>0.0260249961130913</v>
      </c>
      <c r="J110" s="13">
        <f t="shared" si="149"/>
        <v>0.0206983944169872</v>
      </c>
      <c r="K110" s="13">
        <f t="shared" si="150"/>
        <v>0.0243192823588093</v>
      </c>
      <c r="L110" s="13">
        <f t="shared" si="151"/>
        <v>0.0199063416956439</v>
      </c>
      <c r="M110" s="13">
        <f t="shared" si="152"/>
        <v>0.017145467283549</v>
      </c>
      <c r="N110" s="13">
        <f t="shared" si="153"/>
        <v>0</v>
      </c>
      <c r="O110" s="13">
        <f t="shared" si="154"/>
        <v>0.0989832038069089</v>
      </c>
      <c r="P110" s="13">
        <f t="shared" si="155"/>
        <v>0.179480779563875</v>
      </c>
      <c r="Q110" s="13">
        <f t="shared" si="156"/>
        <v>0.0718627254550394</v>
      </c>
      <c r="R110" s="13">
        <f t="shared" si="157"/>
        <v>0.0469616976355655</v>
      </c>
      <c r="S110" s="13">
        <f t="shared" si="158"/>
        <v>0.0447426185443915</v>
      </c>
      <c r="T110" s="13">
        <f t="shared" si="159"/>
        <v>0.04003644502513</v>
      </c>
      <c r="U110" s="13">
        <f t="shared" si="160"/>
        <v>0.0343104143145382</v>
      </c>
      <c r="V110" s="13">
        <f t="shared" si="161"/>
        <v>0.0412318273663139</v>
      </c>
      <c r="W110" s="13">
        <f t="shared" si="162"/>
        <v>0.0312485263392561</v>
      </c>
      <c r="X110" s="13">
        <f t="shared" si="163"/>
        <v>0.0234733493880168</v>
      </c>
      <c r="Y110" s="13">
        <f t="shared" si="164"/>
        <v>0.0175060044175522</v>
      </c>
      <c r="Z110" s="13">
        <f t="shared" si="165"/>
        <v>0.0170282639438743</v>
      </c>
      <c r="AA110" s="13">
        <f t="shared" si="166"/>
        <v>0.0198546991336072</v>
      </c>
      <c r="AB110" s="13">
        <f t="shared" si="167"/>
        <v>0.0171570845928345</v>
      </c>
      <c r="AC110" s="13">
        <f t="shared" si="168"/>
        <v>0.0183322509619579</v>
      </c>
      <c r="AD110" s="13">
        <f t="shared" si="169"/>
        <v>0.0143703346584998</v>
      </c>
      <c r="AE110" s="13">
        <f t="shared" si="170"/>
        <v>0.00976425444692152</v>
      </c>
      <c r="AF110" s="13">
        <f t="shared" si="171"/>
        <v>0.0228719390567276</v>
      </c>
      <c r="AG110" s="13">
        <f t="shared" si="172"/>
        <v>0.0163330177879208</v>
      </c>
      <c r="AH110" s="13">
        <f t="shared" si="173"/>
        <v>0.0147489276098959</v>
      </c>
      <c r="AI110" s="13">
        <f t="shared" si="170"/>
        <v>0.0177751601586034</v>
      </c>
      <c r="AJ110" s="13">
        <f t="shared" si="174"/>
        <v>0.00865120850246041</v>
      </c>
    </row>
    <row r="111" s="13" customFormat="1" ht="14.25" customHeight="1" spans="5:36">
      <c r="E111" s="14" t="s">
        <v>9</v>
      </c>
      <c r="F111" s="13">
        <f t="shared" si="142"/>
        <v>0.0272089885987052</v>
      </c>
      <c r="G111" s="13">
        <f t="shared" si="146"/>
        <v>0.0297379636031372</v>
      </c>
      <c r="H111" s="13">
        <f t="shared" si="147"/>
        <v>0.0305381472515961</v>
      </c>
      <c r="I111" s="13">
        <f t="shared" si="148"/>
        <v>0.028200539690147</v>
      </c>
      <c r="J111" s="13">
        <f t="shared" si="149"/>
        <v>0.0206732711331803</v>
      </c>
      <c r="K111" s="13">
        <f t="shared" si="150"/>
        <v>0.0206351024858997</v>
      </c>
      <c r="L111" s="13">
        <f t="shared" si="151"/>
        <v>0.0166061925333846</v>
      </c>
      <c r="M111" s="13">
        <f t="shared" si="152"/>
        <v>0.0142723332194143</v>
      </c>
      <c r="N111" s="13">
        <f t="shared" si="153"/>
        <v>0.0818675871184841</v>
      </c>
      <c r="O111" s="13">
        <f t="shared" si="154"/>
        <v>0</v>
      </c>
      <c r="P111" s="13">
        <f t="shared" si="155"/>
        <v>0.0899606274231697</v>
      </c>
      <c r="Q111" s="13">
        <f t="shared" si="156"/>
        <v>0.173945366355593</v>
      </c>
      <c r="R111" s="13">
        <f t="shared" si="157"/>
        <v>0.0349868388215296</v>
      </c>
      <c r="S111" s="13">
        <f t="shared" si="158"/>
        <v>0.0476457605940671</v>
      </c>
      <c r="T111" s="13">
        <f t="shared" si="159"/>
        <v>0.0464043774469419</v>
      </c>
      <c r="U111" s="13">
        <f t="shared" si="160"/>
        <v>0.043119268932783</v>
      </c>
      <c r="V111" s="13">
        <f t="shared" si="161"/>
        <v>0.0521285923435807</v>
      </c>
      <c r="W111" s="13">
        <f t="shared" si="162"/>
        <v>0.0328287134316718</v>
      </c>
      <c r="X111" s="13">
        <f t="shared" si="163"/>
        <v>0.020803498841659</v>
      </c>
      <c r="Y111" s="13">
        <f t="shared" si="164"/>
        <v>0.0159411096581764</v>
      </c>
      <c r="Z111" s="13">
        <f t="shared" si="165"/>
        <v>0.0149143130864686</v>
      </c>
      <c r="AA111" s="13">
        <f t="shared" si="166"/>
        <v>0.0200010594343477</v>
      </c>
      <c r="AB111" s="13">
        <f t="shared" si="167"/>
        <v>0.016924692008128</v>
      </c>
      <c r="AC111" s="13">
        <f t="shared" si="168"/>
        <v>0.0176250757648318</v>
      </c>
      <c r="AD111" s="13">
        <f t="shared" si="169"/>
        <v>0.0133948460854407</v>
      </c>
      <c r="AE111" s="13">
        <f t="shared" si="170"/>
        <v>0.00891306131309094</v>
      </c>
      <c r="AF111" s="13">
        <f t="shared" si="171"/>
        <v>0.0245969013865427</v>
      </c>
      <c r="AG111" s="13">
        <f t="shared" si="172"/>
        <v>0.0161757699932744</v>
      </c>
      <c r="AH111" s="13">
        <f t="shared" si="173"/>
        <v>0.0143326989558549</v>
      </c>
      <c r="AI111" s="13">
        <f t="shared" si="170"/>
        <v>0.017798769600806</v>
      </c>
      <c r="AJ111" s="13">
        <f t="shared" si="174"/>
        <v>0.00781853288809297</v>
      </c>
    </row>
    <row r="112" s="13" customFormat="1" ht="14.25" customHeight="1" spans="5:36">
      <c r="E112" s="14" t="s">
        <v>10</v>
      </c>
      <c r="F112" s="13">
        <f t="shared" si="142"/>
        <v>0.0239108459774761</v>
      </c>
      <c r="G112" s="13">
        <f t="shared" si="146"/>
        <v>0.0257714531268594</v>
      </c>
      <c r="H112" s="13">
        <f t="shared" si="147"/>
        <v>0.0257302441633465</v>
      </c>
      <c r="I112" s="13">
        <f t="shared" si="148"/>
        <v>0.0241832632090548</v>
      </c>
      <c r="J112" s="13">
        <f t="shared" si="149"/>
        <v>0.0189414806372815</v>
      </c>
      <c r="K112" s="13">
        <f t="shared" si="150"/>
        <v>0.0204172254399745</v>
      </c>
      <c r="L112" s="13">
        <f t="shared" si="151"/>
        <v>0.0169460002119762</v>
      </c>
      <c r="M112" s="13">
        <f t="shared" si="152"/>
        <v>0.0147613418726375</v>
      </c>
      <c r="N112" s="13">
        <f t="shared" si="153"/>
        <v>0.167151894637174</v>
      </c>
      <c r="O112" s="13">
        <f t="shared" si="154"/>
        <v>0.101296711840855</v>
      </c>
      <c r="P112" s="13">
        <f t="shared" si="155"/>
        <v>0</v>
      </c>
      <c r="Q112" s="13">
        <f t="shared" si="156"/>
        <v>0.0828380929802638</v>
      </c>
      <c r="R112" s="13">
        <f t="shared" si="157"/>
        <v>0.0565453961669535</v>
      </c>
      <c r="S112" s="13">
        <f t="shared" si="158"/>
        <v>0.0545700123999654</v>
      </c>
      <c r="T112" s="13">
        <f t="shared" si="159"/>
        <v>0.0350649313883173</v>
      </c>
      <c r="U112" s="13">
        <f t="shared" si="160"/>
        <v>0.0333304420758913</v>
      </c>
      <c r="V112" s="13">
        <f t="shared" si="161"/>
        <v>0.0462194603510822</v>
      </c>
      <c r="W112" s="13">
        <f t="shared" si="162"/>
        <v>0.034492751961583</v>
      </c>
      <c r="X112" s="13">
        <f t="shared" si="163"/>
        <v>0.0251456003374654</v>
      </c>
      <c r="Y112" s="13">
        <f t="shared" si="164"/>
        <v>0.0180325926294076</v>
      </c>
      <c r="Z112" s="13">
        <f t="shared" si="165"/>
        <v>0.0175195730868489</v>
      </c>
      <c r="AA112" s="13">
        <f t="shared" si="166"/>
        <v>0.0201348011758651</v>
      </c>
      <c r="AB112" s="13">
        <f t="shared" si="167"/>
        <v>0.0170919954141241</v>
      </c>
      <c r="AC112" s="13">
        <f t="shared" si="168"/>
        <v>0.0187588545563378</v>
      </c>
      <c r="AD112" s="13">
        <f t="shared" si="169"/>
        <v>0.0143901561011616</v>
      </c>
      <c r="AE112" s="13">
        <f t="shared" si="170"/>
        <v>0.00943303548357845</v>
      </c>
      <c r="AF112" s="13">
        <f t="shared" si="171"/>
        <v>0.022467103085945</v>
      </c>
      <c r="AG112" s="13">
        <f t="shared" si="172"/>
        <v>0.0157249903668384</v>
      </c>
      <c r="AH112" s="13">
        <f t="shared" si="173"/>
        <v>0.0141600969454355</v>
      </c>
      <c r="AI112" s="13">
        <f t="shared" si="170"/>
        <v>0.0168382653430871</v>
      </c>
      <c r="AJ112" s="13">
        <f t="shared" si="174"/>
        <v>0.00813138703321353</v>
      </c>
    </row>
    <row r="113" s="13" customFormat="1" ht="14.25" customHeight="1" spans="5:36">
      <c r="E113" s="14" t="s">
        <v>11</v>
      </c>
      <c r="F113" s="13">
        <f t="shared" si="142"/>
        <v>0.0255354253423312</v>
      </c>
      <c r="G113" s="13">
        <f t="shared" si="146"/>
        <v>0.027460174342609</v>
      </c>
      <c r="H113" s="13">
        <f t="shared" si="147"/>
        <v>0.0297912254505527</v>
      </c>
      <c r="I113" s="13">
        <f t="shared" si="148"/>
        <v>0.028533093964424</v>
      </c>
      <c r="J113" s="13">
        <f t="shared" si="149"/>
        <v>0.0204049464681774</v>
      </c>
      <c r="K113" s="13">
        <f t="shared" si="150"/>
        <v>0.0185762012929422</v>
      </c>
      <c r="L113" s="13">
        <f t="shared" si="151"/>
        <v>0.0151627702928179</v>
      </c>
      <c r="M113" s="13">
        <f t="shared" si="152"/>
        <v>0.0131649391890394</v>
      </c>
      <c r="N113" s="13">
        <f t="shared" si="153"/>
        <v>0.058187609361289</v>
      </c>
      <c r="O113" s="13">
        <f t="shared" si="154"/>
        <v>0.170290025549011</v>
      </c>
      <c r="P113" s="13">
        <f t="shared" si="155"/>
        <v>0.072021732863071</v>
      </c>
      <c r="Q113" s="13">
        <f t="shared" si="156"/>
        <v>0</v>
      </c>
      <c r="R113" s="13">
        <f t="shared" si="157"/>
        <v>0.0358413685363528</v>
      </c>
      <c r="S113" s="13">
        <f t="shared" si="158"/>
        <v>0.0602028627680027</v>
      </c>
      <c r="T113" s="13">
        <f t="shared" si="159"/>
        <v>0.0421861786678724</v>
      </c>
      <c r="U113" s="13">
        <f t="shared" si="160"/>
        <v>0.0477074379269005</v>
      </c>
      <c r="V113" s="13">
        <f t="shared" si="161"/>
        <v>0.0728629893504781</v>
      </c>
      <c r="W113" s="13">
        <f t="shared" si="162"/>
        <v>0.0393901576609142</v>
      </c>
      <c r="X113" s="13">
        <f t="shared" si="163"/>
        <v>0.022469429769154</v>
      </c>
      <c r="Y113" s="13">
        <f t="shared" si="164"/>
        <v>0.0170754713737752</v>
      </c>
      <c r="Z113" s="13">
        <f t="shared" si="165"/>
        <v>0.0157306949946702</v>
      </c>
      <c r="AA113" s="13">
        <f t="shared" si="166"/>
        <v>0.0220248791303647</v>
      </c>
      <c r="AB113" s="13">
        <f t="shared" si="167"/>
        <v>0.018213139285061</v>
      </c>
      <c r="AC113" s="13">
        <f t="shared" si="168"/>
        <v>0.0191999594146478</v>
      </c>
      <c r="AD113" s="13">
        <f t="shared" si="169"/>
        <v>0.0142064426073428</v>
      </c>
      <c r="AE113" s="13">
        <f t="shared" si="170"/>
        <v>0.00914675505450273</v>
      </c>
      <c r="AF113" s="13">
        <f t="shared" si="171"/>
        <v>0.0267729871720279</v>
      </c>
      <c r="AG113" s="13">
        <f t="shared" si="172"/>
        <v>0.016872705118021</v>
      </c>
      <c r="AH113" s="13">
        <f t="shared" si="173"/>
        <v>0.0148462888300531</v>
      </c>
      <c r="AI113" s="13">
        <f t="shared" si="170"/>
        <v>0.0182901539354069</v>
      </c>
      <c r="AJ113" s="13">
        <f t="shared" si="174"/>
        <v>0.00783195428818646</v>
      </c>
    </row>
    <row r="114" s="13" customFormat="1" ht="14.25" customHeight="1" spans="5:36">
      <c r="E114" s="14" t="s">
        <v>12</v>
      </c>
      <c r="F114" s="13">
        <f t="shared" si="142"/>
        <v>0.0237916409520591</v>
      </c>
      <c r="G114" s="13">
        <f t="shared" si="146"/>
        <v>0.0249504984323823</v>
      </c>
      <c r="H114" s="13">
        <f t="shared" si="147"/>
        <v>0.0257889818831484</v>
      </c>
      <c r="I114" s="13">
        <f t="shared" si="148"/>
        <v>0.0253648501040485</v>
      </c>
      <c r="J114" s="13">
        <f t="shared" si="149"/>
        <v>0.0206517792140222</v>
      </c>
      <c r="K114" s="13">
        <f t="shared" si="150"/>
        <v>0.0206738121042596</v>
      </c>
      <c r="L114" s="13">
        <f t="shared" si="151"/>
        <v>0.0179773590094854</v>
      </c>
      <c r="M114" s="13">
        <f t="shared" si="152"/>
        <v>0.0161412054953587</v>
      </c>
      <c r="N114" s="13">
        <f t="shared" si="153"/>
        <v>0.0602755619631472</v>
      </c>
      <c r="O114" s="13">
        <f t="shared" si="154"/>
        <v>0.0542939827175918</v>
      </c>
      <c r="P114" s="13">
        <f t="shared" si="155"/>
        <v>0.0779294075999247</v>
      </c>
      <c r="Q114" s="13">
        <f t="shared" si="156"/>
        <v>0.056813982576219</v>
      </c>
      <c r="R114" s="13">
        <f t="shared" si="157"/>
        <v>0</v>
      </c>
      <c r="S114" s="13">
        <f t="shared" si="158"/>
        <v>0.0817752394609586</v>
      </c>
      <c r="T114" s="13">
        <f t="shared" si="159"/>
        <v>0.0310461518719937</v>
      </c>
      <c r="U114" s="13">
        <f t="shared" si="160"/>
        <v>0.0333968067027622</v>
      </c>
      <c r="V114" s="13">
        <f t="shared" si="161"/>
        <v>0.0529844096142702</v>
      </c>
      <c r="W114" s="13">
        <f t="shared" si="162"/>
        <v>0.0524821822159498</v>
      </c>
      <c r="X114" s="13">
        <f t="shared" si="163"/>
        <v>0.052289143737501</v>
      </c>
      <c r="Y114" s="13">
        <f t="shared" si="164"/>
        <v>0.0307085431902902</v>
      </c>
      <c r="Z114" s="13">
        <f t="shared" si="165"/>
        <v>0.0319307717745384</v>
      </c>
      <c r="AA114" s="13">
        <f t="shared" si="166"/>
        <v>0.0278597084872985</v>
      </c>
      <c r="AB114" s="13">
        <f t="shared" si="167"/>
        <v>0.0232906514226107</v>
      </c>
      <c r="AC114" s="13">
        <f t="shared" si="168"/>
        <v>0.0285167990457748</v>
      </c>
      <c r="AD114" s="13">
        <f t="shared" si="169"/>
        <v>0.0215562789896834</v>
      </c>
      <c r="AE114" s="13">
        <f t="shared" si="170"/>
        <v>0.0130481853105225</v>
      </c>
      <c r="AF114" s="13">
        <f t="shared" si="171"/>
        <v>0.0266710298597621</v>
      </c>
      <c r="AG114" s="13">
        <f t="shared" si="172"/>
        <v>0.0195526200733093</v>
      </c>
      <c r="AH114" s="13">
        <f t="shared" si="173"/>
        <v>0.0178621535716128</v>
      </c>
      <c r="AI114" s="13">
        <f t="shared" si="170"/>
        <v>0.0198807590571452</v>
      </c>
      <c r="AJ114" s="13">
        <f t="shared" si="174"/>
        <v>0.0104955035623695</v>
      </c>
    </row>
    <row r="115" s="13" customFormat="1" ht="14.25" customHeight="1" spans="5:36">
      <c r="E115" s="14" t="s">
        <v>13</v>
      </c>
      <c r="F115" s="13">
        <f t="shared" si="142"/>
        <v>0.0214641503358254</v>
      </c>
      <c r="G115" s="13">
        <f t="shared" si="146"/>
        <v>0.0223971751232353</v>
      </c>
      <c r="H115" s="13">
        <f t="shared" si="147"/>
        <v>0.0247652457431501</v>
      </c>
      <c r="I115" s="13">
        <f t="shared" si="148"/>
        <v>0.025148284650898</v>
      </c>
      <c r="J115" s="13">
        <f t="shared" si="149"/>
        <v>0.0190961295704367</v>
      </c>
      <c r="K115" s="13">
        <f t="shared" si="150"/>
        <v>0.0165176593178625</v>
      </c>
      <c r="L115" s="13">
        <f t="shared" si="151"/>
        <v>0.0140933769860113</v>
      </c>
      <c r="M115" s="13">
        <f t="shared" si="152"/>
        <v>0.0125694136754322</v>
      </c>
      <c r="N115" s="13">
        <f t="shared" si="153"/>
        <v>0.0421534088000022</v>
      </c>
      <c r="O115" s="13">
        <f t="shared" si="154"/>
        <v>0.0542731567940272</v>
      </c>
      <c r="P115" s="13">
        <f t="shared" si="155"/>
        <v>0.0552041845290264</v>
      </c>
      <c r="Q115" s="13">
        <f t="shared" si="156"/>
        <v>0.0700489477383206</v>
      </c>
      <c r="R115" s="13">
        <f t="shared" si="157"/>
        <v>0.0600254807818402</v>
      </c>
      <c r="S115" s="13">
        <f t="shared" si="158"/>
        <v>0</v>
      </c>
      <c r="T115" s="13">
        <f t="shared" si="159"/>
        <v>0.0296112348990852</v>
      </c>
      <c r="U115" s="13">
        <f t="shared" si="160"/>
        <v>0.0378511061638698</v>
      </c>
      <c r="V115" s="13">
        <f t="shared" si="161"/>
        <v>0.104602609753981</v>
      </c>
      <c r="W115" s="13">
        <f t="shared" si="162"/>
        <v>0.0913910643627965</v>
      </c>
      <c r="X115" s="13">
        <f t="shared" si="163"/>
        <v>0.0417097984225251</v>
      </c>
      <c r="Y115" s="13">
        <f t="shared" si="164"/>
        <v>0.0269369952462567</v>
      </c>
      <c r="Z115" s="13">
        <f t="shared" si="165"/>
        <v>0.0247217084641384</v>
      </c>
      <c r="AA115" s="13">
        <f t="shared" si="166"/>
        <v>0.0300754666754104</v>
      </c>
      <c r="AB115" s="13">
        <f t="shared" si="167"/>
        <v>0.023447469422631</v>
      </c>
      <c r="AC115" s="13">
        <f t="shared" si="168"/>
        <v>0.0286640478283248</v>
      </c>
      <c r="AD115" s="13">
        <f t="shared" si="169"/>
        <v>0.0196555415010859</v>
      </c>
      <c r="AE115" s="13">
        <f t="shared" si="170"/>
        <v>0.0112038191972693</v>
      </c>
      <c r="AF115" s="13">
        <f t="shared" si="171"/>
        <v>0.0288909783970358</v>
      </c>
      <c r="AG115" s="13">
        <f t="shared" si="172"/>
        <v>0.0188465604489625</v>
      </c>
      <c r="AH115" s="13">
        <f t="shared" si="173"/>
        <v>0.0167726684873909</v>
      </c>
      <c r="AI115" s="13">
        <f t="shared" si="170"/>
        <v>0.0190302625397078</v>
      </c>
      <c r="AJ115" s="13">
        <f t="shared" si="174"/>
        <v>0.00883205414346152</v>
      </c>
    </row>
    <row r="116" s="13" customFormat="1" ht="14.25" customHeight="1" spans="5:36">
      <c r="E116" s="14" t="s">
        <v>14</v>
      </c>
      <c r="F116" s="13">
        <f t="shared" si="142"/>
        <v>0.0720465447939867</v>
      </c>
      <c r="G116" s="13">
        <f t="shared" si="146"/>
        <v>0.0881146301390307</v>
      </c>
      <c r="H116" s="13">
        <f t="shared" si="147"/>
        <v>0.0858119884553345</v>
      </c>
      <c r="I116" s="13">
        <f t="shared" si="148"/>
        <v>0.0592207998893729</v>
      </c>
      <c r="J116" s="13">
        <f t="shared" si="149"/>
        <v>0.0386160061875943</v>
      </c>
      <c r="K116" s="13">
        <f t="shared" si="150"/>
        <v>0.0328733430942891</v>
      </c>
      <c r="L116" s="13">
        <f t="shared" si="151"/>
        <v>0.0243251488243731</v>
      </c>
      <c r="M116" s="13">
        <f t="shared" si="152"/>
        <v>0.0201560717227756</v>
      </c>
      <c r="N116" s="13">
        <f t="shared" si="153"/>
        <v>0.0363618073811417</v>
      </c>
      <c r="O116" s="13">
        <f t="shared" si="154"/>
        <v>0.0509563627341171</v>
      </c>
      <c r="P116" s="13">
        <f t="shared" si="155"/>
        <v>0.0341955498137493</v>
      </c>
      <c r="Q116" s="13">
        <f t="shared" si="156"/>
        <v>0.0473187551895022</v>
      </c>
      <c r="R116" s="13">
        <f t="shared" si="157"/>
        <v>0.0219684922579903</v>
      </c>
      <c r="S116" s="13">
        <f t="shared" si="158"/>
        <v>0.0285453367343614</v>
      </c>
      <c r="T116" s="13">
        <f t="shared" si="159"/>
        <v>0</v>
      </c>
      <c r="U116" s="13">
        <f t="shared" si="160"/>
        <v>0.0656951168972132</v>
      </c>
      <c r="V116" s="13">
        <f t="shared" si="161"/>
        <v>0.0355716948114327</v>
      </c>
      <c r="W116" s="13">
        <f t="shared" si="162"/>
        <v>0.0254473576229037</v>
      </c>
      <c r="X116" s="13">
        <f t="shared" si="163"/>
        <v>0.0168234925793183</v>
      </c>
      <c r="Y116" s="13">
        <f t="shared" si="164"/>
        <v>0.0145513474419181</v>
      </c>
      <c r="Z116" s="13">
        <f t="shared" si="165"/>
        <v>0.0132549916155207</v>
      </c>
      <c r="AA116" s="13">
        <f t="shared" si="166"/>
        <v>0.0208234918307029</v>
      </c>
      <c r="AB116" s="13">
        <f t="shared" si="167"/>
        <v>0.0186966232239372</v>
      </c>
      <c r="AC116" s="13">
        <f t="shared" si="168"/>
        <v>0.0171194714702496</v>
      </c>
      <c r="AD116" s="13">
        <f t="shared" si="169"/>
        <v>0.0136871563827886</v>
      </c>
      <c r="AE116" s="13">
        <f t="shared" si="170"/>
        <v>0.0101503844186698</v>
      </c>
      <c r="AF116" s="13">
        <f t="shared" si="171"/>
        <v>0.0319490848244336</v>
      </c>
      <c r="AG116" s="13">
        <f t="shared" si="172"/>
        <v>0.0212322746226093</v>
      </c>
      <c r="AH116" s="13">
        <f t="shared" si="173"/>
        <v>0.0185104523214318</v>
      </c>
      <c r="AI116" s="13">
        <f t="shared" si="170"/>
        <v>0.0262102639440868</v>
      </c>
      <c r="AJ116" s="13">
        <f t="shared" si="174"/>
        <v>0.00976595877516462</v>
      </c>
    </row>
    <row r="117" s="13" customFormat="1" ht="14.25" customHeight="1" spans="5:36">
      <c r="E117" s="14" t="s">
        <v>15</v>
      </c>
      <c r="F117" s="13">
        <f t="shared" si="142"/>
        <v>0.0410568007589731</v>
      </c>
      <c r="G117" s="13">
        <f t="shared" si="146"/>
        <v>0.0419979288517514</v>
      </c>
      <c r="H117" s="13">
        <f t="shared" si="147"/>
        <v>0.0629613058592713</v>
      </c>
      <c r="I117" s="13">
        <f t="shared" si="148"/>
        <v>0.0715010132169889</v>
      </c>
      <c r="J117" s="13">
        <f t="shared" si="149"/>
        <v>0.0367575558100915</v>
      </c>
      <c r="K117" s="13">
        <f t="shared" si="150"/>
        <v>0.0218795178667917</v>
      </c>
      <c r="L117" s="13">
        <f t="shared" si="151"/>
        <v>0.0177673809402347</v>
      </c>
      <c r="M117" s="13">
        <f t="shared" si="152"/>
        <v>0.0154874438786758</v>
      </c>
      <c r="N117" s="13">
        <f t="shared" si="153"/>
        <v>0.0308562923017614</v>
      </c>
      <c r="O117" s="13">
        <f t="shared" si="154"/>
        <v>0.0468855141086561</v>
      </c>
      <c r="P117" s="13">
        <f t="shared" si="155"/>
        <v>0.0321858879535753</v>
      </c>
      <c r="Q117" s="13">
        <f t="shared" si="156"/>
        <v>0.0529879406317913</v>
      </c>
      <c r="R117" s="13">
        <f t="shared" si="157"/>
        <v>0.0234005055642652</v>
      </c>
      <c r="S117" s="13">
        <f t="shared" si="158"/>
        <v>0.036131421703969</v>
      </c>
      <c r="T117" s="13">
        <f t="shared" si="159"/>
        <v>0.0650520389562866</v>
      </c>
      <c r="U117" s="13">
        <f t="shared" si="160"/>
        <v>0</v>
      </c>
      <c r="V117" s="13">
        <f t="shared" si="161"/>
        <v>0.0549742293671897</v>
      </c>
      <c r="W117" s="13">
        <f t="shared" si="162"/>
        <v>0.0358678331556211</v>
      </c>
      <c r="X117" s="13">
        <f t="shared" si="163"/>
        <v>0.0200970873543904</v>
      </c>
      <c r="Y117" s="13">
        <f t="shared" si="164"/>
        <v>0.0178434430824104</v>
      </c>
      <c r="Z117" s="13">
        <f t="shared" si="165"/>
        <v>0.0155454107367725</v>
      </c>
      <c r="AA117" s="13">
        <f t="shared" si="166"/>
        <v>0.0301700290206776</v>
      </c>
      <c r="AB117" s="13">
        <f t="shared" si="167"/>
        <v>0.0257690251089924</v>
      </c>
      <c r="AC117" s="13">
        <f t="shared" si="168"/>
        <v>0.0226631930510849</v>
      </c>
      <c r="AD117" s="13">
        <f t="shared" si="169"/>
        <v>0.0170911007736773</v>
      </c>
      <c r="AE117" s="13">
        <f t="shared" si="170"/>
        <v>0.0117058422623076</v>
      </c>
      <c r="AF117" s="13">
        <f t="shared" si="171"/>
        <v>0.0571949848959035</v>
      </c>
      <c r="AG117" s="13">
        <f t="shared" si="172"/>
        <v>0.0278090062910947</v>
      </c>
      <c r="AH117" s="13">
        <f t="shared" si="173"/>
        <v>0.0231179401204214</v>
      </c>
      <c r="AI117" s="13">
        <f t="shared" si="170"/>
        <v>0.0328612809051328</v>
      </c>
      <c r="AJ117" s="13">
        <f t="shared" si="174"/>
        <v>0.0103810454712401</v>
      </c>
    </row>
    <row r="118" s="13" customFormat="1" ht="14.25" customHeight="1" spans="5:36">
      <c r="E118" s="14" t="s">
        <v>16</v>
      </c>
      <c r="F118" s="13">
        <f t="shared" si="142"/>
        <v>0.0240413014948386</v>
      </c>
      <c r="G118" s="13">
        <f t="shared" si="146"/>
        <v>0.0249838681652254</v>
      </c>
      <c r="H118" s="13">
        <f t="shared" si="147"/>
        <v>0.0293178702700275</v>
      </c>
      <c r="I118" s="13">
        <f t="shared" si="148"/>
        <v>0.030598348957728</v>
      </c>
      <c r="J118" s="13">
        <f t="shared" si="149"/>
        <v>0.0216759295169388</v>
      </c>
      <c r="K118" s="13">
        <f t="shared" si="150"/>
        <v>0.0168810276565747</v>
      </c>
      <c r="L118" s="13">
        <f t="shared" si="151"/>
        <v>0.0142082003654419</v>
      </c>
      <c r="M118" s="13">
        <f t="shared" si="152"/>
        <v>0.0125993501980262</v>
      </c>
      <c r="N118" s="13">
        <f t="shared" si="153"/>
        <v>0.0364551394234371</v>
      </c>
      <c r="O118" s="13">
        <f t="shared" si="154"/>
        <v>0.0557252074916041</v>
      </c>
      <c r="P118" s="13">
        <f t="shared" si="155"/>
        <v>0.0438790983317463</v>
      </c>
      <c r="Q118" s="13">
        <f t="shared" si="156"/>
        <v>0.0795621179132185</v>
      </c>
      <c r="R118" s="13">
        <f t="shared" si="157"/>
        <v>0.0364986499058428</v>
      </c>
      <c r="S118" s="13">
        <f t="shared" si="158"/>
        <v>0.0981651643011961</v>
      </c>
      <c r="T118" s="13">
        <f t="shared" si="159"/>
        <v>0.0346290665017213</v>
      </c>
      <c r="U118" s="13">
        <f t="shared" si="160"/>
        <v>0.0540464973283875</v>
      </c>
      <c r="V118" s="13">
        <f t="shared" si="161"/>
        <v>0</v>
      </c>
      <c r="W118" s="13">
        <f t="shared" si="162"/>
        <v>0.0857800357039107</v>
      </c>
      <c r="X118" s="13">
        <f t="shared" si="163"/>
        <v>0.0306897765675935</v>
      </c>
      <c r="Y118" s="13">
        <f t="shared" si="164"/>
        <v>0.023635184882918</v>
      </c>
      <c r="Z118" s="13">
        <f t="shared" si="165"/>
        <v>0.020567601439569</v>
      </c>
      <c r="AA118" s="13">
        <f t="shared" si="166"/>
        <v>0.0338078330439865</v>
      </c>
      <c r="AB118" s="13">
        <f t="shared" si="167"/>
        <v>0.0257407770780661</v>
      </c>
      <c r="AC118" s="13">
        <f t="shared" si="168"/>
        <v>0.0284539582073591</v>
      </c>
      <c r="AD118" s="13">
        <f t="shared" si="169"/>
        <v>0.0192691273447615</v>
      </c>
      <c r="AE118" s="13">
        <f t="shared" ref="AE118:AE132" si="175">AE84/BJ84</f>
        <v>0.0112495374614061</v>
      </c>
      <c r="AF118" s="13">
        <f t="shared" si="171"/>
        <v>0.0369744299644352</v>
      </c>
      <c r="AG118" s="13">
        <f t="shared" si="172"/>
        <v>0.0212756368397038</v>
      </c>
      <c r="AH118" s="13">
        <f t="shared" si="173"/>
        <v>0.0184664819502477</v>
      </c>
      <c r="AI118" s="13">
        <f t="shared" ref="AI118:AI132" si="176">AI84/BN84</f>
        <v>0.0218112505699044</v>
      </c>
      <c r="AJ118" s="13">
        <f t="shared" si="174"/>
        <v>0.00901153112418363</v>
      </c>
    </row>
    <row r="119" s="13" customFormat="1" ht="14.25" customHeight="1" spans="5:36">
      <c r="E119" s="14" t="s">
        <v>17</v>
      </c>
      <c r="F119" s="13">
        <f t="shared" si="142"/>
        <v>0.0212877778469893</v>
      </c>
      <c r="G119" s="13">
        <f t="shared" si="146"/>
        <v>0.0218261646010416</v>
      </c>
      <c r="H119" s="13">
        <f t="shared" si="147"/>
        <v>0.0251603154449005</v>
      </c>
      <c r="I119" s="13">
        <f t="shared" si="148"/>
        <v>0.0267092329211272</v>
      </c>
      <c r="J119" s="13">
        <f t="shared" si="149"/>
        <v>0.020299066808483</v>
      </c>
      <c r="K119" s="13">
        <f t="shared" si="150"/>
        <v>0.0157852578669132</v>
      </c>
      <c r="L119" s="13">
        <f t="shared" si="151"/>
        <v>0.0136412729590796</v>
      </c>
      <c r="M119" s="13">
        <f t="shared" si="152"/>
        <v>0.0122960317931592</v>
      </c>
      <c r="N119" s="13">
        <f t="shared" si="153"/>
        <v>0.0309181788022559</v>
      </c>
      <c r="O119" s="13">
        <f t="shared" si="154"/>
        <v>0.0392724270975392</v>
      </c>
      <c r="P119" s="13">
        <f t="shared" si="155"/>
        <v>0.0366453481681281</v>
      </c>
      <c r="Q119" s="13">
        <f t="shared" si="156"/>
        <v>0.0481332572464136</v>
      </c>
      <c r="R119" s="13">
        <f t="shared" si="157"/>
        <v>0.0404574743968112</v>
      </c>
      <c r="S119" s="13">
        <f t="shared" si="158"/>
        <v>0.0959791270703551</v>
      </c>
      <c r="T119" s="13">
        <f t="shared" si="159"/>
        <v>0.0277228006849882</v>
      </c>
      <c r="U119" s="13">
        <f t="shared" si="160"/>
        <v>0.0394613307347383</v>
      </c>
      <c r="V119" s="13">
        <f t="shared" si="161"/>
        <v>0.0959940699577631</v>
      </c>
      <c r="W119" s="13">
        <f t="shared" si="162"/>
        <v>0</v>
      </c>
      <c r="X119" s="13">
        <f t="shared" si="163"/>
        <v>0.0496943713228938</v>
      </c>
      <c r="Y119" s="13">
        <f t="shared" si="164"/>
        <v>0.0364732759477461</v>
      </c>
      <c r="Z119" s="13">
        <f t="shared" si="165"/>
        <v>0.0300032488409673</v>
      </c>
      <c r="AA119" s="13">
        <f t="shared" si="166"/>
        <v>0.0457732004521727</v>
      </c>
      <c r="AB119" s="13">
        <f t="shared" si="167"/>
        <v>0.0322763662709251</v>
      </c>
      <c r="AC119" s="13">
        <f t="shared" si="168"/>
        <v>0.0436655506800339</v>
      </c>
      <c r="AD119" s="13">
        <f t="shared" si="169"/>
        <v>0.0262197945696427</v>
      </c>
      <c r="AE119" s="13">
        <f t="shared" si="175"/>
        <v>0.01334704517675</v>
      </c>
      <c r="AF119" s="13">
        <f t="shared" si="171"/>
        <v>0.0361689438641663</v>
      </c>
      <c r="AG119" s="13">
        <f t="shared" si="172"/>
        <v>0.0228152445798977</v>
      </c>
      <c r="AH119" s="13">
        <f t="shared" si="173"/>
        <v>0.0201432583718309</v>
      </c>
      <c r="AI119" s="13">
        <f t="shared" si="176"/>
        <v>0.0219221860654795</v>
      </c>
      <c r="AJ119" s="13">
        <f t="shared" si="174"/>
        <v>0.00990837945680784</v>
      </c>
    </row>
    <row r="120" s="13" customFormat="1" ht="14.25" customHeight="1" spans="5:36">
      <c r="E120" s="14" t="s">
        <v>18</v>
      </c>
      <c r="F120" s="13">
        <f t="shared" si="142"/>
        <v>0.0203427675001286</v>
      </c>
      <c r="G120" s="13">
        <f t="shared" si="146"/>
        <v>0.0208205620234539</v>
      </c>
      <c r="H120" s="13">
        <f t="shared" si="147"/>
        <v>0.0226599400475146</v>
      </c>
      <c r="I120" s="13">
        <f t="shared" si="148"/>
        <v>0.0234367157081739</v>
      </c>
      <c r="J120" s="13">
        <f t="shared" si="149"/>
        <v>0.0194311060192497</v>
      </c>
      <c r="K120" s="13">
        <f t="shared" si="150"/>
        <v>0.0167525480023569</v>
      </c>
      <c r="L120" s="13">
        <f t="shared" si="151"/>
        <v>0.0149157875175402</v>
      </c>
      <c r="M120" s="13">
        <f t="shared" si="152"/>
        <v>0.0136755084912578</v>
      </c>
      <c r="N120" s="13">
        <f t="shared" si="153"/>
        <v>0.03131105827065</v>
      </c>
      <c r="O120" s="13">
        <f t="shared" si="154"/>
        <v>0.0335512405202098</v>
      </c>
      <c r="P120" s="13">
        <f t="shared" si="155"/>
        <v>0.036015656499783</v>
      </c>
      <c r="Q120" s="13">
        <f t="shared" si="156"/>
        <v>0.0370158651182802</v>
      </c>
      <c r="R120" s="13">
        <f t="shared" si="157"/>
        <v>0.0543421395447883</v>
      </c>
      <c r="S120" s="13">
        <f t="shared" si="158"/>
        <v>0.0590540206374144</v>
      </c>
      <c r="T120" s="13">
        <f t="shared" si="159"/>
        <v>0.0247086427622513</v>
      </c>
      <c r="U120" s="13">
        <f t="shared" si="160"/>
        <v>0.0298083561167319</v>
      </c>
      <c r="V120" s="13">
        <f t="shared" si="161"/>
        <v>0.0463009849022867</v>
      </c>
      <c r="W120" s="13">
        <f t="shared" si="162"/>
        <v>0.0669954827452567</v>
      </c>
      <c r="X120" s="13">
        <f t="shared" si="163"/>
        <v>0</v>
      </c>
      <c r="Y120" s="13">
        <f t="shared" si="164"/>
        <v>0.0737111805810958</v>
      </c>
      <c r="Z120" s="13">
        <f t="shared" si="165"/>
        <v>0.0826835631185399</v>
      </c>
      <c r="AA120" s="13">
        <f t="shared" si="166"/>
        <v>0.0385915480602361</v>
      </c>
      <c r="AB120" s="13">
        <f t="shared" si="167"/>
        <v>0.0310448807218853</v>
      </c>
      <c r="AC120" s="13">
        <f t="shared" si="168"/>
        <v>0.0490059995754248</v>
      </c>
      <c r="AD120" s="13">
        <f t="shared" si="169"/>
        <v>0.0339971630316246</v>
      </c>
      <c r="AE120" s="13">
        <f t="shared" si="175"/>
        <v>0.0163771480158873</v>
      </c>
      <c r="AF120" s="13">
        <f t="shared" si="171"/>
        <v>0.0287797458086182</v>
      </c>
      <c r="AG120" s="13">
        <f t="shared" si="172"/>
        <v>0.0220159034873292</v>
      </c>
      <c r="AH120" s="13">
        <f t="shared" si="173"/>
        <v>0.0203341131583575</v>
      </c>
      <c r="AI120" s="13">
        <f t="shared" si="176"/>
        <v>0.0207901559206028</v>
      </c>
      <c r="AJ120" s="13">
        <f t="shared" si="174"/>
        <v>0.0115302160930707</v>
      </c>
    </row>
    <row r="121" s="13" customFormat="1" ht="14.25" customHeight="1" spans="5:36">
      <c r="E121" s="14" t="s">
        <v>19</v>
      </c>
      <c r="F121" s="13">
        <f t="shared" si="142"/>
        <v>0.0187871751192341</v>
      </c>
      <c r="G121" s="13">
        <f t="shared" si="146"/>
        <v>0.0189741591021578</v>
      </c>
      <c r="H121" s="13">
        <f t="shared" si="147"/>
        <v>0.0210664268193973</v>
      </c>
      <c r="I121" s="13">
        <f t="shared" si="148"/>
        <v>0.0223257460579712</v>
      </c>
      <c r="J121" s="13">
        <f t="shared" si="149"/>
        <v>0.0189793988751504</v>
      </c>
      <c r="K121" s="13">
        <f t="shared" si="150"/>
        <v>0.0151422147474877</v>
      </c>
      <c r="L121" s="13">
        <f t="shared" si="151"/>
        <v>0.0136461096569332</v>
      </c>
      <c r="M121" s="13">
        <f t="shared" si="152"/>
        <v>0.0126463669392786</v>
      </c>
      <c r="N121" s="13">
        <f t="shared" si="153"/>
        <v>0.0237797256069564</v>
      </c>
      <c r="O121" s="13">
        <f t="shared" si="154"/>
        <v>0.0261810988566322</v>
      </c>
      <c r="P121" s="13">
        <f t="shared" si="155"/>
        <v>0.0263017484960596</v>
      </c>
      <c r="Q121" s="13">
        <f t="shared" si="156"/>
        <v>0.0286461113838091</v>
      </c>
      <c r="R121" s="13">
        <f t="shared" si="157"/>
        <v>0.0324998636718188</v>
      </c>
      <c r="S121" s="13">
        <f t="shared" si="158"/>
        <v>0.0388380710658475</v>
      </c>
      <c r="T121" s="13">
        <f t="shared" si="159"/>
        <v>0.0217637165913837</v>
      </c>
      <c r="U121" s="13">
        <f t="shared" si="160"/>
        <v>0.0269513601538402</v>
      </c>
      <c r="V121" s="13">
        <f t="shared" si="161"/>
        <v>0.0363122055786067</v>
      </c>
      <c r="W121" s="13">
        <f t="shared" si="162"/>
        <v>0.0500737612619363</v>
      </c>
      <c r="X121" s="13">
        <f t="shared" si="163"/>
        <v>0.0750637901105839</v>
      </c>
      <c r="Y121" s="13">
        <f t="shared" si="164"/>
        <v>0</v>
      </c>
      <c r="Z121" s="13">
        <f t="shared" si="165"/>
        <v>0.111745861530907</v>
      </c>
      <c r="AA121" s="13">
        <f t="shared" si="166"/>
        <v>0.0475742905111832</v>
      </c>
      <c r="AB121" s="13">
        <f t="shared" si="167"/>
        <v>0.0395046050694634</v>
      </c>
      <c r="AC121" s="13">
        <f t="shared" si="168"/>
        <v>0.0824218163817419</v>
      </c>
      <c r="AD121" s="13">
        <f t="shared" si="169"/>
        <v>0.058883082275079</v>
      </c>
      <c r="AE121" s="13">
        <f t="shared" si="175"/>
        <v>0.0205256773050297</v>
      </c>
      <c r="AF121" s="13">
        <f t="shared" si="171"/>
        <v>0.0295442424648255</v>
      </c>
      <c r="AG121" s="13">
        <f t="shared" si="172"/>
        <v>0.0244076593218934</v>
      </c>
      <c r="AH121" s="13">
        <f t="shared" si="173"/>
        <v>0.0229311756495037</v>
      </c>
      <c r="AI121" s="13">
        <f t="shared" si="176"/>
        <v>0.0217500791610858</v>
      </c>
      <c r="AJ121" s="13">
        <f t="shared" si="174"/>
        <v>0.0127324602342025</v>
      </c>
    </row>
    <row r="122" s="13" customFormat="1" ht="14.25" customHeight="1" spans="5:36">
      <c r="E122" s="14" t="s">
        <v>20</v>
      </c>
      <c r="F122" s="13">
        <f t="shared" si="142"/>
        <v>0.0196049853459871</v>
      </c>
      <c r="G122" s="13">
        <f t="shared" si="146"/>
        <v>0.0198937544694118</v>
      </c>
      <c r="H122" s="13">
        <f t="shared" si="147"/>
        <v>0.021592437184138</v>
      </c>
      <c r="I122" s="13">
        <f t="shared" si="148"/>
        <v>0.0224874665092611</v>
      </c>
      <c r="J122" s="13">
        <f t="shared" si="149"/>
        <v>0.0193388445006899</v>
      </c>
      <c r="K122" s="13">
        <f t="shared" si="150"/>
        <v>0.0164063870766569</v>
      </c>
      <c r="L122" s="13">
        <f t="shared" si="151"/>
        <v>0.0148645858148644</v>
      </c>
      <c r="M122" s="13">
        <f t="shared" si="152"/>
        <v>0.0138035775182152</v>
      </c>
      <c r="N122" s="13">
        <f t="shared" si="153"/>
        <v>0.0265226040838839</v>
      </c>
      <c r="O122" s="13">
        <f t="shared" si="154"/>
        <v>0.0280865606528253</v>
      </c>
      <c r="P122" s="13">
        <f t="shared" si="155"/>
        <v>0.0293005620989942</v>
      </c>
      <c r="Q122" s="13">
        <f t="shared" si="156"/>
        <v>0.0302598568560488</v>
      </c>
      <c r="R122" s="13">
        <f t="shared" si="157"/>
        <v>0.0387487524613972</v>
      </c>
      <c r="S122" s="13">
        <f t="shared" si="158"/>
        <v>0.0408707838396847</v>
      </c>
      <c r="T122" s="13">
        <f t="shared" si="159"/>
        <v>0.0227318767457592</v>
      </c>
      <c r="U122" s="13">
        <f t="shared" si="160"/>
        <v>0.0269234191800065</v>
      </c>
      <c r="V122" s="13">
        <f t="shared" si="161"/>
        <v>0.0362329134323826</v>
      </c>
      <c r="W122" s="13">
        <f t="shared" si="162"/>
        <v>0.0472312793895442</v>
      </c>
      <c r="X122" s="13">
        <f t="shared" si="163"/>
        <v>0.0965477793813311</v>
      </c>
      <c r="Y122" s="13">
        <f t="shared" si="164"/>
        <v>0.128131948943976</v>
      </c>
      <c r="Z122" s="13">
        <f t="shared" si="165"/>
        <v>0</v>
      </c>
      <c r="AA122" s="13">
        <f t="shared" si="166"/>
        <v>0.0391163789714806</v>
      </c>
      <c r="AB122" s="13">
        <f t="shared" si="167"/>
        <v>0.0336446761075612</v>
      </c>
      <c r="AC122" s="13">
        <f t="shared" si="168"/>
        <v>0.0548751608426855</v>
      </c>
      <c r="AD122" s="13">
        <f t="shared" si="169"/>
        <v>0.0452131448716252</v>
      </c>
      <c r="AE122" s="13">
        <f t="shared" si="175"/>
        <v>0.020122941633768</v>
      </c>
      <c r="AF122" s="13">
        <f t="shared" si="171"/>
        <v>0.0278536608633933</v>
      </c>
      <c r="AG122" s="13">
        <f t="shared" si="172"/>
        <v>0.0232210759399302</v>
      </c>
      <c r="AH122" s="13">
        <f t="shared" si="173"/>
        <v>0.0219445293791381</v>
      </c>
      <c r="AI122" s="13">
        <f t="shared" si="176"/>
        <v>0.0213199994787894</v>
      </c>
      <c r="AJ122" s="13">
        <f t="shared" si="174"/>
        <v>0.013108056426571</v>
      </c>
    </row>
    <row r="123" s="13" customFormat="1" ht="14.25" customHeight="1" spans="5:36">
      <c r="E123" s="14" t="s">
        <v>21</v>
      </c>
      <c r="F123" s="13">
        <f t="shared" si="142"/>
        <v>0.021207181337891</v>
      </c>
      <c r="G123" s="13">
        <f t="shared" si="146"/>
        <v>0.0210610775701707</v>
      </c>
      <c r="H123" s="13">
        <f t="shared" si="147"/>
        <v>0.0254985580674911</v>
      </c>
      <c r="I123" s="13">
        <f t="shared" si="148"/>
        <v>0.0290915392327903</v>
      </c>
      <c r="J123" s="13">
        <f t="shared" si="149"/>
        <v>0.0233257789487385</v>
      </c>
      <c r="K123" s="13">
        <f t="shared" si="150"/>
        <v>0.0150182002959431</v>
      </c>
      <c r="L123" s="13">
        <f t="shared" si="151"/>
        <v>0.013267662139022</v>
      </c>
      <c r="M123" s="13">
        <f t="shared" si="152"/>
        <v>0.0121768376063238</v>
      </c>
      <c r="N123" s="13">
        <f t="shared" si="153"/>
        <v>0.0211060974575363</v>
      </c>
      <c r="O123" s="13">
        <f t="shared" si="154"/>
        <v>0.0257067482878041</v>
      </c>
      <c r="P123" s="13">
        <f t="shared" si="155"/>
        <v>0.0229825713889487</v>
      </c>
      <c r="Q123" s="13">
        <f t="shared" si="156"/>
        <v>0.0289155416580046</v>
      </c>
      <c r="R123" s="13">
        <f t="shared" si="157"/>
        <v>0.0230740440016596</v>
      </c>
      <c r="S123" s="13">
        <f t="shared" si="158"/>
        <v>0.0339348317932075</v>
      </c>
      <c r="T123" s="13">
        <f t="shared" si="159"/>
        <v>0.0243729575293751</v>
      </c>
      <c r="U123" s="13">
        <f t="shared" si="160"/>
        <v>0.0356617440870213</v>
      </c>
      <c r="V123" s="13">
        <f t="shared" si="161"/>
        <v>0.0406476818866715</v>
      </c>
      <c r="W123" s="13">
        <f t="shared" si="162"/>
        <v>0.0491780772391765</v>
      </c>
      <c r="X123" s="13">
        <f t="shared" si="163"/>
        <v>0.0307548877020929</v>
      </c>
      <c r="Y123" s="13">
        <f t="shared" si="164"/>
        <v>0.0372303521185144</v>
      </c>
      <c r="Z123" s="13">
        <f t="shared" si="165"/>
        <v>0.0266966940663827</v>
      </c>
      <c r="AA123" s="13">
        <f t="shared" si="166"/>
        <v>0</v>
      </c>
      <c r="AB123" s="13">
        <f t="shared" si="167"/>
        <v>0.116967847350787</v>
      </c>
      <c r="AC123" s="13">
        <f t="shared" si="168"/>
        <v>0.083408755727833</v>
      </c>
      <c r="AD123" s="13">
        <f t="shared" si="169"/>
        <v>0.0463109658099074</v>
      </c>
      <c r="AE123" s="13">
        <f t="shared" si="175"/>
        <v>0.0201338336601615</v>
      </c>
      <c r="AF123" s="13">
        <f t="shared" si="171"/>
        <v>0.0552570090173651</v>
      </c>
      <c r="AG123" s="13">
        <f t="shared" si="172"/>
        <v>0.0389983337990776</v>
      </c>
      <c r="AH123" s="13">
        <f t="shared" si="173"/>
        <v>0.0337807314607058</v>
      </c>
      <c r="AI123" s="13">
        <f t="shared" si="176"/>
        <v>0.0311303500517727</v>
      </c>
      <c r="AJ123" s="13">
        <f t="shared" si="174"/>
        <v>0.0131031087076237</v>
      </c>
    </row>
    <row r="124" s="13" customFormat="1" ht="14.25" customHeight="1" spans="5:36">
      <c r="E124" s="14" t="s">
        <v>22</v>
      </c>
      <c r="F124" s="13">
        <f t="shared" si="142"/>
        <v>0.0218207604379587</v>
      </c>
      <c r="G124" s="13">
        <f t="shared" si="146"/>
        <v>0.0214594735266631</v>
      </c>
      <c r="H124" s="13">
        <f t="shared" si="147"/>
        <v>0.0259156953022489</v>
      </c>
      <c r="I124" s="13">
        <f t="shared" si="148"/>
        <v>0.0298071575207775</v>
      </c>
      <c r="J124" s="13">
        <f t="shared" si="149"/>
        <v>0.0251823437007551</v>
      </c>
      <c r="K124" s="13">
        <f t="shared" si="150"/>
        <v>0.0155164335865552</v>
      </c>
      <c r="L124" s="13">
        <f t="shared" si="151"/>
        <v>0.0138597937905086</v>
      </c>
      <c r="M124" s="13">
        <f t="shared" si="152"/>
        <v>0.0128260488881603</v>
      </c>
      <c r="N124" s="13">
        <f t="shared" si="153"/>
        <v>0.0199114633303039</v>
      </c>
      <c r="O124" s="13">
        <f t="shared" si="154"/>
        <v>0.0237481605293388</v>
      </c>
      <c r="P124" s="13">
        <f t="shared" si="155"/>
        <v>0.0212989942822319</v>
      </c>
      <c r="Q124" s="13">
        <f t="shared" si="156"/>
        <v>0.0261046373458248</v>
      </c>
      <c r="R124" s="13">
        <f t="shared" si="157"/>
        <v>0.0210592956300579</v>
      </c>
      <c r="S124" s="13">
        <f t="shared" si="158"/>
        <v>0.0288831370570108</v>
      </c>
      <c r="T124" s="13">
        <f t="shared" si="159"/>
        <v>0.023890921870168</v>
      </c>
      <c r="U124" s="13">
        <f t="shared" si="160"/>
        <v>0.0332536940598465</v>
      </c>
      <c r="V124" s="13">
        <f t="shared" si="161"/>
        <v>0.0337874299712953</v>
      </c>
      <c r="W124" s="13">
        <f t="shared" si="162"/>
        <v>0.0378581996866719</v>
      </c>
      <c r="X124" s="13">
        <f t="shared" si="163"/>
        <v>0.0270101501194607</v>
      </c>
      <c r="Y124" s="13">
        <f t="shared" si="164"/>
        <v>0.0337510746046207</v>
      </c>
      <c r="Z124" s="13">
        <f t="shared" si="165"/>
        <v>0.0250686096790624</v>
      </c>
      <c r="AA124" s="13">
        <f t="shared" si="166"/>
        <v>0.127697252828623</v>
      </c>
      <c r="AB124" s="13">
        <f t="shared" si="167"/>
        <v>0</v>
      </c>
      <c r="AC124" s="13">
        <f t="shared" si="168"/>
        <v>0.0647499085548353</v>
      </c>
      <c r="AD124" s="13">
        <f t="shared" si="169"/>
        <v>0.0532041544017366</v>
      </c>
      <c r="AE124" s="13">
        <f t="shared" si="175"/>
        <v>0.026228792349572</v>
      </c>
      <c r="AF124" s="13">
        <f t="shared" si="171"/>
        <v>0.054943281832351</v>
      </c>
      <c r="AG124" s="13">
        <f t="shared" si="172"/>
        <v>0.0521782250983303</v>
      </c>
      <c r="AH124" s="13">
        <f t="shared" si="173"/>
        <v>0.0464886740402464</v>
      </c>
      <c r="AI124" s="13">
        <f t="shared" si="176"/>
        <v>0.0366168676884134</v>
      </c>
      <c r="AJ124" s="13">
        <f t="shared" si="174"/>
        <v>0.0158793682863713</v>
      </c>
    </row>
    <row r="125" s="13" customFormat="1" ht="14.25" customHeight="1" spans="5:36">
      <c r="E125" s="14" t="s">
        <v>23</v>
      </c>
      <c r="F125" s="13">
        <f t="shared" si="142"/>
        <v>0.0193884846732667</v>
      </c>
      <c r="G125" s="13">
        <f t="shared" si="146"/>
        <v>0.0194123277785673</v>
      </c>
      <c r="H125" s="13">
        <f t="shared" si="147"/>
        <v>0.0224345248072155</v>
      </c>
      <c r="I125" s="13">
        <f t="shared" si="148"/>
        <v>0.0245815952262488</v>
      </c>
      <c r="J125" s="13">
        <f t="shared" si="149"/>
        <v>0.0204595771996118</v>
      </c>
      <c r="K125" s="13">
        <f t="shared" si="150"/>
        <v>0.0146843751465399</v>
      </c>
      <c r="L125" s="13">
        <f t="shared" si="151"/>
        <v>0.0131211447732624</v>
      </c>
      <c r="M125" s="13">
        <f t="shared" si="152"/>
        <v>0.0121161232236295</v>
      </c>
      <c r="N125" s="13">
        <f t="shared" si="153"/>
        <v>0.0217118455308428</v>
      </c>
      <c r="O125" s="13">
        <f t="shared" si="154"/>
        <v>0.0252383788448018</v>
      </c>
      <c r="P125" s="13">
        <f t="shared" si="155"/>
        <v>0.0238557956731458</v>
      </c>
      <c r="Q125" s="13">
        <f t="shared" si="156"/>
        <v>0.0280837065809422</v>
      </c>
      <c r="R125" s="13">
        <f t="shared" si="157"/>
        <v>0.0263138407297466</v>
      </c>
      <c r="S125" s="13">
        <f t="shared" si="158"/>
        <v>0.0360335593700629</v>
      </c>
      <c r="T125" s="13">
        <f t="shared" si="159"/>
        <v>0.0223244796667292</v>
      </c>
      <c r="U125" s="13">
        <f t="shared" si="160"/>
        <v>0.0298458716683506</v>
      </c>
      <c r="V125" s="13">
        <f t="shared" si="161"/>
        <v>0.0381151343732035</v>
      </c>
      <c r="W125" s="13">
        <f t="shared" si="162"/>
        <v>0.0522679569633472</v>
      </c>
      <c r="X125" s="13">
        <f t="shared" si="163"/>
        <v>0.0435118466428422</v>
      </c>
      <c r="Y125" s="13">
        <f t="shared" si="164"/>
        <v>0.0718626655955746</v>
      </c>
      <c r="Z125" s="13">
        <f t="shared" si="165"/>
        <v>0.0417264044813685</v>
      </c>
      <c r="AA125" s="13">
        <f t="shared" si="166"/>
        <v>0.0929282931497192</v>
      </c>
      <c r="AB125" s="13">
        <f t="shared" si="167"/>
        <v>0.066078537189023</v>
      </c>
      <c r="AC125" s="13">
        <f t="shared" si="168"/>
        <v>0</v>
      </c>
      <c r="AD125" s="13">
        <f t="shared" si="169"/>
        <v>0.0785549792749321</v>
      </c>
      <c r="AE125" s="13">
        <f t="shared" si="175"/>
        <v>0.0217168222697927</v>
      </c>
      <c r="AF125" s="13">
        <f t="shared" si="171"/>
        <v>0.0374836613695702</v>
      </c>
      <c r="AG125" s="13">
        <f t="shared" si="172"/>
        <v>0.0301156782784752</v>
      </c>
      <c r="AH125" s="13">
        <f t="shared" si="173"/>
        <v>0.0276976851412945</v>
      </c>
      <c r="AI125" s="13">
        <f t="shared" si="176"/>
        <v>0.0252682768909181</v>
      </c>
      <c r="AJ125" s="13">
        <f t="shared" si="174"/>
        <v>0.0130664274869752</v>
      </c>
    </row>
    <row r="126" s="13" customFormat="1" ht="14.25" customHeight="1" spans="5:36">
      <c r="E126" s="14" t="s">
        <v>24</v>
      </c>
      <c r="F126" s="13">
        <f t="shared" si="142"/>
        <v>0.0206187075090027</v>
      </c>
      <c r="G126" s="13">
        <f t="shared" si="146"/>
        <v>0.0205116887422402</v>
      </c>
      <c r="H126" s="13">
        <f t="shared" si="147"/>
        <v>0.0233151668321484</v>
      </c>
      <c r="I126" s="13">
        <f t="shared" si="148"/>
        <v>0.0254090825266114</v>
      </c>
      <c r="J126" s="13">
        <f t="shared" si="149"/>
        <v>0.0223145930565004</v>
      </c>
      <c r="K126" s="13">
        <f t="shared" si="150"/>
        <v>0.0160764520062592</v>
      </c>
      <c r="L126" s="13">
        <f t="shared" si="151"/>
        <v>0.0146132962957361</v>
      </c>
      <c r="M126" s="13">
        <f t="shared" si="152"/>
        <v>0.0136607939949744</v>
      </c>
      <c r="N126" s="13">
        <f t="shared" si="153"/>
        <v>0.0216435188371429</v>
      </c>
      <c r="O126" s="13">
        <f t="shared" si="154"/>
        <v>0.0243920460868705</v>
      </c>
      <c r="P126" s="13">
        <f t="shared" si="155"/>
        <v>0.0232719693878187</v>
      </c>
      <c r="Q126" s="13">
        <f t="shared" si="156"/>
        <v>0.0264252739944729</v>
      </c>
      <c r="R126" s="13">
        <f t="shared" si="157"/>
        <v>0.0252951526112661</v>
      </c>
      <c r="S126" s="13">
        <f t="shared" si="158"/>
        <v>0.0314220632415797</v>
      </c>
      <c r="T126" s="13">
        <f t="shared" si="159"/>
        <v>0.0226978260674947</v>
      </c>
      <c r="U126" s="13">
        <f t="shared" si="160"/>
        <v>0.0286228744519075</v>
      </c>
      <c r="V126" s="13">
        <f t="shared" si="161"/>
        <v>0.0328244043957705</v>
      </c>
      <c r="W126" s="13">
        <f t="shared" si="162"/>
        <v>0.0399122222856946</v>
      </c>
      <c r="X126" s="13">
        <f t="shared" si="163"/>
        <v>0.038386718048851</v>
      </c>
      <c r="Y126" s="13">
        <f t="shared" si="164"/>
        <v>0.0652877524825093</v>
      </c>
      <c r="Z126" s="13">
        <f t="shared" si="165"/>
        <v>0.0437199760398743</v>
      </c>
      <c r="AA126" s="13">
        <f t="shared" si="166"/>
        <v>0.0656145565109489</v>
      </c>
      <c r="AB126" s="13">
        <f t="shared" si="167"/>
        <v>0.0690473233580157</v>
      </c>
      <c r="AC126" s="13">
        <f t="shared" si="168"/>
        <v>0.0998973022309954</v>
      </c>
      <c r="AD126" s="13">
        <f t="shared" si="169"/>
        <v>0</v>
      </c>
      <c r="AE126" s="13">
        <f t="shared" si="175"/>
        <v>0.034933323960372</v>
      </c>
      <c r="AF126" s="13">
        <f t="shared" ref="AF126:AJ132" si="177">AF92/BJ92</f>
        <v>0.0362276458579968</v>
      </c>
      <c r="AG126" s="13">
        <f t="shared" si="177"/>
        <v>0.0347013545521843</v>
      </c>
      <c r="AH126" s="13">
        <f t="shared" si="177"/>
        <v>0.0336976286244563</v>
      </c>
      <c r="AI126" s="13">
        <f t="shared" si="176"/>
        <v>0.0281602581862899</v>
      </c>
      <c r="AJ126" s="13">
        <f t="shared" si="177"/>
        <v>0.0172990278240152</v>
      </c>
    </row>
    <row r="127" s="13" customFormat="1" ht="14.25" customHeight="1" spans="5:36">
      <c r="E127" s="14" t="s">
        <v>25</v>
      </c>
      <c r="F127" s="13">
        <f t="shared" si="142"/>
        <v>0.0265648431207595</v>
      </c>
      <c r="G127" s="13">
        <f t="shared" ref="G127:AD127" si="178">G93/AL93</f>
        <v>0.0260074698349657</v>
      </c>
      <c r="H127" s="13">
        <f t="shared" si="178"/>
        <v>0.0289728930799287</v>
      </c>
      <c r="I127" s="13">
        <f t="shared" si="178"/>
        <v>0.0314027217854257</v>
      </c>
      <c r="J127" s="13">
        <f t="shared" si="178"/>
        <v>0.0306312974934102</v>
      </c>
      <c r="K127" s="13">
        <f t="shared" si="178"/>
        <v>0.0213147568826978</v>
      </c>
      <c r="L127" s="13">
        <f t="shared" si="178"/>
        <v>0.0199714646527651</v>
      </c>
      <c r="M127" s="13">
        <f t="shared" si="178"/>
        <v>0.0191237449352174</v>
      </c>
      <c r="N127" s="13">
        <f t="shared" si="178"/>
        <v>0.0234177243803138</v>
      </c>
      <c r="O127" s="13">
        <f t="shared" si="178"/>
        <v>0.0258453258511334</v>
      </c>
      <c r="P127" s="13">
        <f t="shared" si="178"/>
        <v>0.0242920246799741</v>
      </c>
      <c r="Q127" s="13">
        <f t="shared" si="178"/>
        <v>0.0270922965463087</v>
      </c>
      <c r="R127" s="13">
        <f t="shared" si="178"/>
        <v>0.024381377447353</v>
      </c>
      <c r="S127" s="13">
        <f t="shared" si="178"/>
        <v>0.0285207138194658</v>
      </c>
      <c r="T127" s="13">
        <f t="shared" si="178"/>
        <v>0.0268039092207099</v>
      </c>
      <c r="U127" s="13">
        <f t="shared" si="178"/>
        <v>0.0312169516753733</v>
      </c>
      <c r="V127" s="13">
        <f t="shared" si="178"/>
        <v>0.030515050117732</v>
      </c>
      <c r="W127" s="13">
        <f t="shared" si="178"/>
        <v>0.0323523899925045</v>
      </c>
      <c r="X127" s="13">
        <f t="shared" si="178"/>
        <v>0.0294456531987657</v>
      </c>
      <c r="Y127" s="13">
        <f t="shared" si="178"/>
        <v>0.0362395914985313</v>
      </c>
      <c r="Z127" s="13">
        <f t="shared" si="178"/>
        <v>0.0309849842971797</v>
      </c>
      <c r="AA127" s="13">
        <f t="shared" si="178"/>
        <v>0.045424216960324</v>
      </c>
      <c r="AB127" s="13">
        <f t="shared" si="178"/>
        <v>0.0542031106781414</v>
      </c>
      <c r="AC127" s="13">
        <f t="shared" si="178"/>
        <v>0.0439765274135614</v>
      </c>
      <c r="AD127" s="13">
        <f t="shared" si="178"/>
        <v>0.0556268573538329</v>
      </c>
      <c r="AE127" s="13">
        <f t="shared" si="175"/>
        <v>0</v>
      </c>
      <c r="AF127" s="13">
        <f t="shared" si="177"/>
        <v>0.0391811517159652</v>
      </c>
      <c r="AG127" s="13">
        <f t="shared" si="177"/>
        <v>0.0493892952166361</v>
      </c>
      <c r="AH127" s="13">
        <f t="shared" si="177"/>
        <v>0.0547220959625224</v>
      </c>
      <c r="AI127" s="13">
        <f t="shared" si="176"/>
        <v>0.039882634650086</v>
      </c>
      <c r="AJ127" s="13">
        <f t="shared" si="177"/>
        <v>0.0424969255384154</v>
      </c>
    </row>
    <row r="128" s="13" customFormat="1" ht="14.25" customHeight="1" spans="5:36">
      <c r="E128" s="14" t="s">
        <v>26</v>
      </c>
      <c r="F128" s="13">
        <f t="shared" ref="F128:F132" si="179">F94/AK94</f>
        <v>0.0316883983254687</v>
      </c>
      <c r="G128" s="13">
        <f t="shared" ref="G128:G132" si="180">G94/AL94</f>
        <v>0.0307702283220087</v>
      </c>
      <c r="H128" s="13">
        <f t="shared" ref="H128:H132" si="181">H94/AM94</f>
        <v>0.0429330610805598</v>
      </c>
      <c r="I128" s="13">
        <f t="shared" ref="I128:I132" si="182">I94/AN94</f>
        <v>0.0568892771577039</v>
      </c>
      <c r="J128" s="13">
        <f t="shared" ref="J128:J132" si="183">J94/AO94</f>
        <v>0.0385666085837339</v>
      </c>
      <c r="K128" s="13">
        <f t="shared" ref="K128:K132" si="184">K94/AP94</f>
        <v>0.0188931376561763</v>
      </c>
      <c r="L128" s="13">
        <f t="shared" ref="L128:L132" si="185">L94/AQ94</f>
        <v>0.0162236413683369</v>
      </c>
      <c r="M128" s="13">
        <f t="shared" ref="M128:M132" si="186">M94/AR94</f>
        <v>0.014646852091444</v>
      </c>
      <c r="N128" s="13">
        <f t="shared" ref="N128:N132" si="187">N94/AS94</f>
        <v>0.0232382096424084</v>
      </c>
      <c r="O128" s="13">
        <f t="shared" ref="O128:O132" si="188">O94/AT94</f>
        <v>0.030215486841526</v>
      </c>
      <c r="P128" s="13">
        <f t="shared" ref="P128:P132" si="189">P94/AU94</f>
        <v>0.0245105694790312</v>
      </c>
      <c r="Q128" s="13">
        <f t="shared" ref="Q128:Q132" si="190">Q94/AV94</f>
        <v>0.033594615877588</v>
      </c>
      <c r="R128" s="13">
        <f t="shared" ref="R128:R132" si="191">R94/AW94</f>
        <v>0.0211126129352181</v>
      </c>
      <c r="S128" s="13">
        <f t="shared" ref="S128:S132" si="192">S94/AX94</f>
        <v>0.0311566407622668</v>
      </c>
      <c r="T128" s="13">
        <f t="shared" ref="T128:T132" si="193">T94/AY94</f>
        <v>0.0357411192640972</v>
      </c>
      <c r="U128" s="13">
        <f t="shared" ref="U128:U132" si="194">U94/AZ94</f>
        <v>0.0646159676270314</v>
      </c>
      <c r="V128" s="13">
        <f t="shared" ref="V128:V132" si="195">V94/BA94</f>
        <v>0.0424888509827051</v>
      </c>
      <c r="W128" s="13">
        <f t="shared" ref="W128:W132" si="196">W94/BB94</f>
        <v>0.037140790623303</v>
      </c>
      <c r="X128" s="13">
        <f t="shared" ref="X128:X132" si="197">X94/BC94</f>
        <v>0.0219211811334018</v>
      </c>
      <c r="Y128" s="13">
        <f t="shared" ref="Y128:Y132" si="198">Y94/BD94</f>
        <v>0.0220979880180337</v>
      </c>
      <c r="Z128" s="13">
        <f t="shared" ref="Z128:Z132" si="199">Z94/BE94</f>
        <v>0.0181692154387841</v>
      </c>
      <c r="AA128" s="13">
        <f t="shared" ref="AA128:AA132" si="200">AA94/BF94</f>
        <v>0.0528131929876439</v>
      </c>
      <c r="AB128" s="13">
        <f t="shared" ref="AB128:AB132" si="201">AB94/BG94</f>
        <v>0.0481010538279442</v>
      </c>
      <c r="AC128" s="13">
        <f t="shared" ref="AC128:AC132" si="202">AC94/BH94</f>
        <v>0.0321559051819124</v>
      </c>
      <c r="AD128" s="13">
        <f t="shared" ref="AD128:AD132" si="203">AD94/BI94</f>
        <v>0.0244387396939446</v>
      </c>
      <c r="AE128" s="13">
        <f t="shared" si="175"/>
        <v>0.0165985929955452</v>
      </c>
      <c r="AF128" s="13">
        <f t="shared" si="177"/>
        <v>0</v>
      </c>
      <c r="AG128" s="13">
        <f t="shared" si="177"/>
        <v>0.0569037135713406</v>
      </c>
      <c r="AH128" s="13">
        <f t="shared" si="177"/>
        <v>0.0417243014670374</v>
      </c>
      <c r="AI128" s="13">
        <f t="shared" si="176"/>
        <v>0.056958669784164</v>
      </c>
      <c r="AJ128" s="13">
        <f t="shared" si="177"/>
        <v>0.0136913772796408</v>
      </c>
    </row>
    <row r="129" s="13" customFormat="1" ht="14.25" customHeight="1" spans="5:36">
      <c r="E129" s="14" t="s">
        <v>27</v>
      </c>
      <c r="F129" s="13">
        <f t="shared" si="179"/>
        <v>0.026394078573229</v>
      </c>
      <c r="G129" s="13">
        <f t="shared" si="180"/>
        <v>0.0251148987110691</v>
      </c>
      <c r="H129" s="13">
        <f t="shared" si="181"/>
        <v>0.0318018889787577</v>
      </c>
      <c r="I129" s="13">
        <f t="shared" si="182"/>
        <v>0.0389173517474945</v>
      </c>
      <c r="J129" s="13">
        <f t="shared" si="183"/>
        <v>0.0368480153830636</v>
      </c>
      <c r="K129" s="13">
        <f t="shared" si="184"/>
        <v>0.0172529282916935</v>
      </c>
      <c r="L129" s="13">
        <f t="shared" si="185"/>
        <v>0.0154356077552718</v>
      </c>
      <c r="M129" s="13">
        <f t="shared" si="186"/>
        <v>0.0143305645212244</v>
      </c>
      <c r="N129" s="13">
        <f t="shared" si="187"/>
        <v>0.0180375286001616</v>
      </c>
      <c r="O129" s="13">
        <f t="shared" si="188"/>
        <v>0.0215985738941029</v>
      </c>
      <c r="P129" s="13">
        <f t="shared" si="189"/>
        <v>0.0186469424011827</v>
      </c>
      <c r="Q129" s="13">
        <f t="shared" si="190"/>
        <v>0.0230127481047691</v>
      </c>
      <c r="R129" s="13">
        <f t="shared" si="191"/>
        <v>0.0168235668865817</v>
      </c>
      <c r="S129" s="13">
        <f t="shared" si="192"/>
        <v>0.0220918149434943</v>
      </c>
      <c r="T129" s="13">
        <f t="shared" si="193"/>
        <v>0.0258176772055574</v>
      </c>
      <c r="U129" s="13">
        <f t="shared" si="194"/>
        <v>0.0341490235810157</v>
      </c>
      <c r="V129" s="13">
        <f t="shared" si="195"/>
        <v>0.0265746152570445</v>
      </c>
      <c r="W129" s="13">
        <f t="shared" si="196"/>
        <v>0.025465450477865</v>
      </c>
      <c r="X129" s="13">
        <f t="shared" si="197"/>
        <v>0.0182273875242058</v>
      </c>
      <c r="Y129" s="13">
        <f t="shared" si="198"/>
        <v>0.0198434383048042</v>
      </c>
      <c r="Z129" s="13">
        <f t="shared" si="199"/>
        <v>0.0164644469566583</v>
      </c>
      <c r="AA129" s="13">
        <f t="shared" si="200"/>
        <v>0.0405146434400099</v>
      </c>
      <c r="AB129" s="13">
        <f t="shared" si="201"/>
        <v>0.0496523963991034</v>
      </c>
      <c r="AC129" s="13">
        <f t="shared" si="202"/>
        <v>0.0280816291744192</v>
      </c>
      <c r="AD129" s="13">
        <f t="shared" si="203"/>
        <v>0.0254446239646543</v>
      </c>
      <c r="AE129" s="13">
        <f t="shared" si="175"/>
        <v>0.0227424801599775</v>
      </c>
      <c r="AF129" s="13">
        <f t="shared" si="177"/>
        <v>0.0618516838154925</v>
      </c>
      <c r="AG129" s="13">
        <f t="shared" si="177"/>
        <v>0</v>
      </c>
      <c r="AH129" s="13">
        <f t="shared" si="177"/>
        <v>0.16792308002509</v>
      </c>
      <c r="AI129" s="13">
        <f t="shared" si="176"/>
        <v>0.0914651275114797</v>
      </c>
      <c r="AJ129" s="13">
        <f t="shared" si="177"/>
        <v>0.0194757874105267</v>
      </c>
    </row>
    <row r="130" s="13" customFormat="1" ht="14.25" customHeight="1" spans="5:36">
      <c r="E130" s="14" t="s">
        <v>28</v>
      </c>
      <c r="F130" s="13">
        <f t="shared" si="179"/>
        <v>0.0261116322360084</v>
      </c>
      <c r="G130" s="13">
        <f t="shared" si="180"/>
        <v>0.0248897330088822</v>
      </c>
      <c r="H130" s="13">
        <f t="shared" si="181"/>
        <v>0.0304352403622774</v>
      </c>
      <c r="I130" s="13">
        <f t="shared" si="182"/>
        <v>0.035976956706374</v>
      </c>
      <c r="J130" s="13">
        <f t="shared" si="183"/>
        <v>0.0357981586712265</v>
      </c>
      <c r="K130" s="13">
        <f t="shared" si="184"/>
        <v>0.0178376679148358</v>
      </c>
      <c r="L130" s="13">
        <f t="shared" si="185"/>
        <v>0.0161713139999684</v>
      </c>
      <c r="M130" s="13">
        <f t="shared" si="186"/>
        <v>0.015152416353949</v>
      </c>
      <c r="N130" s="13">
        <f t="shared" si="187"/>
        <v>0.0182368440333239</v>
      </c>
      <c r="O130" s="13">
        <f t="shared" si="188"/>
        <v>0.0214272647101679</v>
      </c>
      <c r="P130" s="13">
        <f t="shared" si="189"/>
        <v>0.0188001844495149</v>
      </c>
      <c r="Q130" s="13">
        <f t="shared" si="190"/>
        <v>0.0226715031224507</v>
      </c>
      <c r="R130" s="13">
        <f t="shared" si="191"/>
        <v>0.017207809071129</v>
      </c>
      <c r="S130" s="13">
        <f t="shared" si="192"/>
        <v>0.0220130439274805</v>
      </c>
      <c r="T130" s="13">
        <f t="shared" si="193"/>
        <v>0.0252009154499395</v>
      </c>
      <c r="U130" s="13">
        <f t="shared" si="194"/>
        <v>0.0317848815130785</v>
      </c>
      <c r="V130" s="13">
        <f t="shared" si="195"/>
        <v>0.0258254100015217</v>
      </c>
      <c r="W130" s="13">
        <f t="shared" si="196"/>
        <v>0.0251729782115853</v>
      </c>
      <c r="X130" s="13">
        <f t="shared" si="197"/>
        <v>0.0188491509560171</v>
      </c>
      <c r="Y130" s="13">
        <f t="shared" si="198"/>
        <v>0.0208735230372523</v>
      </c>
      <c r="Z130" s="13">
        <f t="shared" si="199"/>
        <v>0.0174208652762544</v>
      </c>
      <c r="AA130" s="13">
        <f t="shared" si="200"/>
        <v>0.0392928617606166</v>
      </c>
      <c r="AB130" s="13">
        <f t="shared" si="201"/>
        <v>0.0495309563459526</v>
      </c>
      <c r="AC130" s="13">
        <f t="shared" si="202"/>
        <v>0.0289169022768603</v>
      </c>
      <c r="AD130" s="13">
        <f t="shared" si="203"/>
        <v>0.0276648035934421</v>
      </c>
      <c r="AE130" s="13">
        <f t="shared" si="175"/>
        <v>0.0282128111123593</v>
      </c>
      <c r="AF130" s="13">
        <f t="shared" si="177"/>
        <v>0.0507783557936914</v>
      </c>
      <c r="AG130" s="13">
        <f t="shared" si="177"/>
        <v>0.18801349975793</v>
      </c>
      <c r="AH130" s="13">
        <f t="shared" si="177"/>
        <v>0</v>
      </c>
      <c r="AI130" s="13">
        <f t="shared" si="176"/>
        <v>0.0753632475647165</v>
      </c>
      <c r="AJ130" s="13">
        <f t="shared" si="177"/>
        <v>0.0243690687811934</v>
      </c>
    </row>
    <row r="131" s="13" customFormat="1" ht="14.25" customHeight="1" spans="5:36">
      <c r="E131" s="14" t="s">
        <v>29</v>
      </c>
      <c r="F131" s="13">
        <f t="shared" si="179"/>
        <v>0.0369661545774715</v>
      </c>
      <c r="G131" s="13">
        <f t="shared" si="180"/>
        <v>0.0341909663897807</v>
      </c>
      <c r="H131" s="13">
        <f t="shared" si="181"/>
        <v>0.0458456637628555</v>
      </c>
      <c r="I131" s="13">
        <f t="shared" si="182"/>
        <v>0.0596571853597084</v>
      </c>
      <c r="J131" s="13">
        <f t="shared" si="183"/>
        <v>0.0635558363583598</v>
      </c>
      <c r="K131" s="13">
        <f t="shared" si="184"/>
        <v>0.0217849598217257</v>
      </c>
      <c r="L131" s="13">
        <f t="shared" si="185"/>
        <v>0.0192214429115046</v>
      </c>
      <c r="M131" s="13">
        <f t="shared" si="186"/>
        <v>0.0176826157265509</v>
      </c>
      <c r="N131" s="13">
        <f t="shared" si="187"/>
        <v>0.0205188911356141</v>
      </c>
      <c r="O131" s="13">
        <f t="shared" si="188"/>
        <v>0.024841617020171</v>
      </c>
      <c r="P131" s="13">
        <f t="shared" si="189"/>
        <v>0.020871052828964</v>
      </c>
      <c r="Q131" s="13">
        <f t="shared" si="190"/>
        <v>0.0260753949413616</v>
      </c>
      <c r="R131" s="13">
        <f t="shared" si="191"/>
        <v>0.0178803430406809</v>
      </c>
      <c r="S131" s="13">
        <f t="shared" si="192"/>
        <v>0.0233170627651932</v>
      </c>
      <c r="T131" s="13">
        <f t="shared" si="193"/>
        <v>0.0333136182943706</v>
      </c>
      <c r="U131" s="13">
        <f t="shared" si="194"/>
        <v>0.0421800485315402</v>
      </c>
      <c r="V131" s="13">
        <f t="shared" si="195"/>
        <v>0.0284770338252901</v>
      </c>
      <c r="W131" s="13">
        <f t="shared" si="196"/>
        <v>0.0255764262406484</v>
      </c>
      <c r="X131" s="13">
        <f t="shared" si="197"/>
        <v>0.017991833684387</v>
      </c>
      <c r="Y131" s="13">
        <f t="shared" si="198"/>
        <v>0.0184833803901875</v>
      </c>
      <c r="Z131" s="13">
        <f t="shared" si="199"/>
        <v>0.0158008978475067</v>
      </c>
      <c r="AA131" s="13">
        <f t="shared" si="200"/>
        <v>0.0338049065917074</v>
      </c>
      <c r="AB131" s="13">
        <f t="shared" si="201"/>
        <v>0.0364218389599599</v>
      </c>
      <c r="AC131" s="13">
        <f t="shared" si="202"/>
        <v>0.0246283346107767</v>
      </c>
      <c r="AD131" s="13">
        <f t="shared" si="203"/>
        <v>0.0215832086311046</v>
      </c>
      <c r="AE131" s="13">
        <f t="shared" si="175"/>
        <v>0.0191963474910666</v>
      </c>
      <c r="AF131" s="13">
        <f t="shared" si="177"/>
        <v>0.064714339476358</v>
      </c>
      <c r="AG131" s="13">
        <f t="shared" si="177"/>
        <v>0.095606035856479</v>
      </c>
      <c r="AH131" s="13">
        <f t="shared" si="177"/>
        <v>0.0703575535312526</v>
      </c>
      <c r="AI131" s="13">
        <f t="shared" si="176"/>
        <v>0</v>
      </c>
      <c r="AJ131" s="13">
        <f t="shared" si="177"/>
        <v>0.0194550093974231</v>
      </c>
    </row>
    <row r="132" s="13" customFormat="1" ht="14.25" customHeight="1" spans="5:36">
      <c r="E132" s="14" t="s">
        <v>30</v>
      </c>
      <c r="F132" s="13">
        <f t="shared" si="179"/>
        <v>0.0335256766878345</v>
      </c>
      <c r="G132" s="13">
        <f t="shared" si="180"/>
        <v>0.0323099953776949</v>
      </c>
      <c r="H132" s="13">
        <f t="shared" si="181"/>
        <v>0.0348709843877208</v>
      </c>
      <c r="I132" s="13">
        <f t="shared" si="182"/>
        <v>0.037020793533933</v>
      </c>
      <c r="J132" s="13">
        <f t="shared" si="183"/>
        <v>0.0405833400804049</v>
      </c>
      <c r="K132" s="13">
        <f t="shared" si="184"/>
        <v>0.0278254092680483</v>
      </c>
      <c r="L132" s="13">
        <f t="shared" si="185"/>
        <v>0.0269471638124035</v>
      </c>
      <c r="M132" s="13">
        <f t="shared" si="186"/>
        <v>0.0265202785730982</v>
      </c>
      <c r="N132" s="13">
        <f t="shared" si="187"/>
        <v>0.0249316758868696</v>
      </c>
      <c r="O132" s="13">
        <f t="shared" si="188"/>
        <v>0.0272426578918118</v>
      </c>
      <c r="P132" s="13">
        <f t="shared" si="189"/>
        <v>0.0251620470328151</v>
      </c>
      <c r="Q132" s="13">
        <f t="shared" si="190"/>
        <v>0.0278752009562974</v>
      </c>
      <c r="R132" s="13">
        <f t="shared" si="191"/>
        <v>0.0235657080831381</v>
      </c>
      <c r="S132" s="13">
        <f t="shared" si="192"/>
        <v>0.0270162529106016</v>
      </c>
      <c r="T132" s="13">
        <f t="shared" si="193"/>
        <v>0.0309884337426291</v>
      </c>
      <c r="U132" s="13">
        <f t="shared" si="194"/>
        <v>0.0332658028349621</v>
      </c>
      <c r="V132" s="13">
        <f t="shared" si="195"/>
        <v>0.0293729184603088</v>
      </c>
      <c r="W132" s="13">
        <f t="shared" si="196"/>
        <v>0.0288597762883328</v>
      </c>
      <c r="X132" s="13">
        <f t="shared" si="197"/>
        <v>0.0249109021979177</v>
      </c>
      <c r="Y132" s="13">
        <f t="shared" si="198"/>
        <v>0.0270126515558427</v>
      </c>
      <c r="Z132" s="13">
        <f t="shared" si="199"/>
        <v>0.0242530971514933</v>
      </c>
      <c r="AA132" s="13">
        <f t="shared" si="200"/>
        <v>0.0355225724481182</v>
      </c>
      <c r="AB132" s="13">
        <f t="shared" si="201"/>
        <v>0.0394319476804659</v>
      </c>
      <c r="AC132" s="13">
        <f t="shared" si="202"/>
        <v>0.0317943982209014</v>
      </c>
      <c r="AD132" s="13">
        <f t="shared" si="203"/>
        <v>0.0331005646469412</v>
      </c>
      <c r="AE132" s="13">
        <f t="shared" si="175"/>
        <v>0.051065384144884</v>
      </c>
      <c r="AF132" s="13">
        <f t="shared" si="177"/>
        <v>0.0388348964238711</v>
      </c>
      <c r="AG132" s="13">
        <f t="shared" si="177"/>
        <v>0.0508228623591037</v>
      </c>
      <c r="AH132" s="13">
        <f t="shared" si="177"/>
        <v>0.0567968679389752</v>
      </c>
      <c r="AI132" s="13">
        <f t="shared" si="176"/>
        <v>0.0485697394225809</v>
      </c>
      <c r="AJ132" s="13">
        <f t="shared" si="177"/>
        <v>0</v>
      </c>
    </row>
    <row r="133" s="13" customFormat="1" ht="14.25" customHeight="1"/>
    <row r="134" s="13" customFormat="1" ht="14.25" customHeight="1"/>
    <row r="135" s="13" customFormat="1" ht="14.25" customHeight="1"/>
    <row r="136" s="13" customFormat="1" ht="14.25" customHeight="1"/>
    <row r="137" s="13" customFormat="1" ht="14.25" customHeight="1"/>
  </sheetData>
  <sheetProtection formatCells="0" insertHyperlinks="0" autoFilter="0"/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100"/>
  <sheetViews>
    <sheetView zoomScale="76" zoomScaleNormal="76" topLeftCell="A33" workbookViewId="0">
      <selection activeCell="H41" sqref="H41"/>
    </sheetView>
  </sheetViews>
  <sheetFormatPr defaultColWidth="8.875" defaultRowHeight="14"/>
  <cols>
    <col min="1" max="33" width="7.625" customWidth="1"/>
    <col min="34" max="63" width="8.875" style="13"/>
  </cols>
  <sheetData>
    <row r="1" spans="1:33">
      <c r="A1" s="16" t="s">
        <v>54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</row>
    <row r="2" spans="1:33">
      <c r="A2" s="13"/>
      <c r="B2" s="13" t="s">
        <v>55</v>
      </c>
      <c r="C2" s="13" t="s">
        <v>0</v>
      </c>
      <c r="D2" s="13" t="s">
        <v>1</v>
      </c>
      <c r="E2" s="13" t="s">
        <v>2</v>
      </c>
      <c r="F2" s="13" t="s">
        <v>3</v>
      </c>
      <c r="G2" s="13" t="s">
        <v>4</v>
      </c>
      <c r="H2" s="13" t="s">
        <v>5</v>
      </c>
      <c r="I2" s="13" t="s">
        <v>6</v>
      </c>
      <c r="J2" s="13" t="s">
        <v>7</v>
      </c>
      <c r="K2" s="13" t="s">
        <v>8</v>
      </c>
      <c r="L2" s="13" t="s">
        <v>9</v>
      </c>
      <c r="M2" s="13" t="s">
        <v>10</v>
      </c>
      <c r="N2" s="13" t="s">
        <v>11</v>
      </c>
      <c r="O2" s="13" t="s">
        <v>12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18</v>
      </c>
      <c r="V2" s="13" t="s">
        <v>19</v>
      </c>
      <c r="W2" s="13" t="s">
        <v>20</v>
      </c>
      <c r="X2" s="13" t="s">
        <v>21</v>
      </c>
      <c r="Y2" s="13" t="s">
        <v>22</v>
      </c>
      <c r="Z2" s="13" t="s">
        <v>23</v>
      </c>
      <c r="AA2" s="13" t="s">
        <v>24</v>
      </c>
      <c r="AB2" s="13" t="s">
        <v>25</v>
      </c>
      <c r="AC2" s="13" t="s">
        <v>26</v>
      </c>
      <c r="AD2" s="13" t="s">
        <v>27</v>
      </c>
      <c r="AE2" s="13" t="s">
        <v>28</v>
      </c>
      <c r="AF2" s="13" t="s">
        <v>29</v>
      </c>
      <c r="AG2" s="13" t="s">
        <v>30</v>
      </c>
    </row>
    <row r="3" spans="1:33">
      <c r="A3" s="13"/>
      <c r="B3" s="13" t="s">
        <v>0</v>
      </c>
      <c r="C3" s="13">
        <f>'空间地理距离矩阵（基于经纬度）'!F68</f>
        <v>0</v>
      </c>
      <c r="D3" s="13">
        <f>'空间地理距离矩阵（基于经纬度）'!G68</f>
        <v>0.0104087698218274</v>
      </c>
      <c r="E3" s="13">
        <f>'空间地理距离矩阵（基于经纬度）'!H68</f>
        <v>0.00417601694325798</v>
      </c>
      <c r="F3" s="13">
        <f>'空间地理距离矩阵（基于经纬度）'!I68</f>
        <v>0.00245510488655417</v>
      </c>
      <c r="G3" s="13">
        <f>'空间地理距离矩阵（基于经纬度）'!J68</f>
        <v>0.00235545184259351</v>
      </c>
      <c r="H3" s="13">
        <f>'空间地理距离矩阵（基于经纬度）'!K68</f>
        <v>0.00158546378094939</v>
      </c>
      <c r="I3" s="13">
        <f>'空间地理距离矩阵（基于经纬度）'!L68</f>
        <v>0.00115310784084709</v>
      </c>
      <c r="J3" s="13">
        <f>'空间地理距离矩阵（基于经纬度）'!M68</f>
        <v>0.000946202046908</v>
      </c>
      <c r="K3" s="13">
        <f>'空间地理距离矩阵（基于经纬度）'!N68</f>
        <v>0.000959695603664354</v>
      </c>
      <c r="L3" s="13">
        <f>'空间地理距离矩阵（基于经纬度）'!O68</f>
        <v>0.00116182918207118</v>
      </c>
      <c r="M3" s="13">
        <f>'空间地理距离矩阵（基于经纬度）'!P68</f>
        <v>0.000906738281396573</v>
      </c>
      <c r="N3" s="13">
        <f>'空间地理距离矩阵（基于经纬度）'!Q68</f>
        <v>0.00111377286230108</v>
      </c>
      <c r="O3" s="13">
        <f>'空间地理距离矩阵（基于经纬度）'!R68</f>
        <v>0.000654647152246351</v>
      </c>
      <c r="P3" s="13">
        <f>'空间地理距离矩阵（基于经纬度）'!S68</f>
        <v>0.000804605069605881</v>
      </c>
      <c r="Q3" s="13">
        <f>'空间地理距离矩阵（基于经纬度）'!T68</f>
        <v>0.00280158349283663</v>
      </c>
      <c r="R3" s="13">
        <f>'空间地理距离矩阵（基于经纬度）'!U68</f>
        <v>0.00161230682931544</v>
      </c>
      <c r="S3" s="13">
        <f>'空间地理距离矩阵（基于经纬度）'!V68</f>
        <v>0.000960311567318679</v>
      </c>
      <c r="T3" s="13">
        <f>'空间地理距离矩阵（基于经纬度）'!W68</f>
        <v>0.000759847313059146</v>
      </c>
      <c r="U3" s="13">
        <f>'空间地理距离矩阵（基于经纬度）'!X68</f>
        <v>0.000538601697867884</v>
      </c>
      <c r="V3" s="13">
        <f>'空间地理距离矩阵（基于经纬度）'!Y68</f>
        <v>0.000488452171000528</v>
      </c>
      <c r="W3" s="13">
        <f>'空间地理距离矩阵（基于经纬度）'!Z68</f>
        <v>0.00044453002387482</v>
      </c>
      <c r="X3" s="13">
        <f>'空间地理距离矩阵（基于经纬度）'!AA68</f>
        <v>0.000704561141841193</v>
      </c>
      <c r="Y3" s="13">
        <f>'空间地理距离矩阵（基于经纬度）'!AB68</f>
        <v>0.000664034374340759</v>
      </c>
      <c r="Z3" s="13">
        <f>'空间地理距离矩阵（基于经纬度）'!AC68</f>
        <v>0.000578153670361845</v>
      </c>
      <c r="AA3" s="13">
        <f>'空间地理距离矩阵（基于经纬度）'!AD68</f>
        <v>0.000483482562888557</v>
      </c>
      <c r="AB3" s="13">
        <f>'空间地理距离矩阵（基于经纬度）'!AE68</f>
        <v>0.000391184843361474</v>
      </c>
      <c r="AC3" s="13">
        <f>'空间地理距离矩阵（基于经纬度）'!AF68</f>
        <v>0.00110149105409593</v>
      </c>
      <c r="AD3" s="13">
        <f>'空间地理距离矩阵（基于经纬度）'!AG68</f>
        <v>0.000844065741156431</v>
      </c>
      <c r="AE3" s="13">
        <f>'空间地理距离矩阵（基于经纬度）'!AH68</f>
        <v>0.000745804752497066</v>
      </c>
      <c r="AF3" s="13">
        <f>'空间地理距离矩阵（基于经纬度）'!AI68</f>
        <v>0.00113095226947689</v>
      </c>
      <c r="AG3" s="13">
        <f>'空间地理距离矩阵（基于经纬度）'!AJ68</f>
        <v>0.000410849937379194</v>
      </c>
    </row>
    <row r="4" spans="1:33">
      <c r="A4" s="13"/>
      <c r="B4" s="13" t="s">
        <v>1</v>
      </c>
      <c r="C4" s="13">
        <f>'空间地理距离矩阵（基于经纬度）'!F69</f>
        <v>0.0104087698218274</v>
      </c>
      <c r="D4" s="13">
        <f>'空间地理距离矩阵（基于经纬度）'!G69</f>
        <v>0</v>
      </c>
      <c r="E4" s="13">
        <f>'空间地理距离矩阵（基于经纬度）'!H69</f>
        <v>0.00370859015386698</v>
      </c>
      <c r="F4" s="13">
        <f>'空间地理距离矩阵（基于经纬度）'!I69</f>
        <v>0.00222340490357266</v>
      </c>
      <c r="G4" s="13">
        <f>'空间地理距离矩阵（基于经纬度）'!J69</f>
        <v>0.00194209777090979</v>
      </c>
      <c r="H4" s="13">
        <f>'空间地理距离矩阵（基于经纬度）'!K69</f>
        <v>0.00170001747784307</v>
      </c>
      <c r="I4" s="13">
        <f>'空间地理距离矩阵（基于经纬度）'!L69</f>
        <v>0.00118858953043798</v>
      </c>
      <c r="J4" s="13">
        <f>'空间地理距离矩阵（基于经纬度）'!M69</f>
        <v>0.000958631274206762</v>
      </c>
      <c r="K4" s="13">
        <f>'空间地理距离矩阵（基于经纬度）'!N69</f>
        <v>0.00104643690274235</v>
      </c>
      <c r="L4" s="13">
        <f>'空间地理距离矩阵（基于经纬度）'!O69</f>
        <v>0.00126981691378045</v>
      </c>
      <c r="M4" s="13">
        <f>'空间地理距离矩阵（基于经纬度）'!P69</f>
        <v>0.000977295539411416</v>
      </c>
      <c r="N4" s="13">
        <f>'空间地理距离矩阵（基于经纬度）'!Q69</f>
        <v>0.00119772420340902</v>
      </c>
      <c r="O4" s="13">
        <f>'空间地理距离矩阵（基于经纬度）'!R69</f>
        <v>0.000686534097366346</v>
      </c>
      <c r="P4" s="13">
        <f>'空间地理距离矩阵（基于经纬度）'!S69</f>
        <v>0.000839580433748991</v>
      </c>
      <c r="Q4" s="13">
        <f>'空间地理距离矩阵（基于经纬度）'!T69</f>
        <v>0.00342640294521824</v>
      </c>
      <c r="R4" s="13">
        <f>'空间地理距离矩阵（基于经纬度）'!U69</f>
        <v>0.00164926507309471</v>
      </c>
      <c r="S4" s="13">
        <f>'空间地理距离矩阵（基于经纬度）'!V69</f>
        <v>0.000997961678596385</v>
      </c>
      <c r="T4" s="13">
        <f>'空间地理距离矩阵（基于经纬度）'!W69</f>
        <v>0.00077906452452169</v>
      </c>
      <c r="U4" s="13">
        <f>'空间地理距离矩阵（基于经纬度）'!X69</f>
        <v>0.000551251940343169</v>
      </c>
      <c r="V4" s="13">
        <f>'空间地理距离矩阵（基于经纬度）'!Y69</f>
        <v>0.00049331361141516</v>
      </c>
      <c r="W4" s="13">
        <f>'空间地理距离矩阵（基于经纬度）'!Z69</f>
        <v>0.000451077671989057</v>
      </c>
      <c r="X4" s="13">
        <f>'空间地理距离矩阵（基于经纬度）'!AA69</f>
        <v>0.000699707171114382</v>
      </c>
      <c r="Y4" s="13">
        <f>'空间地理距离矩阵（基于经纬度）'!AB69</f>
        <v>0.000653039939532596</v>
      </c>
      <c r="Z4" s="13">
        <f>'空间地理距离矩阵（基于经纬度）'!AC69</f>
        <v>0.000578864658305187</v>
      </c>
      <c r="AA4" s="13">
        <f>'空间地理距离矩阵（基于经纬度）'!AD69</f>
        <v>0.000480973108423049</v>
      </c>
      <c r="AB4" s="13">
        <f>'空间地理距离矩阵（基于经纬度）'!AE69</f>
        <v>0.000382977153953863</v>
      </c>
      <c r="AC4" s="13">
        <f>'空间地理距离矩阵（基于经纬度）'!AF69</f>
        <v>0.00106957539731319</v>
      </c>
      <c r="AD4" s="13">
        <f>'空间地理距离矩阵（基于经纬度）'!AG69</f>
        <v>0.000803158387810841</v>
      </c>
      <c r="AE4" s="13">
        <f>'空间地理距离矩阵（基于经纬度）'!AH69</f>
        <v>0.000710904664964182</v>
      </c>
      <c r="AF4" s="13">
        <f>'空间地理距离矩阵（基于经纬度）'!AI69</f>
        <v>0.00104604743111951</v>
      </c>
      <c r="AG4" s="13">
        <f>'空间地理距离矩阵（基于经纬度）'!AJ69</f>
        <v>0.000395952025107518</v>
      </c>
    </row>
    <row r="5" spans="1:33">
      <c r="A5" s="13"/>
      <c r="B5" s="13" t="s">
        <v>2</v>
      </c>
      <c r="C5" s="13">
        <f>'空间地理距离矩阵（基于经纬度）'!F70</f>
        <v>0.00417601694325798</v>
      </c>
      <c r="D5" s="13">
        <f>'空间地理距离矩阵（基于经纬度）'!G70</f>
        <v>0.00370859015386698</v>
      </c>
      <c r="E5" s="13">
        <f>'空间地理距离矩阵（基于经纬度）'!H70</f>
        <v>0</v>
      </c>
      <c r="F5" s="13">
        <f>'空间地理距离矩阵（基于经纬度）'!I70</f>
        <v>0.00551346618195346</v>
      </c>
      <c r="G5" s="13">
        <f>'空间地理距离矩阵（基于经纬度）'!J70</f>
        <v>0.00270144621054315</v>
      </c>
      <c r="H5" s="13">
        <f>'空间地理距离矩阵（基于经纬度）'!K70</f>
        <v>0.00116714425109749</v>
      </c>
      <c r="I5" s="13">
        <f>'空间地理距离矩阵（基于经纬度）'!L70</f>
        <v>0.000906446666138174</v>
      </c>
      <c r="J5" s="13">
        <f>'空间地理距离矩阵（基于经纬度）'!M70</f>
        <v>0.000771584694812132</v>
      </c>
      <c r="K5" s="13">
        <f>'空间地理距离矩阵（基于经纬度）'!N70</f>
        <v>0.00100217346806207</v>
      </c>
      <c r="L5" s="13">
        <f>'空间地理距离矩阵（基于经纬度）'!O70</f>
        <v>0.00130398491346273</v>
      </c>
      <c r="M5" s="13">
        <f>'空间地理距离矩阵（基于经纬度）'!P70</f>
        <v>0.000975732828297431</v>
      </c>
      <c r="N5" s="13">
        <f>'空间地理距离矩阵（基于经纬度）'!Q70</f>
        <v>0.0012993971315024</v>
      </c>
      <c r="O5" s="13">
        <f>'空间地理距离矩阵（基于经纬度）'!R70</f>
        <v>0.00070960567970721</v>
      </c>
      <c r="P5" s="13">
        <f>'空间地理距离矩阵（基于经纬度）'!S70</f>
        <v>0.000928349921297168</v>
      </c>
      <c r="Q5" s="13">
        <f>'空间地理距离矩阵（基于经纬度）'!T70</f>
        <v>0.00333686301031355</v>
      </c>
      <c r="R5" s="13">
        <f>'空间地理距离矩阵（基于经纬度）'!U70</f>
        <v>0.00247250008629411</v>
      </c>
      <c r="S5" s="13">
        <f>'空间地理距离矩阵（基于经纬度）'!V70</f>
        <v>0.00117108010793427</v>
      </c>
      <c r="T5" s="13">
        <f>'空间地理距离矩阵（基于经纬度）'!W70</f>
        <v>0.000898073919407798</v>
      </c>
      <c r="U5" s="13">
        <f>'空间地理距离矩阵（基于经纬度）'!X70</f>
        <v>0.000599951908367369</v>
      </c>
      <c r="V5" s="13">
        <f>'空间地理距离矩阵（基于经纬度）'!Y70</f>
        <v>0.000547710970374872</v>
      </c>
      <c r="W5" s="13">
        <f>'空间地理距离矩阵（基于经纬度）'!Z70</f>
        <v>0.000489594174521794</v>
      </c>
      <c r="X5" s="13">
        <f>'空间地理距离矩阵（基于经纬度）'!AA70</f>
        <v>0.000847132530301743</v>
      </c>
      <c r="Y5" s="13">
        <f>'空间地理距离矩阵（基于经纬度）'!AB70</f>
        <v>0.000788648615824519</v>
      </c>
      <c r="Z5" s="13">
        <f>'空间地理距离矩阵（基于经纬度）'!AC70</f>
        <v>0.000668984868012902</v>
      </c>
      <c r="AA5" s="13">
        <f>'空间地理距离矩阵（基于经纬度）'!AD70</f>
        <v>0.000546711117040654</v>
      </c>
      <c r="AB5" s="13">
        <f>'空间地理距离矩阵（基于经纬度）'!AE70</f>
        <v>0.000426644967925435</v>
      </c>
      <c r="AC5" s="13">
        <f>'空间地理距离矩阵（基于经纬度）'!AF70</f>
        <v>0.00149235635766363</v>
      </c>
      <c r="AD5" s="13">
        <f>'空间地理距离矩阵（基于经纬度）'!AG70</f>
        <v>0.00101700405704846</v>
      </c>
      <c r="AE5" s="13">
        <f>'空间地理距离矩阵（基于经纬度）'!AH70</f>
        <v>0.000869296361882544</v>
      </c>
      <c r="AF5" s="13">
        <f>'空间地理距离矩阵（基于经纬度）'!AI70</f>
        <v>0.0014026143122248</v>
      </c>
      <c r="AG5" s="13">
        <f>'空间地理距离矩阵（基于经纬度）'!AJ70</f>
        <v>0.000427336393100894</v>
      </c>
    </row>
    <row r="6" spans="1:33">
      <c r="A6" s="13"/>
      <c r="B6" s="13" t="s">
        <v>3</v>
      </c>
      <c r="C6" s="13">
        <f>'空间地理距离矩阵（基于经纬度）'!F71</f>
        <v>0.00245510488655417</v>
      </c>
      <c r="D6" s="13">
        <f>'空间地理距离矩阵（基于经纬度）'!G71</f>
        <v>0.00222340490357266</v>
      </c>
      <c r="E6" s="13">
        <f>'空间地理距离矩阵（基于经纬度）'!H71</f>
        <v>0.00551346618195346</v>
      </c>
      <c r="F6" s="13">
        <f>'空间地理距离矩阵（基于经纬度）'!I71</f>
        <v>0</v>
      </c>
      <c r="G6" s="13">
        <f>'空间地理距离矩阵（基于经纬度）'!J71</f>
        <v>0.00296901079039025</v>
      </c>
      <c r="H6" s="13">
        <f>'空间地理距离矩阵（基于经纬度）'!K71</f>
        <v>0.000966810878086966</v>
      </c>
      <c r="I6" s="13">
        <f>'空间地理距离矩阵（基于经纬度）'!L71</f>
        <v>0.000784666844755618</v>
      </c>
      <c r="J6" s="13">
        <f>'空间地理距离矩阵（基于经纬度）'!M71</f>
        <v>0.000684892658120936</v>
      </c>
      <c r="K6" s="13">
        <f>'空间地理距离矩阵（基于经纬度）'!N71</f>
        <v>0.000919117508774374</v>
      </c>
      <c r="L6" s="13">
        <f>'空间地理距离矩阵（基于经纬度）'!O71</f>
        <v>0.00120416860932966</v>
      </c>
      <c r="M6" s="13">
        <f>'空间地理距离矩阵（基于经纬度）'!P71</f>
        <v>0.000917068787168603</v>
      </c>
      <c r="N6" s="13">
        <f>'空间地理距离矩阵（基于经纬度）'!Q71</f>
        <v>0.00124452149549199</v>
      </c>
      <c r="O6" s="13">
        <f>'空间地理距离矩阵（基于经纬度）'!R71</f>
        <v>0.000697935334566897</v>
      </c>
      <c r="P6" s="13">
        <f>'空间地理距离矩阵（基于经纬度）'!S71</f>
        <v>0.000942708516545909</v>
      </c>
      <c r="Q6" s="13">
        <f>'空间地理距离矩阵（基于经纬度）'!T71</f>
        <v>0.00230284486059762</v>
      </c>
      <c r="R6" s="13">
        <f>'空间地理距离矩阵（基于经纬度）'!U71</f>
        <v>0.00280785569702553</v>
      </c>
      <c r="S6" s="13">
        <f>'空间地理距离矩阵（基于经纬度）'!V71</f>
        <v>0.00122222785864019</v>
      </c>
      <c r="T6" s="13">
        <f>'空间地理距离矩阵（基于经纬度）'!W71</f>
        <v>0.000953361079529478</v>
      </c>
      <c r="U6" s="13">
        <f>'空间地理距离矩阵（基于经纬度）'!X71</f>
        <v>0.000620518072223437</v>
      </c>
      <c r="V6" s="13">
        <f>'空间地理距离矩阵（基于经纬度）'!Y71</f>
        <v>0.000580452306534261</v>
      </c>
      <c r="W6" s="13">
        <f>'空间地理距离矩阵（基于经纬度）'!Z71</f>
        <v>0.000509888370117665</v>
      </c>
      <c r="X6" s="13">
        <f>'空间地理距离矩阵（基于经纬度）'!AA71</f>
        <v>0.000966501289030378</v>
      </c>
      <c r="Y6" s="13">
        <f>'空间地理距离矩阵（基于经纬度）'!AB71</f>
        <v>0.000907070917691517</v>
      </c>
      <c r="Z6" s="13">
        <f>'空间地理距离矩阵（基于经纬度）'!AC71</f>
        <v>0.000733009296131364</v>
      </c>
      <c r="AA6" s="13">
        <f>'空间地理距离矩阵（基于经纬度）'!AD71</f>
        <v>0.000595810786648438</v>
      </c>
      <c r="AB6" s="13">
        <f>'空间地理距离矩阵（基于经纬度）'!AE71</f>
        <v>0.000462425798899447</v>
      </c>
      <c r="AC6" s="13">
        <f>'空间地理距离矩阵（基于经纬度）'!AF71</f>
        <v>0.00197747545393706</v>
      </c>
      <c r="AD6" s="13">
        <f>'空间地理距离矩阵（基于经纬度）'!AG71</f>
        <v>0.00124455200265685</v>
      </c>
      <c r="AE6" s="13">
        <f>'空间地理距离矩阵（基于经纬度）'!AH71</f>
        <v>0.0010275797793672</v>
      </c>
      <c r="AF6" s="13">
        <f>'空间地理距离矩阵（基于经纬度）'!AI71</f>
        <v>0.00182516764170769</v>
      </c>
      <c r="AG6" s="13">
        <f>'空间地理距离矩阵（基于经纬度）'!AJ71</f>
        <v>0.00045368184054175</v>
      </c>
    </row>
    <row r="7" spans="1:33">
      <c r="A7" s="13"/>
      <c r="B7" s="13" t="s">
        <v>4</v>
      </c>
      <c r="C7" s="13">
        <f>'空间地理距离矩阵（基于经纬度）'!F72</f>
        <v>0.00235545184259351</v>
      </c>
      <c r="D7" s="13">
        <f>'空间地理距离矩阵（基于经纬度）'!G72</f>
        <v>0.00194209777090979</v>
      </c>
      <c r="E7" s="13">
        <f>'空间地理距离矩阵（基于经纬度）'!H72</f>
        <v>0.00270144621054315</v>
      </c>
      <c r="F7" s="13">
        <f>'空间地理距离矩阵（基于经纬度）'!I72</f>
        <v>0.00296901079039025</v>
      </c>
      <c r="G7" s="13">
        <f>'空间地理距离矩阵（基于经纬度）'!J72</f>
        <v>0</v>
      </c>
      <c r="H7" s="13">
        <f>'空间地理距离矩阵（基于经纬度）'!K72</f>
        <v>0.000999555855356573</v>
      </c>
      <c r="I7" s="13">
        <f>'空间地理距离矩阵（基于经纬度）'!L72</f>
        <v>0.000841759198434762</v>
      </c>
      <c r="J7" s="13">
        <f>'空间地理距离矩阵（基于经纬度）'!M72</f>
        <v>0.000749321803452823</v>
      </c>
      <c r="K7" s="13">
        <f>'空间地理距离矩阵（基于经纬度）'!N72</f>
        <v>0.000730999406474492</v>
      </c>
      <c r="L7" s="13">
        <f>'空间地理距离矩阵（基于经纬度）'!O72</f>
        <v>0.000882752756658566</v>
      </c>
      <c r="M7" s="13">
        <f>'空间地理距离矩阵（基于经纬度）'!P72</f>
        <v>0.000718291841967191</v>
      </c>
      <c r="N7" s="13">
        <f>'空间地理距离矩阵（基于经纬度）'!Q72</f>
        <v>0.000889997927517873</v>
      </c>
      <c r="O7" s="13">
        <f>'空间地理距离矩阵（基于经纬度）'!R72</f>
        <v>0.000568251197070537</v>
      </c>
      <c r="P7" s="13">
        <f>'空间地理距离矩阵（基于经纬度）'!S72</f>
        <v>0.00071583745090431</v>
      </c>
      <c r="Q7" s="13">
        <f>'空间地理距离矩阵（基于经纬度）'!T72</f>
        <v>0.00150161212871198</v>
      </c>
      <c r="R7" s="13">
        <f>'空间地理距离矩阵（基于经纬度）'!U72</f>
        <v>0.00144347482429209</v>
      </c>
      <c r="S7" s="13">
        <f>'空间地理距离矩阵（基于经纬度）'!V72</f>
        <v>0.000865828576375934</v>
      </c>
      <c r="T7" s="13">
        <f>'空间地理距离矩阵（基于经纬度）'!W72</f>
        <v>0.000724556197593699</v>
      </c>
      <c r="U7" s="13">
        <f>'空间地理距离矩阵（基于经纬度）'!X72</f>
        <v>0.000514464253369292</v>
      </c>
      <c r="V7" s="13">
        <f>'空间地理距离矩阵（基于经纬度）'!Y72</f>
        <v>0.000493449841501777</v>
      </c>
      <c r="W7" s="13">
        <f>'空间地理距离矩阵（基于经纬度）'!Z72</f>
        <v>0.000438495456940638</v>
      </c>
      <c r="X7" s="13">
        <f>'空间地理距离矩阵（基于经纬度）'!AA72</f>
        <v>0.000774946806395952</v>
      </c>
      <c r="Y7" s="13">
        <f>'空间地理距离矩阵（基于经纬度）'!AB72</f>
        <v>0.000766331764253086</v>
      </c>
      <c r="Z7" s="13">
        <f>'空间地理距离矩阵（基于经纬度）'!AC72</f>
        <v>0.000610093044987516</v>
      </c>
      <c r="AA7" s="13">
        <f>'空间地理距离矩阵（基于经纬度）'!AD72</f>
        <v>0.000523248929937114</v>
      </c>
      <c r="AB7" s="13">
        <f>'空间地理距离矩阵（基于经纬度）'!AE72</f>
        <v>0.000451066067186916</v>
      </c>
      <c r="AC7" s="13">
        <f>'空间地理距离矩阵（基于经纬度）'!AF72</f>
        <v>0.0013405781480492</v>
      </c>
      <c r="AD7" s="13">
        <f>'空间地理距离矩阵（基于经纬度）'!AG72</f>
        <v>0.00117837595005099</v>
      </c>
      <c r="AE7" s="13">
        <f>'空间地理距离矩阵（基于经纬度）'!AH72</f>
        <v>0.0010224729203572</v>
      </c>
      <c r="AF7" s="13">
        <f>'空间地理距离矩阵（基于经纬度）'!AI72</f>
        <v>0.00194444399720696</v>
      </c>
      <c r="AG7" s="13">
        <f>'空间地理距离矩阵（基于经纬度）'!AJ72</f>
        <v>0.000497340080139926</v>
      </c>
    </row>
    <row r="8" spans="1:33">
      <c r="A8" s="13"/>
      <c r="B8" s="13" t="s">
        <v>5</v>
      </c>
      <c r="C8" s="13">
        <f>'空间地理距离矩阵（基于经纬度）'!F73</f>
        <v>0.00158546378094939</v>
      </c>
      <c r="D8" s="13">
        <f>'空间地理距离矩阵（基于经纬度）'!G73</f>
        <v>0.00170001747784307</v>
      </c>
      <c r="E8" s="13">
        <f>'空间地理距离矩阵（基于经纬度）'!H73</f>
        <v>0.00116714425109749</v>
      </c>
      <c r="F8" s="13">
        <f>'空间地理距离矩阵（基于经纬度）'!I73</f>
        <v>0.000966810878086966</v>
      </c>
      <c r="G8" s="13">
        <f>'空间地理距离矩阵（基于经纬度）'!J73</f>
        <v>0.000999555855356573</v>
      </c>
      <c r="H8" s="13">
        <f>'空间地理距离矩阵（基于经纬度）'!K73</f>
        <v>0</v>
      </c>
      <c r="I8" s="13">
        <f>'空间地理距离矩阵（基于经纬度）'!L73</f>
        <v>0.0035823830312037</v>
      </c>
      <c r="J8" s="13">
        <f>'空间地理距离矩阵（基于经纬度）'!M73</f>
        <v>0.00197111733819745</v>
      </c>
      <c r="K8" s="13">
        <f>'空间地理距离矩阵（基于经纬度）'!N73</f>
        <v>0.000858877293186818</v>
      </c>
      <c r="L8" s="13">
        <f>'空间地理距离矩阵（基于经纬度）'!O73</f>
        <v>0.000881122947888207</v>
      </c>
      <c r="M8" s="13">
        <f>'空间地理距离矩阵（基于经纬度）'!P73</f>
        <v>0.000774254492031277</v>
      </c>
      <c r="N8" s="13">
        <f>'空间地理距离矩阵（基于经纬度）'!Q73</f>
        <v>0.000810233963497878</v>
      </c>
      <c r="O8" s="13">
        <f>'空间地理距离矩阵（基于经纬度）'!R73</f>
        <v>0.000568857450707213</v>
      </c>
      <c r="P8" s="13">
        <f>'空间地理距离矩阵（基于经纬度）'!S73</f>
        <v>0.000619180923411284</v>
      </c>
      <c r="Q8" s="13">
        <f>'空间地理距离矩阵（基于经纬度）'!T73</f>
        <v>0.00127830440211482</v>
      </c>
      <c r="R8" s="13">
        <f>'空间地理距离矩阵（基于经纬度）'!U73</f>
        <v>0.000859212004506892</v>
      </c>
      <c r="S8" s="13">
        <f>'空间地理距离矩阵（基于经纬度）'!V73</f>
        <v>0.000674299855617864</v>
      </c>
      <c r="T8" s="13">
        <f>'空间地理距离矩阵（基于经纬度）'!W73</f>
        <v>0.000563440010616988</v>
      </c>
      <c r="U8" s="13">
        <f>'空间地理距离矩阵（基于经纬度）'!X73</f>
        <v>0.000443545884188354</v>
      </c>
      <c r="V8" s="13">
        <f>'空间地理距离矩阵（基于经纬度）'!Y73</f>
        <v>0.000393685991652593</v>
      </c>
      <c r="W8" s="13">
        <f>'空间地理距离矩阵（基于经纬度）'!Z73</f>
        <v>0.000372003932172213</v>
      </c>
      <c r="X8" s="13">
        <f>'空间地理距离矩阵（基于经纬度）'!AA73</f>
        <v>0.000498946096622651</v>
      </c>
      <c r="Y8" s="13">
        <f>'空间地理距离矩阵（基于经纬度）'!AB73</f>
        <v>0.000472185435422523</v>
      </c>
      <c r="Z8" s="13">
        <f>'空间地理距离矩阵（基于经纬度）'!AC73</f>
        <v>0.000437879779209783</v>
      </c>
      <c r="AA8" s="13">
        <f>'空间地理距离矩阵（基于经纬度）'!AD73</f>
        <v>0.000376972427333154</v>
      </c>
      <c r="AB8" s="13">
        <f>'空间地理距离矩阵（基于经纬度）'!AE73</f>
        <v>0.000313873859316345</v>
      </c>
      <c r="AC8" s="13">
        <f>'空间地理距离矩阵（基于经纬度）'!AF73</f>
        <v>0.00065672685310053</v>
      </c>
      <c r="AD8" s="13">
        <f>'空间地理距离矩阵（基于经纬度）'!AG73</f>
        <v>0.00055173760528309</v>
      </c>
      <c r="AE8" s="13">
        <f>'空间地理距离矩阵（基于经纬度）'!AH73</f>
        <v>0.000509482417035704</v>
      </c>
      <c r="AF8" s="13">
        <f>'空间地理距离矩阵（基于经纬度）'!AI73</f>
        <v>0.000666494798619347</v>
      </c>
      <c r="AG8" s="13">
        <f>'空间地理距离矩阵（基于经纬度）'!AJ73</f>
        <v>0.000340994389517465</v>
      </c>
    </row>
    <row r="9" spans="1:33">
      <c r="A9" s="13"/>
      <c r="B9" s="13" t="s">
        <v>6</v>
      </c>
      <c r="C9" s="13">
        <f>'空间地理距离矩阵（基于经纬度）'!F74</f>
        <v>0.00115310784084709</v>
      </c>
      <c r="D9" s="13">
        <f>'空间地理距离矩阵（基于经纬度）'!G74</f>
        <v>0.00118858953043798</v>
      </c>
      <c r="E9" s="13">
        <f>'空间地理距离矩阵（基于经纬度）'!H74</f>
        <v>0.000906446666138174</v>
      </c>
      <c r="F9" s="13">
        <f>'空间地理距离矩阵（基于经纬度）'!I74</f>
        <v>0.000784666844755618</v>
      </c>
      <c r="G9" s="13">
        <f>'空间地理距离矩阵（基于经纬度）'!J74</f>
        <v>0.000841759198434762</v>
      </c>
      <c r="H9" s="13">
        <f>'空间地理距离矩阵（基于经纬度）'!K74</f>
        <v>0.0035823830312037</v>
      </c>
      <c r="I9" s="13">
        <f>'空间地理距离矩阵（基于经纬度）'!L74</f>
        <v>0</v>
      </c>
      <c r="J9" s="13">
        <f>'空间地理距离矩阵（基于经纬度）'!M74</f>
        <v>0.00432881121485707</v>
      </c>
      <c r="K9" s="13">
        <f>'空间地理距离矩阵（基于经纬度）'!N74</f>
        <v>0.000703026702044659</v>
      </c>
      <c r="L9" s="13">
        <f>'空间地理距离矩阵（基于经纬度）'!O74</f>
        <v>0.00070908769792703</v>
      </c>
      <c r="M9" s="13">
        <f>'空间地理距离矩阵（基于经纬度）'!P74</f>
        <v>0.000642619969332224</v>
      </c>
      <c r="N9" s="13">
        <f>'空间地理距离矩阵（基于经纬度）'!Q74</f>
        <v>0.000661351116852153</v>
      </c>
      <c r="O9" s="13">
        <f>'空间地理距离矩阵（基于经纬度）'!R74</f>
        <v>0.000494662259916599</v>
      </c>
      <c r="P9" s="13">
        <f>'空间地理距离矩阵（基于经纬度）'!S74</f>
        <v>0.000528304283812475</v>
      </c>
      <c r="Q9" s="13">
        <f>'空间地理距离矩阵（基于经纬度）'!T74</f>
        <v>0.000945901508559868</v>
      </c>
      <c r="R9" s="13">
        <f>'空间地理距离矩阵（基于经纬度）'!U74</f>
        <v>0.000697727760064905</v>
      </c>
      <c r="S9" s="13">
        <f>'空间地理距离矩阵（基于经纬度）'!V74</f>
        <v>0.000567535795208285</v>
      </c>
      <c r="T9" s="13">
        <f>'空间地理距离矩阵（基于经纬度）'!W74</f>
        <v>0.000486912475278812</v>
      </c>
      <c r="U9" s="13">
        <f>'空间地理距离矩阵（基于经纬度）'!X74</f>
        <v>0.000394915218980554</v>
      </c>
      <c r="V9" s="13">
        <f>'空间地理距离矩阵（基于经纬度）'!Y74</f>
        <v>0.000354788404607795</v>
      </c>
      <c r="W9" s="13">
        <f>'空间地理距离矩阵（基于经纬度）'!Z74</f>
        <v>0.000337044612406381</v>
      </c>
      <c r="X9" s="13">
        <f>'空间地理距离矩阵（基于经纬度）'!AA74</f>
        <v>0.00044078838376935</v>
      </c>
      <c r="Y9" s="13">
        <f>'空间地理距离矩阵（基于经纬度）'!AB74</f>
        <v>0.000421771712509267</v>
      </c>
      <c r="Z9" s="13">
        <f>'空间地理距离矩阵（基于经纬度）'!AC74</f>
        <v>0.000391265131744443</v>
      </c>
      <c r="AA9" s="13">
        <f>'空间地理距离矩阵（基于经纬度）'!AD74</f>
        <v>0.000342663280044466</v>
      </c>
      <c r="AB9" s="13">
        <f>'空间地理距离矩阵（基于经纬度）'!AE74</f>
        <v>0.000294092994879609</v>
      </c>
      <c r="AC9" s="13">
        <f>'空间地理距离矩阵（基于经纬度）'!AF74</f>
        <v>0.000563934965994195</v>
      </c>
      <c r="AD9" s="13">
        <f>'空间地理距离矩阵（基于经纬度）'!AG74</f>
        <v>0.000493620857572507</v>
      </c>
      <c r="AE9" s="13">
        <f>'空间地理距离矩阵（基于经纬度）'!AH74</f>
        <v>0.000461887741305844</v>
      </c>
      <c r="AF9" s="13">
        <f>'空间地理距离矩阵（基于经纬度）'!AI74</f>
        <v>0.000588065887075927</v>
      </c>
      <c r="AG9" s="13">
        <f>'空间地理距离矩阵（基于经纬度）'!AJ74</f>
        <v>0.000330231680868361</v>
      </c>
    </row>
    <row r="10" spans="1:33">
      <c r="A10" s="13"/>
      <c r="B10" s="13" t="s">
        <v>7</v>
      </c>
      <c r="C10" s="13">
        <f>'空间地理距离矩阵（基于经纬度）'!F75</f>
        <v>0.000946202046908</v>
      </c>
      <c r="D10" s="13">
        <f>'空间地理距离矩阵（基于经纬度）'!G75</f>
        <v>0.000958631274206762</v>
      </c>
      <c r="E10" s="13">
        <f>'空间地理距离矩阵（基于经纬度）'!H75</f>
        <v>0.000771584694812132</v>
      </c>
      <c r="F10" s="13">
        <f>'空间地理距离矩阵（基于经纬度）'!I75</f>
        <v>0.000684892658120936</v>
      </c>
      <c r="G10" s="13">
        <f>'空间地理距离矩阵（基于经纬度）'!J75</f>
        <v>0.000749321803452823</v>
      </c>
      <c r="H10" s="13">
        <f>'空间地理距离矩阵（基于经纬度）'!K75</f>
        <v>0.00197111733819745</v>
      </c>
      <c r="I10" s="13">
        <f>'空间地理距离矩阵（基于经纬度）'!L75</f>
        <v>0.00432881121485707</v>
      </c>
      <c r="J10" s="13">
        <f>'空间地理距离矩阵（基于经纬度）'!M75</f>
        <v>0</v>
      </c>
      <c r="K10" s="13">
        <f>'空间地理距离矩阵（基于经纬度）'!N75</f>
        <v>0.000605521672623845</v>
      </c>
      <c r="L10" s="13">
        <f>'空间地理距离矩阵（基于经纬度）'!O75</f>
        <v>0.000609431444700907</v>
      </c>
      <c r="M10" s="13">
        <f>'空间地理距离矩阵（基于经纬度）'!P75</f>
        <v>0.000559774161621504</v>
      </c>
      <c r="N10" s="13">
        <f>'空间地理距离矩阵（基于经纬度）'!Q75</f>
        <v>0.000574212170192008</v>
      </c>
      <c r="O10" s="13">
        <f>'空间地理距离矩阵（基于经纬度）'!R75</f>
        <v>0.000444138940758738</v>
      </c>
      <c r="P10" s="13">
        <f>'空间地理距离矩阵（基于经纬度）'!S75</f>
        <v>0.000471177000113821</v>
      </c>
      <c r="Q10" s="13">
        <f>'空间地理距离矩阵（基于经纬度）'!T75</f>
        <v>0.000783783843908534</v>
      </c>
      <c r="R10" s="13">
        <f>'空间地理距离矩阵（基于经纬度）'!U75</f>
        <v>0.000608194283836672</v>
      </c>
      <c r="S10" s="13">
        <f>'空间地理距离矩阵（基于经纬度）'!V75</f>
        <v>0.000503271494617752</v>
      </c>
      <c r="T10" s="13">
        <f>'空间地理距离矩阵（基于经纬度）'!W75</f>
        <v>0.00043889535049067</v>
      </c>
      <c r="U10" s="13">
        <f>'空间地理距离矩阵（基于经纬度）'!X75</f>
        <v>0.000362077189966978</v>
      </c>
      <c r="V10" s="13">
        <f>'空间地理距离矩阵（基于经纬度）'!Y75</f>
        <v>0.000328795859279337</v>
      </c>
      <c r="W10" s="13">
        <f>'空间地理距离矩阵（基于经纬度）'!Z75</f>
        <v>0.000312986953850803</v>
      </c>
      <c r="X10" s="13">
        <f>'空间地理距离矩阵（基于经纬度）'!AA75</f>
        <v>0.000404548179752562</v>
      </c>
      <c r="Y10" s="13">
        <f>'空间地理距离矩阵（基于经纬度）'!AB75</f>
        <v>0.000390313498602812</v>
      </c>
      <c r="Z10" s="13">
        <f>'空间地理距离矩阵（基于经纬度）'!AC75</f>
        <v>0.000361295956354776</v>
      </c>
      <c r="AA10" s="13">
        <f>'空间地理距离矩阵（基于经纬度）'!AD75</f>
        <v>0.000320328308110439</v>
      </c>
      <c r="AB10" s="13">
        <f>'空间地理距离矩阵（基于经纬度）'!AE75</f>
        <v>0.000281609762683737</v>
      </c>
      <c r="AC10" s="13">
        <f>'空间地理距离矩阵（基于经纬度）'!AF75</f>
        <v>0.000509125654874927</v>
      </c>
      <c r="AD10" s="13">
        <f>'空间地理距离矩阵（基于经纬度）'!AG75</f>
        <v>0.000458282282150437</v>
      </c>
      <c r="AE10" s="13">
        <f>'空间地理距离矩阵（基于经纬度）'!AH75</f>
        <v>0.000432785818460077</v>
      </c>
      <c r="AF10" s="13">
        <f>'空间地理距离矩阵（基于经纬度）'!AI75</f>
        <v>0.000540986602875327</v>
      </c>
      <c r="AG10" s="13">
        <f>'空间地理距离矩阵（基于经纬度）'!AJ75</f>
        <v>0.000325000294326347</v>
      </c>
    </row>
    <row r="11" spans="1:33">
      <c r="A11" s="13"/>
      <c r="B11" s="13" t="s">
        <v>8</v>
      </c>
      <c r="C11" s="13">
        <f>'空间地理距离矩阵（基于经纬度）'!F76</f>
        <v>0.000959695603664354</v>
      </c>
      <c r="D11" s="13">
        <f>'空间地理距离矩阵（基于经纬度）'!G76</f>
        <v>0.00104643690274235</v>
      </c>
      <c r="E11" s="13">
        <f>'空间地理距离矩阵（基于经纬度）'!H76</f>
        <v>0.00100217346806207</v>
      </c>
      <c r="F11" s="13">
        <f>'空间地理距离矩阵（基于经纬度）'!I76</f>
        <v>0.000919117508774374</v>
      </c>
      <c r="G11" s="13">
        <f>'空间地理距离矩阵（基于经纬度）'!J76</f>
        <v>0.000730999406474492</v>
      </c>
      <c r="H11" s="13">
        <f>'空间地理距离矩阵（基于经纬度）'!K76</f>
        <v>0.000858877293186818</v>
      </c>
      <c r="I11" s="13">
        <f>'空间地理距离矩阵（基于经纬度）'!L76</f>
        <v>0.000703026702044659</v>
      </c>
      <c r="J11" s="13">
        <f>'空间地理距离矩阵（基于经纬度）'!M76</f>
        <v>0.000605521672623845</v>
      </c>
      <c r="K11" s="13">
        <f>'空间地理距离矩阵（基于经纬度）'!N76</f>
        <v>0</v>
      </c>
      <c r="L11" s="13">
        <f>'空间地理距离矩阵（基于经纬度）'!O76</f>
        <v>0.00349576212415832</v>
      </c>
      <c r="M11" s="13">
        <f>'空间地理距离矩阵（基于经纬度）'!P76</f>
        <v>0.00633867249273671</v>
      </c>
      <c r="N11" s="13">
        <f>'空间地理距离矩阵（基于经纬度）'!Q76</f>
        <v>0.00253795577555331</v>
      </c>
      <c r="O11" s="13">
        <f>'空间地理距离矩阵（基于经纬度）'!R76</f>
        <v>0.00165853314064105</v>
      </c>
      <c r="P11" s="13">
        <f>'空间地理距离矩阵（基于经纬度）'!S76</f>
        <v>0.00158016254503403</v>
      </c>
      <c r="Q11" s="13">
        <f>'空间地理距离矩阵（基于经纬度）'!T76</f>
        <v>0.00141395593112766</v>
      </c>
      <c r="R11" s="13">
        <f>'空间地理距离矩阵（基于经纬度）'!U76</f>
        <v>0.00121173130603973</v>
      </c>
      <c r="S11" s="13">
        <f>'空间地理距离矩阵（基于经纬度）'!V76</f>
        <v>0.00145617291493382</v>
      </c>
      <c r="T11" s="13">
        <f>'空间地理距离矩阵（基于经纬度）'!W76</f>
        <v>0.00110359546479855</v>
      </c>
      <c r="U11" s="13">
        <f>'空间地理距离矩阵（基于经纬度）'!X76</f>
        <v>0.000829001715056999</v>
      </c>
      <c r="V11" s="13">
        <f>'空间地理距离矩阵（基于经纬度）'!Y76</f>
        <v>0.00061825466174652</v>
      </c>
      <c r="W11" s="13">
        <f>'空间地理距离矩阵（基于经纬度）'!Z76</f>
        <v>0.000601382435057246</v>
      </c>
      <c r="X11" s="13">
        <f>'空间地理距离矩阵（基于经纬度）'!AA76</f>
        <v>0.000701202856125156</v>
      </c>
      <c r="Y11" s="13">
        <f>'空间地理距离矩阵（基于经纬度）'!AB76</f>
        <v>0.000605931957886626</v>
      </c>
      <c r="Z11" s="13">
        <f>'空间地理距离矩阵（基于经纬度）'!AC76</f>
        <v>0.000647434979861748</v>
      </c>
      <c r="AA11" s="13">
        <f>'空间地理距离矩阵（基于经纬度）'!AD76</f>
        <v>0.000507513089884011</v>
      </c>
      <c r="AB11" s="13">
        <f>'空间地理距离矩阵（基于经纬度）'!AE76</f>
        <v>0.000344841443329906</v>
      </c>
      <c r="AC11" s="13">
        <f>'空间地理距离矩阵（基于经纬度）'!AF76</f>
        <v>0.000807761874595789</v>
      </c>
      <c r="AD11" s="13">
        <f>'空间地理距离矩阵（基于经纬度）'!AG76</f>
        <v>0.000576828621021383</v>
      </c>
      <c r="AE11" s="13">
        <f>'空间地理距离矩阵（基于经纬度）'!AH76</f>
        <v>0.000520883751259508</v>
      </c>
      <c r="AF11" s="13">
        <f>'空间地理距离矩阵（基于经纬度）'!AI76</f>
        <v>0.000627760359772842</v>
      </c>
      <c r="AG11" s="13">
        <f>'空间地理距离矩阵（基于经纬度）'!AJ76</f>
        <v>0.000305532311018071</v>
      </c>
    </row>
    <row r="12" spans="1:33">
      <c r="A12" s="13"/>
      <c r="B12" s="13" t="s">
        <v>9</v>
      </c>
      <c r="C12" s="13">
        <f>'空间地理距离矩阵（基于经纬度）'!F77</f>
        <v>0.00116182918207118</v>
      </c>
      <c r="D12" s="13">
        <f>'空间地理距离矩阵（基于经纬度）'!G77</f>
        <v>0.00126981691378045</v>
      </c>
      <c r="E12" s="13">
        <f>'空间地理距离矩阵（基于经纬度）'!H77</f>
        <v>0.00130398491346273</v>
      </c>
      <c r="F12" s="13">
        <f>'空间地理距离矩阵（基于经纬度）'!I77</f>
        <v>0.00120416860932966</v>
      </c>
      <c r="G12" s="13">
        <f>'空间地理距离矩阵（基于经纬度）'!J77</f>
        <v>0.000882752756658566</v>
      </c>
      <c r="H12" s="13">
        <f>'空间地理距离矩阵（基于经纬度）'!K77</f>
        <v>0.000881122947888207</v>
      </c>
      <c r="I12" s="13">
        <f>'空间地理距离矩阵（基于经纬度）'!L77</f>
        <v>0.00070908769792703</v>
      </c>
      <c r="J12" s="13">
        <f>'空间地理距离矩阵（基于经纬度）'!M77</f>
        <v>0.000609431444700907</v>
      </c>
      <c r="K12" s="13">
        <f>'空间地理距离矩阵（基于经纬度）'!N77</f>
        <v>0.00349576212415832</v>
      </c>
      <c r="L12" s="13">
        <f>'空间地理距离矩阵（基于经纬度）'!O77</f>
        <v>0</v>
      </c>
      <c r="M12" s="13">
        <f>'空间地理距离矩阵（基于经纬度）'!P77</f>
        <v>0.00384133654209569</v>
      </c>
      <c r="N12" s="13">
        <f>'空间地理距离矩阵（基于经纬度）'!Q77</f>
        <v>0.00742750146646787</v>
      </c>
      <c r="O12" s="13">
        <f>'空间地理距离矩阵（基于经纬度）'!R77</f>
        <v>0.00149394492131943</v>
      </c>
      <c r="P12" s="13">
        <f>'空间地理距离矩阵（基于经纬度）'!S77</f>
        <v>0.00203448337887864</v>
      </c>
      <c r="Q12" s="13">
        <f>'空间地理距离矩阵（基于经纬度）'!T77</f>
        <v>0.00198147607354535</v>
      </c>
      <c r="R12" s="13">
        <f>'空间地理距离矩阵（基于经纬度）'!U77</f>
        <v>0.00184120129176968</v>
      </c>
      <c r="S12" s="13">
        <f>'空间地理距离矩阵（基于经纬度）'!V77</f>
        <v>0.00222590117913998</v>
      </c>
      <c r="T12" s="13">
        <f>'空间地理距离矩阵（基于经纬度）'!W77</f>
        <v>0.00140179254132891</v>
      </c>
      <c r="U12" s="13">
        <f>'空间地理距离矩阵（基于经纬度）'!X77</f>
        <v>0.000888313505507278</v>
      </c>
      <c r="V12" s="13">
        <f>'空间地理距离矩阵（基于经纬度）'!Y77</f>
        <v>0.000680688527920785</v>
      </c>
      <c r="W12" s="13">
        <f>'空间地理距离矩阵（基于经纬度）'!Z77</f>
        <v>0.000636844111700274</v>
      </c>
      <c r="X12" s="13">
        <f>'空间地理距离矩阵（基于经纬度）'!AA77</f>
        <v>0.000854049184476893</v>
      </c>
      <c r="Y12" s="13">
        <f>'空间地理距离矩阵（基于经纬度）'!AB77</f>
        <v>0.000722687688345227</v>
      </c>
      <c r="Z12" s="13">
        <f>'空间地理距离矩阵（基于经纬度）'!AC77</f>
        <v>0.000752594212956945</v>
      </c>
      <c r="AA12" s="13">
        <f>'空间地理距离矩阵（基于经纬度）'!AD77</f>
        <v>0.000571962570933543</v>
      </c>
      <c r="AB12" s="13">
        <f>'空间地理距离矩阵（基于经纬度）'!AE77</f>
        <v>0.000380589476803687</v>
      </c>
      <c r="AC12" s="13">
        <f>'空间地理距离矩阵（基于经纬度）'!AF77</f>
        <v>0.00105029254269202</v>
      </c>
      <c r="AD12" s="13">
        <f>'空间地理距离矩阵（基于经纬度）'!AG77</f>
        <v>0.000690708570532895</v>
      </c>
      <c r="AE12" s="13">
        <f>'空间地理距离矩阵（基于经纬度）'!AH77</f>
        <v>0.000612009073558352</v>
      </c>
      <c r="AF12" s="13">
        <f>'空间地理距离矩阵（基于经纬度）'!AI77</f>
        <v>0.000760010974026496</v>
      </c>
      <c r="AG12" s="13">
        <f>'空间地理距离矩阵（基于经纬度）'!AJ77</f>
        <v>0.000333852897082765</v>
      </c>
    </row>
    <row r="13" spans="1:33">
      <c r="A13" s="13"/>
      <c r="B13" s="13" t="s">
        <v>10</v>
      </c>
      <c r="C13" s="13">
        <f>'空间地理距离矩阵（基于经纬度）'!F78</f>
        <v>0.000906738281396573</v>
      </c>
      <c r="D13" s="13">
        <f>'空间地理距离矩阵（基于经纬度）'!G78</f>
        <v>0.000977295539411416</v>
      </c>
      <c r="E13" s="13">
        <f>'空间地理距离矩阵（基于经纬度）'!H78</f>
        <v>0.000975732828297431</v>
      </c>
      <c r="F13" s="13">
        <f>'空间地理距离矩阵（基于经纬度）'!I78</f>
        <v>0.000917068787168603</v>
      </c>
      <c r="G13" s="13">
        <f>'空间地理距离矩阵（基于经纬度）'!J78</f>
        <v>0.000718291841967191</v>
      </c>
      <c r="H13" s="13">
        <f>'空间地理距离矩阵（基于经纬度）'!K78</f>
        <v>0.000774254492031277</v>
      </c>
      <c r="I13" s="13">
        <f>'空间地理距离矩阵（基于经纬度）'!L78</f>
        <v>0.000642619969332224</v>
      </c>
      <c r="J13" s="13">
        <f>'空间地理距离矩阵（基于经纬度）'!M78</f>
        <v>0.000559774161621504</v>
      </c>
      <c r="K13" s="13">
        <f>'空间地理距离矩阵（基于经纬度）'!N78</f>
        <v>0.00633867249273671</v>
      </c>
      <c r="L13" s="13">
        <f>'空间地理距离矩阵（基于经纬度）'!O78</f>
        <v>0.00384133654209569</v>
      </c>
      <c r="M13" s="13">
        <f>'空间地理距离矩阵（基于经纬度）'!P78</f>
        <v>0</v>
      </c>
      <c r="N13" s="13">
        <f>'空间地理距离矩阵（基于经纬度）'!Q78</f>
        <v>0.00314135560631562</v>
      </c>
      <c r="O13" s="13">
        <f>'空间地理距离矩阵（基于经纬度）'!R78</f>
        <v>0.00214429365609271</v>
      </c>
      <c r="P13" s="13">
        <f>'空间地理距离矩阵（基于经纬度）'!S78</f>
        <v>0.00206938388152159</v>
      </c>
      <c r="Q13" s="13">
        <f>'空间地理距离矩阵（基于经纬度）'!T78</f>
        <v>0.00132971939404746</v>
      </c>
      <c r="R13" s="13">
        <f>'空间地理距离矩阵（基于经纬度）'!U78</f>
        <v>0.00126394473012585</v>
      </c>
      <c r="S13" s="13">
        <f>'空间地理距离矩阵（基于经纬度）'!V78</f>
        <v>0.00175271732691078</v>
      </c>
      <c r="T13" s="13">
        <f>'空间地理距离矩阵（基于经纬度）'!W78</f>
        <v>0.0013080214168811</v>
      </c>
      <c r="U13" s="13">
        <f>'空间地理距离矩阵（基于经纬度）'!X78</f>
        <v>0.000953562180784253</v>
      </c>
      <c r="V13" s="13">
        <f>'空间地理距离矩阵（基于经纬度）'!Y78</f>
        <v>0.000683825326185278</v>
      </c>
      <c r="W13" s="13">
        <f>'空间地理距离矩阵（基于经纬度）'!Z78</f>
        <v>0.000664370788324898</v>
      </c>
      <c r="X13" s="13">
        <f>'空间地理距离矩阵（基于经纬度）'!AA78</f>
        <v>0.000763544503262815</v>
      </c>
      <c r="Y13" s="13">
        <f>'空间地理距离矩阵（基于经纬度）'!AB78</f>
        <v>0.000648156345536249</v>
      </c>
      <c r="Z13" s="13">
        <f>'空间地理距离矩阵（基于经纬度）'!AC78</f>
        <v>0.000711366363089151</v>
      </c>
      <c r="AA13" s="13">
        <f>'空间地理距离矩阵（基于经纬度）'!AD78</f>
        <v>0.000545698191711284</v>
      </c>
      <c r="AB13" s="13">
        <f>'空间地理距离矩阵（基于经纬度）'!AE78</f>
        <v>0.000357716092136178</v>
      </c>
      <c r="AC13" s="13">
        <f>'空间地理距离矩阵（基于经纬度）'!AF78</f>
        <v>0.000851989196003336</v>
      </c>
      <c r="AD13" s="13">
        <f>'空间地理距离矩阵（基于经纬度）'!AG78</f>
        <v>0.00059631728436694</v>
      </c>
      <c r="AE13" s="13">
        <f>'空间地理距离矩阵（基于经纬度）'!AH78</f>
        <v>0.000536973973267519</v>
      </c>
      <c r="AF13" s="13">
        <f>'空间地理距离矩阵（基于经纬度）'!AI78</f>
        <v>0.000638534487373326</v>
      </c>
      <c r="AG13" s="13">
        <f>'空间地理距离矩阵（基于经纬度）'!AJ78</f>
        <v>0.000308355459727848</v>
      </c>
    </row>
    <row r="14" spans="1:33">
      <c r="A14" s="13"/>
      <c r="B14" s="13" t="s">
        <v>11</v>
      </c>
      <c r="C14" s="13">
        <f>'空间地理距离矩阵（基于经纬度）'!F79</f>
        <v>0.00111377286230108</v>
      </c>
      <c r="D14" s="13">
        <f>'空间地理距离矩阵（基于经纬度）'!G79</f>
        <v>0.00119772420340902</v>
      </c>
      <c r="E14" s="13">
        <f>'空间地理距离矩阵（基于经纬度）'!H79</f>
        <v>0.0012993971315024</v>
      </c>
      <c r="F14" s="13">
        <f>'空间地理距离矩阵（基于经纬度）'!I79</f>
        <v>0.00124452149549199</v>
      </c>
      <c r="G14" s="13">
        <f>'空间地理距离矩阵（基于经纬度）'!J79</f>
        <v>0.000889997927517873</v>
      </c>
      <c r="H14" s="13">
        <f>'空间地理距离矩阵（基于经纬度）'!K79</f>
        <v>0.000810233963497878</v>
      </c>
      <c r="I14" s="13">
        <f>'空间地理距离矩阵（基于经纬度）'!L79</f>
        <v>0.000661351116852153</v>
      </c>
      <c r="J14" s="13">
        <f>'空间地理距离矩阵（基于经纬度）'!M79</f>
        <v>0.000574212170192008</v>
      </c>
      <c r="K14" s="13">
        <f>'空间地理距离矩阵（基于经纬度）'!N79</f>
        <v>0.00253795577555331</v>
      </c>
      <c r="L14" s="13">
        <f>'空间地理距离矩阵（基于经纬度）'!O79</f>
        <v>0.00742750146646787</v>
      </c>
      <c r="M14" s="13">
        <f>'空间地理距离矩阵（基于经纬度）'!P79</f>
        <v>0.00314135560631562</v>
      </c>
      <c r="N14" s="13">
        <f>'空间地理距离矩阵（基于经纬度）'!Q79</f>
        <v>0</v>
      </c>
      <c r="O14" s="13">
        <f>'空间地理距离矩阵（基于经纬度）'!R79</f>
        <v>0.00156328485186208</v>
      </c>
      <c r="P14" s="13">
        <f>'空间地理距离矩阵（基于经纬度）'!S79</f>
        <v>0.00262585462685369</v>
      </c>
      <c r="Q14" s="13">
        <f>'空间地理距离矩阵（基于经纬度）'!T79</f>
        <v>0.00184002499800034</v>
      </c>
      <c r="R14" s="13">
        <f>'空间地理距离矩阵（基于经纬度）'!U79</f>
        <v>0.0020808445123023</v>
      </c>
      <c r="S14" s="13">
        <f>'空间地理距离矩阵（基于经纬度）'!V79</f>
        <v>0.00317804849994663</v>
      </c>
      <c r="T14" s="13">
        <f>'空间地理距离矩阵（基于经纬度）'!W79</f>
        <v>0.00171807158315703</v>
      </c>
      <c r="U14" s="13">
        <f>'空间地理距离矩阵（基于经纬度）'!X79</f>
        <v>0.000980044027963665</v>
      </c>
      <c r="V14" s="13">
        <f>'空间地理距离矩阵（基于经纬度）'!Y79</f>
        <v>0.000744776966592461</v>
      </c>
      <c r="W14" s="13">
        <f>'空间地理距离矩阵（基于经纬度）'!Z79</f>
        <v>0.000686122159913848</v>
      </c>
      <c r="X14" s="13">
        <f>'空间地理距离矩阵（基于经纬度）'!AA79</f>
        <v>0.000960654163461138</v>
      </c>
      <c r="Y14" s="13">
        <f>'空间地理距离矩阵（基于经纬度）'!AB79</f>
        <v>0.000794398370149046</v>
      </c>
      <c r="Z14" s="13">
        <f>'空间地理距离矩阵（基于经纬度）'!AC79</f>
        <v>0.00083744028018468</v>
      </c>
      <c r="AA14" s="13">
        <f>'空间地理距离矩阵（基于经纬度）'!AD79</f>
        <v>0.000619639188843514</v>
      </c>
      <c r="AB14" s="13">
        <f>'空间地理距离矩阵（基于经纬度）'!AE79</f>
        <v>0.000398951943084818</v>
      </c>
      <c r="AC14" s="13">
        <f>'空间地理距离矩阵（基于经纬度）'!AF79</f>
        <v>0.00116775131626679</v>
      </c>
      <c r="AD14" s="13">
        <f>'空间地理距离矩阵（基于经纬度）'!AG79</f>
        <v>0.000735932956750377</v>
      </c>
      <c r="AE14" s="13">
        <f>'空间地理距离矩阵（基于经纬度）'!AH79</f>
        <v>0.000647547216587198</v>
      </c>
      <c r="AF14" s="13">
        <f>'空间地理距离矩阵（基于经纬度）'!AI79</f>
        <v>0.000797757500706102</v>
      </c>
      <c r="AG14" s="13">
        <f>'空间地理距离矩阵（基于经纬度）'!AJ79</f>
        <v>0.000341604575918463</v>
      </c>
    </row>
    <row r="15" spans="1:33">
      <c r="A15" s="13"/>
      <c r="B15" s="13" t="s">
        <v>12</v>
      </c>
      <c r="C15" s="13">
        <f>'空间地理距离矩阵（基于经纬度）'!F80</f>
        <v>0.000654647152246351</v>
      </c>
      <c r="D15" s="13">
        <f>'空间地理距离矩阵（基于经纬度）'!G80</f>
        <v>0.000686534097366346</v>
      </c>
      <c r="E15" s="13">
        <f>'空间地理距离矩阵（基于经纬度）'!H80</f>
        <v>0.00070960567970721</v>
      </c>
      <c r="F15" s="13">
        <f>'空间地理距离矩阵（基于经纬度）'!I80</f>
        <v>0.000697935334566897</v>
      </c>
      <c r="G15" s="13">
        <f>'空间地理距离矩阵（基于经纬度）'!J80</f>
        <v>0.000568251197070537</v>
      </c>
      <c r="H15" s="13">
        <f>'空间地理距离矩阵（基于经纬度）'!K80</f>
        <v>0.000568857450707213</v>
      </c>
      <c r="I15" s="13">
        <f>'空间地理距离矩阵（基于经纬度）'!L80</f>
        <v>0.000494662259916599</v>
      </c>
      <c r="J15" s="13">
        <f>'空间地理距离矩阵（基于经纬度）'!M80</f>
        <v>0.000444138940758738</v>
      </c>
      <c r="K15" s="13">
        <f>'空间地理距离矩阵（基于经纬度）'!N80</f>
        <v>0.00165853314064105</v>
      </c>
      <c r="L15" s="13">
        <f>'空间地理距离矩阵（基于经纬度）'!O80</f>
        <v>0.00149394492131943</v>
      </c>
      <c r="M15" s="13">
        <f>'空间地理距离矩阵（基于经纬度）'!P80</f>
        <v>0.00214429365609271</v>
      </c>
      <c r="N15" s="13">
        <f>'空间地理距离矩阵（基于经纬度）'!Q80</f>
        <v>0.00156328485186208</v>
      </c>
      <c r="O15" s="13">
        <f>'空间地理距离矩阵（基于经纬度）'!R80</f>
        <v>0</v>
      </c>
      <c r="P15" s="13">
        <f>'空间地理距离矩阵（基于经纬度）'!S80</f>
        <v>0.00225011497715741</v>
      </c>
      <c r="Q15" s="13">
        <f>'空间地理距离矩阵（基于经纬度）'!T80</f>
        <v>0.000854261164757924</v>
      </c>
      <c r="R15" s="13">
        <f>'空间地理距离矩阵（基于经纬度）'!U80</f>
        <v>0.000918941423424301</v>
      </c>
      <c r="S15" s="13">
        <f>'空间地理距离矩阵（基于经纬度）'!V80</f>
        <v>0.00145791090817694</v>
      </c>
      <c r="T15" s="13">
        <f>'空间地理距离矩阵（基于经纬度）'!W80</f>
        <v>0.00144409169592701</v>
      </c>
      <c r="U15" s="13">
        <f>'空间地理距离矩阵（基于经纬度）'!X80</f>
        <v>0.00143878007868946</v>
      </c>
      <c r="V15" s="13">
        <f>'空间地理距离矩阵（基于经纬度）'!Y80</f>
        <v>0.000844971575927285</v>
      </c>
      <c r="W15" s="13">
        <f>'空间地理距离矩阵（基于经纬度）'!Z80</f>
        <v>0.000878602230646917</v>
      </c>
      <c r="X15" s="13">
        <f>'空间地理距离矩阵（基于经纬度）'!AA80</f>
        <v>0.00076658347611979</v>
      </c>
      <c r="Y15" s="13">
        <f>'空间地理距离矩阵（基于经纬度）'!AB80</f>
        <v>0.000640862001006908</v>
      </c>
      <c r="Z15" s="13">
        <f>'空间地理距离矩阵（基于经纬度）'!AC80</f>
        <v>0.000784663879390052</v>
      </c>
      <c r="AA15" s="13">
        <f>'空间地理距离矩阵（基于经纬度）'!AD80</f>
        <v>0.000593139274506525</v>
      </c>
      <c r="AB15" s="13">
        <f>'空间地理距离矩阵（基于经纬度）'!AE80</f>
        <v>0.0003590318705939</v>
      </c>
      <c r="AC15" s="13">
        <f>'空间地理距离矩阵（基于经纬度）'!AF80</f>
        <v>0.000733875976875797</v>
      </c>
      <c r="AD15" s="13">
        <f>'空间地理距离矩阵（基于经纬度）'!AG80</f>
        <v>0.000538006902329236</v>
      </c>
      <c r="AE15" s="13">
        <f>'空间地理距离矩阵（基于经纬度）'!AH80</f>
        <v>0.000491492284714867</v>
      </c>
      <c r="AF15" s="13">
        <f>'空间地理距离矩阵（基于经纬度）'!AI80</f>
        <v>0.000547035924402244</v>
      </c>
      <c r="AG15" s="13">
        <f>'空间地理距离矩阵（基于经纬度）'!AJ80</f>
        <v>0.000288792670179479</v>
      </c>
    </row>
    <row r="16" spans="1:33">
      <c r="A16" s="13"/>
      <c r="B16" s="13" t="s">
        <v>13</v>
      </c>
      <c r="C16" s="13">
        <f>'空间地理距离矩阵（基于经纬度）'!F81</f>
        <v>0.000804605069605881</v>
      </c>
      <c r="D16" s="13">
        <f>'空间地理距离矩阵（基于经纬度）'!G81</f>
        <v>0.000839580433748991</v>
      </c>
      <c r="E16" s="13">
        <f>'空间地理距离矩阵（基于经纬度）'!H81</f>
        <v>0.000928349921297168</v>
      </c>
      <c r="F16" s="13">
        <f>'空间地理距离矩阵（基于经纬度）'!I81</f>
        <v>0.000942708516545909</v>
      </c>
      <c r="G16" s="13">
        <f>'空间地理距离矩阵（基于经纬度）'!J81</f>
        <v>0.00071583745090431</v>
      </c>
      <c r="H16" s="13">
        <f>'空间地理距离矩阵（基于经纬度）'!K81</f>
        <v>0.000619180923411284</v>
      </c>
      <c r="I16" s="13">
        <f>'空间地理距离矩阵（基于经纬度）'!L81</f>
        <v>0.000528304283812475</v>
      </c>
      <c r="J16" s="13">
        <f>'空间地理距离矩阵（基于经纬度）'!M81</f>
        <v>0.000471177000113821</v>
      </c>
      <c r="K16" s="13">
        <f>'空间地理距离矩阵（基于经纬度）'!N81</f>
        <v>0.00158016254503403</v>
      </c>
      <c r="L16" s="13">
        <f>'空间地理距离矩阵（基于经纬度）'!O81</f>
        <v>0.00203448337887864</v>
      </c>
      <c r="M16" s="13">
        <f>'空间地理距离矩阵（基于经纬度）'!P81</f>
        <v>0.00206938388152159</v>
      </c>
      <c r="N16" s="13">
        <f>'空间地理距离矩阵（基于经纬度）'!Q81</f>
        <v>0.00262585462685369</v>
      </c>
      <c r="O16" s="13">
        <f>'空间地理距离矩阵（基于经纬度）'!R81</f>
        <v>0.00225011497715741</v>
      </c>
      <c r="P16" s="13">
        <f>'空间地理距离矩阵（基于经纬度）'!S81</f>
        <v>0</v>
      </c>
      <c r="Q16" s="13">
        <f>'空间地理距离矩阵（基于经纬度）'!T81</f>
        <v>0.001110006655019</v>
      </c>
      <c r="R16" s="13">
        <f>'空间地理距离矩阵（基于经纬度）'!U81</f>
        <v>0.00141888644242339</v>
      </c>
      <c r="S16" s="13">
        <f>'空间地理距离矩阵（基于经纬度）'!V81</f>
        <v>0.00392113308867309</v>
      </c>
      <c r="T16" s="13">
        <f>'空间地理距离矩阵（基于经纬度）'!W81</f>
        <v>0.00342588514115324</v>
      </c>
      <c r="U16" s="13">
        <f>'空间地理距离矩阵（基于经纬度）'!X81</f>
        <v>0.00156353336786823</v>
      </c>
      <c r="V16" s="13">
        <f>'空间地理距离矩阵（基于经纬度）'!Y81</f>
        <v>0.00100976011609985</v>
      </c>
      <c r="W16" s="13">
        <f>'空间地理距离矩阵（基于经纬度）'!Z81</f>
        <v>0.000926717882997883</v>
      </c>
      <c r="X16" s="13">
        <f>'空间地理距离矩阵（基于经纬度）'!AA81</f>
        <v>0.00112740884587489</v>
      </c>
      <c r="Y16" s="13">
        <f>'空间地理距离矩阵（基于经纬度）'!AB81</f>
        <v>0.000878951762436595</v>
      </c>
      <c r="Z16" s="13">
        <f>'空间地理距离矩阵（基于经纬度）'!AC81</f>
        <v>0.00107450040356832</v>
      </c>
      <c r="AA16" s="13">
        <f>'空间地理距离矩阵（基于经纬度）'!AD81</f>
        <v>0.000736807564715296</v>
      </c>
      <c r="AB16" s="13">
        <f>'空间地理距离矩阵（基于经纬度）'!AE81</f>
        <v>0.000419986329951501</v>
      </c>
      <c r="AC16" s="13">
        <f>'空间地理距离矩阵（基于经纬度）'!AF81</f>
        <v>0.00108300712212819</v>
      </c>
      <c r="AD16" s="13">
        <f>'空间地理距离矩阵（基于经纬度）'!AG81</f>
        <v>0.000706482103629276</v>
      </c>
      <c r="AE16" s="13">
        <f>'空间地理距离矩阵（基于经纬度）'!AH81</f>
        <v>0.000628740196309969</v>
      </c>
      <c r="AF16" s="13">
        <f>'空间地理距离矩阵（基于经纬度）'!AI81</f>
        <v>0.000713368359604855</v>
      </c>
      <c r="AG16" s="13">
        <f>'空间地理距离矩阵（基于经纬度）'!AJ81</f>
        <v>0.000331078352866442</v>
      </c>
    </row>
    <row r="17" spans="1:33">
      <c r="A17" s="13"/>
      <c r="B17" s="13" t="s">
        <v>14</v>
      </c>
      <c r="C17" s="13">
        <f>'空间地理距离矩阵（基于经纬度）'!F82</f>
        <v>0.00280158349283663</v>
      </c>
      <c r="D17" s="13">
        <f>'空间地理距离矩阵（基于经纬度）'!G82</f>
        <v>0.00342640294521824</v>
      </c>
      <c r="E17" s="13">
        <f>'空间地理距离矩阵（基于经纬度）'!H82</f>
        <v>0.00333686301031355</v>
      </c>
      <c r="F17" s="13">
        <f>'空间地理距离矩阵（基于经纬度）'!I82</f>
        <v>0.00230284486059762</v>
      </c>
      <c r="G17" s="13">
        <f>'空间地理距离矩阵（基于经纬度）'!J82</f>
        <v>0.00150161212871198</v>
      </c>
      <c r="H17" s="13">
        <f>'空间地理距离矩阵（基于经纬度）'!K82</f>
        <v>0.00127830440211482</v>
      </c>
      <c r="I17" s="13">
        <f>'空间地理距离矩阵（基于经纬度）'!L82</f>
        <v>0.000945901508559868</v>
      </c>
      <c r="J17" s="13">
        <f>'空间地理距离矩阵（基于经纬度）'!M82</f>
        <v>0.000783783843908534</v>
      </c>
      <c r="K17" s="13">
        <f>'空间地理距离矩阵（基于经纬度）'!N82</f>
        <v>0.00141395593112766</v>
      </c>
      <c r="L17" s="13">
        <f>'空间地理距离矩阵（基于经纬度）'!O82</f>
        <v>0.00198147607354535</v>
      </c>
      <c r="M17" s="13">
        <f>'空间地理距离矩阵（基于经纬度）'!P82</f>
        <v>0.00132971939404746</v>
      </c>
      <c r="N17" s="13">
        <f>'空间地理距离矩阵（基于经纬度）'!Q82</f>
        <v>0.00184002499800034</v>
      </c>
      <c r="O17" s="13">
        <f>'空间地理距离矩阵（基于经纬度）'!R82</f>
        <v>0.000854261164757924</v>
      </c>
      <c r="P17" s="13">
        <f>'空间地理距离矩阵（基于经纬度）'!S82</f>
        <v>0.001110006655019</v>
      </c>
      <c r="Q17" s="13">
        <f>'空间地理距离矩阵（基于经纬度）'!T82</f>
        <v>0</v>
      </c>
      <c r="R17" s="13">
        <f>'空间地理距离矩阵（基于经纬度）'!U82</f>
        <v>0.00255460349397029</v>
      </c>
      <c r="S17" s="13">
        <f>'空间地理距离矩阵（基于经纬度）'!V82</f>
        <v>0.00138323181605581</v>
      </c>
      <c r="T17" s="13">
        <f>'空间地理距离矩阵（基于经纬度）'!W82</f>
        <v>0.000989539432550108</v>
      </c>
      <c r="U17" s="13">
        <f>'空间地理距离矩阵（基于经纬度）'!X82</f>
        <v>0.000654194024666281</v>
      </c>
      <c r="V17" s="13">
        <f>'空间地理距离矩阵（基于经纬度）'!Y82</f>
        <v>0.000565839970652011</v>
      </c>
      <c r="W17" s="13">
        <f>'空间地理距离矩阵（基于经纬度）'!Z82</f>
        <v>0.000515430209927711</v>
      </c>
      <c r="X17" s="13">
        <f>'空间地理距离矩阵（基于经纬度）'!AA82</f>
        <v>0.000809736971327805</v>
      </c>
      <c r="Y17" s="13">
        <f>'空间地理距离矩阵（基于经纬度）'!AB82</f>
        <v>0.000727032103284713</v>
      </c>
      <c r="Z17" s="13">
        <f>'空间地理距离矩阵（基于经纬度）'!AC82</f>
        <v>0.000665703384031569</v>
      </c>
      <c r="AA17" s="13">
        <f>'空间地理距离矩阵（基于经纬度）'!AD82</f>
        <v>0.000532235258408874</v>
      </c>
      <c r="AB17" s="13">
        <f>'空间地理距离矩阵（基于经纬度）'!AE82</f>
        <v>0.000394705249427379</v>
      </c>
      <c r="AC17" s="13">
        <f>'空间地理距离矩阵（基于经纬度）'!AF82</f>
        <v>0.00124236393169602</v>
      </c>
      <c r="AD17" s="13">
        <f>'空间地理距离矩阵（基于经纬度）'!AG82</f>
        <v>0.00082563279430218</v>
      </c>
      <c r="AE17" s="13">
        <f>'空间地理距离矩阵（基于经纬度）'!AH82</f>
        <v>0.000719792709240253</v>
      </c>
      <c r="AF17" s="13">
        <f>'空间地理距离矩阵（基于经纬度）'!AI82</f>
        <v>0.00101920561240813</v>
      </c>
      <c r="AG17" s="13">
        <f>'空间地理距离矩阵（基于经纬度）'!AJ82</f>
        <v>0.000379756572288916</v>
      </c>
    </row>
    <row r="18" spans="1:33">
      <c r="A18" s="13"/>
      <c r="B18" s="13" t="s">
        <v>15</v>
      </c>
      <c r="C18" s="13">
        <f>'空间地理距离矩阵（基于经纬度）'!F83</f>
        <v>0.00161230682931544</v>
      </c>
      <c r="D18" s="13">
        <f>'空间地理距离矩阵（基于经纬度）'!G83</f>
        <v>0.00164926507309471</v>
      </c>
      <c r="E18" s="13">
        <f>'空间地理距离矩阵（基于经纬度）'!H83</f>
        <v>0.00247250008629411</v>
      </c>
      <c r="F18" s="13">
        <f>'空间地理距离矩阵（基于经纬度）'!I83</f>
        <v>0.00280785569702553</v>
      </c>
      <c r="G18" s="13">
        <f>'空间地理距离矩阵（基于经纬度）'!J83</f>
        <v>0.00144347482429209</v>
      </c>
      <c r="H18" s="13">
        <f>'空间地理距离矩阵（基于经纬度）'!K83</f>
        <v>0.000859212004506892</v>
      </c>
      <c r="I18" s="13">
        <f>'空间地理距离矩阵（基于经纬度）'!L83</f>
        <v>0.000697727760064905</v>
      </c>
      <c r="J18" s="13">
        <f>'空间地理距离矩阵（基于经纬度）'!M83</f>
        <v>0.000608194283836672</v>
      </c>
      <c r="K18" s="13">
        <f>'空间地理距离矩阵（基于经纬度）'!N83</f>
        <v>0.00121173130603973</v>
      </c>
      <c r="L18" s="13">
        <f>'空间地理距离矩阵（基于经纬度）'!O83</f>
        <v>0.00184120129176968</v>
      </c>
      <c r="M18" s="13">
        <f>'空间地理距离矩阵（基于经纬度）'!P83</f>
        <v>0.00126394473012585</v>
      </c>
      <c r="N18" s="13">
        <f>'空间地理距离矩阵（基于经纬度）'!Q83</f>
        <v>0.0020808445123023</v>
      </c>
      <c r="O18" s="13">
        <f>'空间地理距离矩阵（基于经纬度）'!R83</f>
        <v>0.000918941423424301</v>
      </c>
      <c r="P18" s="13">
        <f>'空间地理距离矩阵（基于经纬度）'!S83</f>
        <v>0.00141888644242339</v>
      </c>
      <c r="Q18" s="13">
        <f>'空间地理距离矩阵（基于经纬度）'!T83</f>
        <v>0.00255460349397029</v>
      </c>
      <c r="R18" s="13">
        <f>'空间地理距离矩阵（基于经纬度）'!U83</f>
        <v>0</v>
      </c>
      <c r="S18" s="13">
        <f>'空间地理距离矩阵（基于经纬度）'!V83</f>
        <v>0.00215884637396404</v>
      </c>
      <c r="T18" s="13">
        <f>'空间地理距离矩阵（基于经纬度）'!W83</f>
        <v>0.00140853527991744</v>
      </c>
      <c r="U18" s="13">
        <f>'空间地理距离矩阵（基于经纬度）'!X83</f>
        <v>0.000789215686362285</v>
      </c>
      <c r="V18" s="13">
        <f>'空间地理距离矩阵（基于经纬度）'!Y83</f>
        <v>0.000700714731991973</v>
      </c>
      <c r="W18" s="13">
        <f>'空间地理距离矩阵（基于经纬度）'!Z83</f>
        <v>0.000610470651197392</v>
      </c>
      <c r="X18" s="13">
        <f>'空间地理距离矩阵（基于经纬度）'!AA83</f>
        <v>0.00118478164229716</v>
      </c>
      <c r="Y18" s="13">
        <f>'空间地理距离矩阵（基于经纬度）'!AB83</f>
        <v>0.00101195354728045</v>
      </c>
      <c r="Z18" s="13">
        <f>'空间地理距离矩阵（基于经纬度）'!AC83</f>
        <v>0.000889987048549379</v>
      </c>
      <c r="AA18" s="13">
        <f>'空间地理距离矩阵（基于经纬度）'!AD83</f>
        <v>0.000671170134752788</v>
      </c>
      <c r="AB18" s="13">
        <f>'空间地理距离矩阵（基于经纬度）'!AE83</f>
        <v>0.00045969021145134</v>
      </c>
      <c r="AC18" s="13">
        <f>'空间地理距离矩阵（基于经纬度）'!AF83</f>
        <v>0.00224605578236888</v>
      </c>
      <c r="AD18" s="13">
        <f>'空间地理距离矩阵（基于经纬度）'!AG83</f>
        <v>0.00109206391951542</v>
      </c>
      <c r="AE18" s="13">
        <f>'空间地理距离矩阵（基于经纬度）'!AH83</f>
        <v>0.000907845035337164</v>
      </c>
      <c r="AF18" s="13">
        <f>'空间地理距离矩阵（基于经纬度）'!AI83</f>
        <v>0.00129046751436957</v>
      </c>
      <c r="AG18" s="13">
        <f>'空间地理距离矩阵（基于经纬度）'!AJ83</f>
        <v>0.000407665239358829</v>
      </c>
    </row>
    <row r="19" spans="1:33">
      <c r="A19" s="13"/>
      <c r="B19" s="13" t="s">
        <v>16</v>
      </c>
      <c r="C19" s="13">
        <f>'空间地理距离矩阵（基于经纬度）'!F84</f>
        <v>0.000960311567318679</v>
      </c>
      <c r="D19" s="13">
        <f>'空间地理距离矩阵（基于经纬度）'!G84</f>
        <v>0.000997961678596385</v>
      </c>
      <c r="E19" s="13">
        <f>'空间地理距离矩阵（基于经纬度）'!H84</f>
        <v>0.00117108010793427</v>
      </c>
      <c r="F19" s="13">
        <f>'空间地理距离矩阵（基于经纬度）'!I84</f>
        <v>0.00122222785864019</v>
      </c>
      <c r="G19" s="13">
        <f>'空间地理距离矩阵（基于经纬度）'!J84</f>
        <v>0.000865828576375934</v>
      </c>
      <c r="H19" s="13">
        <f>'空间地理距离矩阵（基于经纬度）'!K84</f>
        <v>0.000674299855617864</v>
      </c>
      <c r="I19" s="13">
        <f>'空间地理距离矩阵（基于经纬度）'!L84</f>
        <v>0.000567535795208285</v>
      </c>
      <c r="J19" s="13">
        <f>'空间地理距离矩阵（基于经纬度）'!M84</f>
        <v>0.000503271494617752</v>
      </c>
      <c r="K19" s="13">
        <f>'空间地理距离矩阵（基于经纬度）'!N84</f>
        <v>0.00145617291493382</v>
      </c>
      <c r="L19" s="13">
        <f>'空间地理距离矩阵（基于经纬度）'!O84</f>
        <v>0.00222590117913998</v>
      </c>
      <c r="M19" s="13">
        <f>'空间地理距离矩阵（基于经纬度）'!P84</f>
        <v>0.00175271732691078</v>
      </c>
      <c r="N19" s="13">
        <f>'空间地理距离矩阵（基于经纬度）'!Q84</f>
        <v>0.00317804849994663</v>
      </c>
      <c r="O19" s="13">
        <f>'空间地理距离矩阵（基于经纬度）'!R84</f>
        <v>0.00145791090817694</v>
      </c>
      <c r="P19" s="13">
        <f>'空间地理距离矩阵（基于经纬度）'!S84</f>
        <v>0.00392113308867309</v>
      </c>
      <c r="Q19" s="13">
        <f>'空间地理距离矩阵（基于经纬度）'!T84</f>
        <v>0.00138323181605581</v>
      </c>
      <c r="R19" s="13">
        <f>'空间地理距离矩阵（基于经纬度）'!U84</f>
        <v>0.00215884637396404</v>
      </c>
      <c r="S19" s="13">
        <f>'空间地理距离矩阵（基于经纬度）'!V84</f>
        <v>0</v>
      </c>
      <c r="T19" s="13">
        <f>'空间地理距离矩阵（基于经纬度）'!W84</f>
        <v>0.00342641851353846</v>
      </c>
      <c r="U19" s="13">
        <f>'空间地理距离矩阵（基于经纬度）'!X84</f>
        <v>0.00122587986522332</v>
      </c>
      <c r="V19" s="13">
        <f>'空间地理距离矩阵（基于经纬度）'!Y84</f>
        <v>0.000944089547051129</v>
      </c>
      <c r="W19" s="13">
        <f>'空间地理距离矩阵（基于经纬度）'!Z84</f>
        <v>0.0008215572513268</v>
      </c>
      <c r="X19" s="13">
        <f>'空间地理距离矩阵（基于经纬度）'!AA84</f>
        <v>0.0013504282679991</v>
      </c>
      <c r="Y19" s="13">
        <f>'空间地理距离矩阵（基于经纬度）'!AB84</f>
        <v>0.00102819583145885</v>
      </c>
      <c r="Z19" s="13">
        <f>'空间地理距离矩阵（基于经纬度）'!AC84</f>
        <v>0.00113657179534958</v>
      </c>
      <c r="AA19" s="13">
        <f>'空间地理距离矩阵（基于经纬度）'!AD84</f>
        <v>0.000769690687722704</v>
      </c>
      <c r="AB19" s="13">
        <f>'空间地理距离矩阵（基于经纬度）'!AE84</f>
        <v>0.000449354247875988</v>
      </c>
      <c r="AC19" s="13">
        <f>'空间地理距离矩阵（基于经纬度）'!AF84</f>
        <v>0.0014769155820239</v>
      </c>
      <c r="AD19" s="13">
        <f>'空间地理距离矩阵（基于经纬度）'!AG84</f>
        <v>0.000849839188765441</v>
      </c>
      <c r="AE19" s="13">
        <f>'空间地理距离矩阵（基于经纬度）'!AH84</f>
        <v>0.000737629625763466</v>
      </c>
      <c r="AF19" s="13">
        <f>'空间地理距离矩阵（基于经纬度）'!AI84</f>
        <v>0.000871233873276873</v>
      </c>
      <c r="AG19" s="13">
        <f>'空间地理距离矩阵（基于经纬度）'!AJ84</f>
        <v>0.000359958780919733</v>
      </c>
    </row>
    <row r="20" spans="1:33">
      <c r="A20" s="13"/>
      <c r="B20" s="13" t="s">
        <v>17</v>
      </c>
      <c r="C20" s="13">
        <f>'空间地理距离矩阵（基于经纬度）'!F85</f>
        <v>0.000759847313059146</v>
      </c>
      <c r="D20" s="13">
        <f>'空间地理距离矩阵（基于经纬度）'!G85</f>
        <v>0.00077906452452169</v>
      </c>
      <c r="E20" s="13">
        <f>'空间地理距离矩阵（基于经纬度）'!H85</f>
        <v>0.000898073919407798</v>
      </c>
      <c r="F20" s="13">
        <f>'空间地理距离矩阵（基于经纬度）'!I85</f>
        <v>0.000953361079529478</v>
      </c>
      <c r="G20" s="13">
        <f>'空间地理距离矩阵（基于经纬度）'!J85</f>
        <v>0.000724556197593699</v>
      </c>
      <c r="H20" s="13">
        <f>'空间地理距离矩阵（基于经纬度）'!K85</f>
        <v>0.000563440010616988</v>
      </c>
      <c r="I20" s="13">
        <f>'空间地理距离矩阵（基于经纬度）'!L85</f>
        <v>0.000486912475278812</v>
      </c>
      <c r="J20" s="13">
        <f>'空间地理距离矩阵（基于经纬度）'!M85</f>
        <v>0.00043889535049067</v>
      </c>
      <c r="K20" s="13">
        <f>'空间地理距离矩阵（基于经纬度）'!N85</f>
        <v>0.00110359546479855</v>
      </c>
      <c r="L20" s="13">
        <f>'空间地理距离矩阵（基于经纬度）'!O85</f>
        <v>0.00140179254132891</v>
      </c>
      <c r="M20" s="13">
        <f>'空间地理距离矩阵（基于经纬度）'!P85</f>
        <v>0.0013080214168811</v>
      </c>
      <c r="N20" s="13">
        <f>'空间地理距离矩阵（基于经纬度）'!Q85</f>
        <v>0.00171807158315703</v>
      </c>
      <c r="O20" s="13">
        <f>'空间地理距离矩阵（基于经纬度）'!R85</f>
        <v>0.00144409169592701</v>
      </c>
      <c r="P20" s="13">
        <f>'空间地理距离矩阵（基于经纬度）'!S85</f>
        <v>0.00342588514115324</v>
      </c>
      <c r="Q20" s="13">
        <f>'空间地理距离矩阵（基于经纬度）'!T85</f>
        <v>0.000989539432550108</v>
      </c>
      <c r="R20" s="13">
        <f>'空间地理距离矩阵（基于经纬度）'!U85</f>
        <v>0.00140853527991744</v>
      </c>
      <c r="S20" s="13">
        <f>'空间地理距离矩阵（基于经纬度）'!V85</f>
        <v>0.00342641851353846</v>
      </c>
      <c r="T20" s="13">
        <f>'空间地理距离矩阵（基于经纬度）'!W85</f>
        <v>0</v>
      </c>
      <c r="U20" s="13">
        <f>'空间地理距离矩阵（基于经纬度）'!X85</f>
        <v>0.00177379408951342</v>
      </c>
      <c r="V20" s="13">
        <f>'空间地理距离矩阵（基于经纬度）'!Y85</f>
        <v>0.00130187945996812</v>
      </c>
      <c r="W20" s="13">
        <f>'空间地理距离矩阵（基于经纬度）'!Z85</f>
        <v>0.00107093789585362</v>
      </c>
      <c r="X20" s="13">
        <f>'空间地理距离矩阵（基于经纬度）'!AA85</f>
        <v>0.0016338315639939</v>
      </c>
      <c r="Y20" s="13">
        <f>'空间地理距离矩阵（基于经纬度）'!AB85</f>
        <v>0.00115207469575054</v>
      </c>
      <c r="Z20" s="13">
        <f>'空间地理距离矩阵（基于经纬度）'!AC85</f>
        <v>0.0015586009773286</v>
      </c>
      <c r="AA20" s="13">
        <f>'空间地理距离矩阵（基于经纬度）'!AD85</f>
        <v>0.000935891035499673</v>
      </c>
      <c r="AB20" s="13">
        <f>'空间地理距离矩阵（基于经纬度）'!AE85</f>
        <v>0.000476410289872827</v>
      </c>
      <c r="AC20" s="13">
        <f>'空间地理距离矩阵（基于经纬度）'!AF85</f>
        <v>0.00129101661098275</v>
      </c>
      <c r="AD20" s="13">
        <f>'空间地理距离矩阵（基于经纬度）'!AG85</f>
        <v>0.000814368808967742</v>
      </c>
      <c r="AE20" s="13">
        <f>'空间地理距离矩阵（基于经纬度）'!AH85</f>
        <v>0.000718994761224294</v>
      </c>
      <c r="AF20" s="13">
        <f>'空间地理距离矩阵（基于经纬度）'!AI85</f>
        <v>0.00078249192085557</v>
      </c>
      <c r="AG20" s="13">
        <f>'空间地理距离矩阵（基于经纬度）'!AJ85</f>
        <v>0.000353670334270737</v>
      </c>
    </row>
    <row r="21" spans="1:33">
      <c r="A21" s="13"/>
      <c r="B21" s="13" t="s">
        <v>18</v>
      </c>
      <c r="C21" s="13">
        <f>'空间地理距离矩阵（基于经纬度）'!F86</f>
        <v>0.000538601697867884</v>
      </c>
      <c r="D21" s="13">
        <f>'空间地理距离矩阵（基于经纬度）'!G86</f>
        <v>0.000551251940343169</v>
      </c>
      <c r="E21" s="13">
        <f>'空间地理距离矩阵（基于经纬度）'!H86</f>
        <v>0.000599951908367369</v>
      </c>
      <c r="F21" s="13">
        <f>'空间地理距离矩阵（基于经纬度）'!I86</f>
        <v>0.000620518072223437</v>
      </c>
      <c r="G21" s="13">
        <f>'空间地理距离矩阵（基于经纬度）'!J86</f>
        <v>0.000514464253369292</v>
      </c>
      <c r="H21" s="13">
        <f>'空间地理距离矩阵（基于经纬度）'!K86</f>
        <v>0.000443545884188354</v>
      </c>
      <c r="I21" s="13">
        <f>'空间地理距离矩阵（基于经纬度）'!L86</f>
        <v>0.000394915218980554</v>
      </c>
      <c r="J21" s="13">
        <f>'空间地理距离矩阵（基于经纬度）'!M86</f>
        <v>0.000362077189966978</v>
      </c>
      <c r="K21" s="13">
        <f>'空间地理距离矩阵（基于经纬度）'!N86</f>
        <v>0.000829001715056999</v>
      </c>
      <c r="L21" s="13">
        <f>'空间地理距离矩阵（基于经纬度）'!O86</f>
        <v>0.000888313505507278</v>
      </c>
      <c r="M21" s="13">
        <f>'空间地理距离矩阵（基于经纬度）'!P86</f>
        <v>0.000953562180784253</v>
      </c>
      <c r="N21" s="13">
        <f>'空间地理距离矩阵（基于经纬度）'!Q86</f>
        <v>0.000980044027963665</v>
      </c>
      <c r="O21" s="13">
        <f>'空间地理距离矩阵（基于经纬度）'!R86</f>
        <v>0.00143878007868946</v>
      </c>
      <c r="P21" s="13">
        <f>'空间地理距离矩阵（基于经纬度）'!S86</f>
        <v>0.00156353336786823</v>
      </c>
      <c r="Q21" s="13">
        <f>'空间地理距离矩阵（基于经纬度）'!T86</f>
        <v>0.000654194024666281</v>
      </c>
      <c r="R21" s="13">
        <f>'空间地理距离矩阵（基于经纬度）'!U86</f>
        <v>0.000789215686362285</v>
      </c>
      <c r="S21" s="13">
        <f>'空间地理距离矩阵（基于经纬度）'!V86</f>
        <v>0.00122587986522332</v>
      </c>
      <c r="T21" s="13">
        <f>'空间地理距离矩阵（基于经纬度）'!W86</f>
        <v>0.00177379408951342</v>
      </c>
      <c r="U21" s="13">
        <f>'空间地理距离矩阵（基于经纬度）'!X86</f>
        <v>0</v>
      </c>
      <c r="V21" s="13">
        <f>'空间地理距离矩阵（基于经纬度）'!Y86</f>
        <v>0.00195160107947817</v>
      </c>
      <c r="W21" s="13">
        <f>'空间地理距离矩阵（基于经纬度）'!Z86</f>
        <v>0.00218915678415587</v>
      </c>
      <c r="X21" s="13">
        <f>'空间地理距离矩阵（基于经纬度）'!AA86</f>
        <v>0.00102176231962843</v>
      </c>
      <c r="Y21" s="13">
        <f>'空间地理距离矩阵（基于经纬度）'!AB86</f>
        <v>0.000821954312106635</v>
      </c>
      <c r="Z21" s="13">
        <f>'空间地理距离矩阵（基于经纬度）'!AC86</f>
        <v>0.00129749870939978</v>
      </c>
      <c r="AA21" s="13">
        <f>'空间地理距离矩阵（基于经纬度）'!AD86</f>
        <v>0.000900119894277342</v>
      </c>
      <c r="AB21" s="13">
        <f>'空间地理距离矩阵（基于经纬度）'!AE86</f>
        <v>0.000433606672618894</v>
      </c>
      <c r="AC21" s="13">
        <f>'空间地理距离矩阵（基于经纬度）'!AF86</f>
        <v>0.00076198186685415</v>
      </c>
      <c r="AD21" s="13">
        <f>'空间地理距离矩阵（基于经纬度）'!AG86</f>
        <v>0.000582900187906884</v>
      </c>
      <c r="AE21" s="13">
        <f>'空间地理距离矩阵（基于经纬度）'!AH86</f>
        <v>0.000538372562713496</v>
      </c>
      <c r="AF21" s="13">
        <f>'空间地理距离矩阵（基于经纬度）'!AI86</f>
        <v>0.000550446898520762</v>
      </c>
      <c r="AG21" s="13">
        <f>'空间地理距离矩阵（基于经纬度）'!AJ86</f>
        <v>0.000305277733940193</v>
      </c>
    </row>
    <row r="22" spans="1:33">
      <c r="A22" s="13"/>
      <c r="B22" s="13" t="s">
        <v>19</v>
      </c>
      <c r="C22" s="13">
        <f>'空间地理距离矩阵（基于经纬度）'!F87</f>
        <v>0.000488452171000528</v>
      </c>
      <c r="D22" s="13">
        <f>'空间地理距离矩阵（基于经纬度）'!G87</f>
        <v>0.00049331361141516</v>
      </c>
      <c r="E22" s="13">
        <f>'空间地理距离矩阵（基于经纬度）'!H87</f>
        <v>0.000547710970374872</v>
      </c>
      <c r="F22" s="13">
        <f>'空间地理距离矩阵（基于经纬度）'!I87</f>
        <v>0.000580452306534261</v>
      </c>
      <c r="G22" s="13">
        <f>'空间地理距离矩阵（基于经纬度）'!J87</f>
        <v>0.000493449841501777</v>
      </c>
      <c r="H22" s="13">
        <f>'空间地理距离矩阵（基于经纬度）'!K87</f>
        <v>0.000393685991652593</v>
      </c>
      <c r="I22" s="13">
        <f>'空间地理距离矩阵（基于经纬度）'!L87</f>
        <v>0.000354788404607795</v>
      </c>
      <c r="J22" s="13">
        <f>'空间地理距离矩阵（基于经纬度）'!M87</f>
        <v>0.000328795859279337</v>
      </c>
      <c r="K22" s="13">
        <f>'空间地理距离矩阵（基于经纬度）'!N87</f>
        <v>0.00061825466174652</v>
      </c>
      <c r="L22" s="13">
        <f>'空间地理距离矩阵（基于经纬度）'!O87</f>
        <v>0.000680688527920785</v>
      </c>
      <c r="M22" s="13">
        <f>'空间地理距离矩阵（基于经纬度）'!P87</f>
        <v>0.000683825326185278</v>
      </c>
      <c r="N22" s="13">
        <f>'空间地理距离矩阵（基于经纬度）'!Q87</f>
        <v>0.000744776966592461</v>
      </c>
      <c r="O22" s="13">
        <f>'空间地理距离矩阵（基于经纬度）'!R87</f>
        <v>0.000844971575927285</v>
      </c>
      <c r="P22" s="13">
        <f>'空间地理距离矩阵（基于经纬度）'!S87</f>
        <v>0.00100976011609985</v>
      </c>
      <c r="Q22" s="13">
        <f>'空间地理距离矩阵（基于经纬度）'!T87</f>
        <v>0.000565839970652011</v>
      </c>
      <c r="R22" s="13">
        <f>'空间地理距离矩阵（基于经纬度）'!U87</f>
        <v>0.000700714731991973</v>
      </c>
      <c r="S22" s="13">
        <f>'空间地理距离矩阵（基于经纬度）'!V87</f>
        <v>0.000944089547051129</v>
      </c>
      <c r="T22" s="13">
        <f>'空间地理距离矩阵（基于经纬度）'!W87</f>
        <v>0.00130187945996812</v>
      </c>
      <c r="U22" s="13">
        <f>'空间地理距离矩阵（基于经纬度）'!X87</f>
        <v>0.00195160107947817</v>
      </c>
      <c r="V22" s="13">
        <f>'空间地理距离矩阵（基于经纬度）'!Y87</f>
        <v>0</v>
      </c>
      <c r="W22" s="13">
        <f>'空间地理距离矩阵（基于经纬度）'!Z87</f>
        <v>0.00290530685527145</v>
      </c>
      <c r="X22" s="13">
        <f>'空间地理距离矩阵（基于经纬度）'!AA87</f>
        <v>0.00123689513386218</v>
      </c>
      <c r="Y22" s="13">
        <f>'空间地理距离矩阵（基于经纬度）'!AB87</f>
        <v>0.00102708948994374</v>
      </c>
      <c r="Z22" s="13">
        <f>'空间地理距离矩阵（基于经纬度）'!AC87</f>
        <v>0.00214290412975668</v>
      </c>
      <c r="AA22" s="13">
        <f>'空间地理距离矩阵（基于经纬度）'!AD87</f>
        <v>0.00153091506253217</v>
      </c>
      <c r="AB22" s="13">
        <f>'空间地理距离矩阵（基于经纬度）'!AE87</f>
        <v>0.00053365189695995</v>
      </c>
      <c r="AC22" s="13">
        <f>'空间地理距离矩阵（基于经纬度）'!AF87</f>
        <v>0.000768127687154828</v>
      </c>
      <c r="AD22" s="13">
        <f>'空间地理距离矩阵（基于经纬度）'!AG87</f>
        <v>0.000634580457634343</v>
      </c>
      <c r="AE22" s="13">
        <f>'空间地理距离矩阵（基于经纬度）'!AH87</f>
        <v>0.000596193012441093</v>
      </c>
      <c r="AF22" s="13">
        <f>'空间地理距离矩阵（基于经纬度）'!AI87</f>
        <v>0.000565485407904094</v>
      </c>
      <c r="AG22" s="13">
        <f>'空间地理距离矩阵（基于经纬度）'!AJ87</f>
        <v>0.00033103421904057</v>
      </c>
    </row>
    <row r="23" spans="1:33">
      <c r="A23" s="13"/>
      <c r="B23" s="13" t="s">
        <v>20</v>
      </c>
      <c r="C23" s="13">
        <f>'空间地理距离矩阵（基于经纬度）'!F88</f>
        <v>0.00044453002387482</v>
      </c>
      <c r="D23" s="13">
        <f>'空间地理距离矩阵（基于经纬度）'!G88</f>
        <v>0.000451077671989057</v>
      </c>
      <c r="E23" s="13">
        <f>'空间地理距离矩阵（基于经纬度）'!H88</f>
        <v>0.000489594174521794</v>
      </c>
      <c r="F23" s="13">
        <f>'空间地理距离矩阵（基于经纬度）'!I88</f>
        <v>0.000509888370117665</v>
      </c>
      <c r="G23" s="13">
        <f>'空间地理距离矩阵（基于经纬度）'!J88</f>
        <v>0.000438495456940638</v>
      </c>
      <c r="H23" s="13">
        <f>'空间地理距离矩阵（基于经纬度）'!K88</f>
        <v>0.000372003932172213</v>
      </c>
      <c r="I23" s="13">
        <f>'空间地理距离矩阵（基于经纬度）'!L88</f>
        <v>0.000337044612406381</v>
      </c>
      <c r="J23" s="13">
        <f>'空间地理距离矩阵（基于经纬度）'!M88</f>
        <v>0.000312986953850803</v>
      </c>
      <c r="K23" s="13">
        <f>'空间地理距离矩阵（基于经纬度）'!N88</f>
        <v>0.000601382435057246</v>
      </c>
      <c r="L23" s="13">
        <f>'空间地理距离矩阵（基于经纬度）'!O88</f>
        <v>0.000636844111700274</v>
      </c>
      <c r="M23" s="13">
        <f>'空间地理距离矩阵（基于经纬度）'!P88</f>
        <v>0.000664370788324898</v>
      </c>
      <c r="N23" s="13">
        <f>'空间地理距离矩阵（基于经纬度）'!Q88</f>
        <v>0.000686122159913848</v>
      </c>
      <c r="O23" s="13">
        <f>'空间地理距离矩阵（基于经纬度）'!R88</f>
        <v>0.000878602230646917</v>
      </c>
      <c r="P23" s="13">
        <f>'空间地理距离矩阵（基于经纬度）'!S88</f>
        <v>0.000926717882997883</v>
      </c>
      <c r="Q23" s="13">
        <f>'空间地理距离矩阵（基于经纬度）'!T88</f>
        <v>0.000515430209927711</v>
      </c>
      <c r="R23" s="13">
        <f>'空间地理距离矩阵（基于经纬度）'!U88</f>
        <v>0.000610470651197392</v>
      </c>
      <c r="S23" s="13">
        <f>'空间地理距离矩阵（基于经纬度）'!V88</f>
        <v>0.0008215572513268</v>
      </c>
      <c r="T23" s="13">
        <f>'空间地理距离矩阵（基于经纬度）'!W88</f>
        <v>0.00107093789585362</v>
      </c>
      <c r="U23" s="13">
        <f>'空间地理距离矩阵（基于经纬度）'!X88</f>
        <v>0.00218915678415587</v>
      </c>
      <c r="V23" s="13">
        <f>'空间地理距离矩阵（基于经纬度）'!Y88</f>
        <v>0.00290530685527145</v>
      </c>
      <c r="W23" s="13">
        <f>'空间地理距离矩阵（基于经纬度）'!Z88</f>
        <v>0</v>
      </c>
      <c r="X23" s="13">
        <f>'空间地理距离矩阵（基于经纬度）'!AA88</f>
        <v>0.00088693791763777</v>
      </c>
      <c r="Y23" s="13">
        <f>'空间地理距离矩阵（基于经纬度）'!AB88</f>
        <v>0.000762870688725921</v>
      </c>
      <c r="Z23" s="13">
        <f>'空间地理距离矩阵（基于经纬度）'!AC88</f>
        <v>0.00124425783182371</v>
      </c>
      <c r="AA23" s="13">
        <f>'空间地理距离矩阵（基于经纬度）'!AD88</f>
        <v>0.00102517803581798</v>
      </c>
      <c r="AB23" s="13">
        <f>'空间地理距离矩阵（基于经纬度）'!AE88</f>
        <v>0.000456274338747288</v>
      </c>
      <c r="AC23" s="13">
        <f>'空间地理距离矩阵（基于经纬度）'!AF88</f>
        <v>0.000631563263633847</v>
      </c>
      <c r="AD23" s="13">
        <f>'空间地理距离矩阵（基于经纬度）'!AG88</f>
        <v>0.000526522476798947</v>
      </c>
      <c r="AE23" s="13">
        <f>'空间地理距离矩阵（基于经纬度）'!AH88</f>
        <v>0.000497577631233818</v>
      </c>
      <c r="AF23" s="13">
        <f>'空间地理距离矩阵（基于经纬度）'!AI88</f>
        <v>0.000483416830467425</v>
      </c>
      <c r="AG23" s="13">
        <f>'空间地理距离矩阵（基于经纬度）'!AJ88</f>
        <v>0.000297216474964048</v>
      </c>
    </row>
    <row r="24" spans="1:33">
      <c r="A24" s="13"/>
      <c r="B24" s="13" t="s">
        <v>21</v>
      </c>
      <c r="C24" s="13">
        <f>'空间地理距离矩阵（基于经纬度）'!F89</f>
        <v>0.000704561141841193</v>
      </c>
      <c r="D24" s="13">
        <f>'空间地理距离矩阵（基于经纬度）'!G89</f>
        <v>0.000699707171114382</v>
      </c>
      <c r="E24" s="13">
        <f>'空间地理距离矩阵（基于经纬度）'!H89</f>
        <v>0.000847132530301743</v>
      </c>
      <c r="F24" s="13">
        <f>'空间地理距离矩阵（基于经纬度）'!I89</f>
        <v>0.000966501289030378</v>
      </c>
      <c r="G24" s="13">
        <f>'空间地理距离矩阵（基于经纬度）'!J89</f>
        <v>0.000774946806395952</v>
      </c>
      <c r="H24" s="13">
        <f>'空间地理距离矩阵（基于经纬度）'!K89</f>
        <v>0.000498946096622651</v>
      </c>
      <c r="I24" s="13">
        <f>'空间地理距离矩阵（基于经纬度）'!L89</f>
        <v>0.00044078838376935</v>
      </c>
      <c r="J24" s="13">
        <f>'空间地理距离矩阵（基于经纬度）'!M89</f>
        <v>0.000404548179752562</v>
      </c>
      <c r="K24" s="13">
        <f>'空间地理距离矩阵（基于经纬度）'!N89</f>
        <v>0.000701202856125156</v>
      </c>
      <c r="L24" s="13">
        <f>'空间地理距离矩阵（基于经纬度）'!O89</f>
        <v>0.000854049184476893</v>
      </c>
      <c r="M24" s="13">
        <f>'空间地理距离矩阵（基于经纬度）'!P89</f>
        <v>0.000763544503262815</v>
      </c>
      <c r="N24" s="13">
        <f>'空间地理距离矩阵（基于经纬度）'!Q89</f>
        <v>0.000960654163461138</v>
      </c>
      <c r="O24" s="13">
        <f>'空间地理距离矩阵（基于经纬度）'!R89</f>
        <v>0.00076658347611979</v>
      </c>
      <c r="P24" s="13">
        <f>'空间地理距离矩阵（基于经纬度）'!S89</f>
        <v>0.00112740884587489</v>
      </c>
      <c r="Q24" s="13">
        <f>'空间地理距离矩阵（基于经纬度）'!T89</f>
        <v>0.000809736971327805</v>
      </c>
      <c r="R24" s="13">
        <f>'空间地理距离矩阵（基于经纬度）'!U89</f>
        <v>0.00118478164229716</v>
      </c>
      <c r="S24" s="13">
        <f>'空间地理距离矩阵（基于经纬度）'!V89</f>
        <v>0.0013504282679991</v>
      </c>
      <c r="T24" s="13">
        <f>'空间地理距离矩阵（基于经纬度）'!W89</f>
        <v>0.0016338315639939</v>
      </c>
      <c r="U24" s="13">
        <f>'空间地理距离矩阵（基于经纬度）'!X89</f>
        <v>0.00102176231962843</v>
      </c>
      <c r="V24" s="13">
        <f>'空间地理距离矩阵（基于经纬度）'!Y89</f>
        <v>0.00123689513386218</v>
      </c>
      <c r="W24" s="13">
        <f>'空间地理距离矩阵（基于经纬度）'!Z89</f>
        <v>0.00088693791763777</v>
      </c>
      <c r="X24" s="13">
        <f>'空间地理距离矩阵（基于经纬度）'!AA89</f>
        <v>0</v>
      </c>
      <c r="Y24" s="13">
        <f>'空间地理距离矩阵（基于经纬度）'!AB89</f>
        <v>0.00388599497383147</v>
      </c>
      <c r="Z24" s="13">
        <f>'空间地理距离矩阵（基于经纬度）'!AC89</f>
        <v>0.00277106925426986</v>
      </c>
      <c r="AA24" s="13">
        <f>'空间地理距离矩阵（基于经纬度）'!AD89</f>
        <v>0.0015385782028703</v>
      </c>
      <c r="AB24" s="13">
        <f>'空间地理距离矩阵（基于经纬度）'!AE89</f>
        <v>0.000668901567220471</v>
      </c>
      <c r="AC24" s="13">
        <f>'空间地理距离矩阵（基于经纬度）'!AF89</f>
        <v>0.00183579046869581</v>
      </c>
      <c r="AD24" s="13">
        <f>'空间地理距离矩阵（基于经纬度）'!AG89</f>
        <v>0.00129563236875281</v>
      </c>
      <c r="AE24" s="13">
        <f>'空间地理距离矩阵（基于经纬度）'!AH89</f>
        <v>0.00112228920717818</v>
      </c>
      <c r="AF24" s="13">
        <f>'空间地理距离矩阵（基于经纬度）'!AI89</f>
        <v>0.00103423621597486</v>
      </c>
      <c r="AG24" s="13">
        <f>'空间地理距离矩阵（基于经纬度）'!AJ89</f>
        <v>0.000435321464254087</v>
      </c>
    </row>
    <row r="25" spans="1:33">
      <c r="A25" s="13"/>
      <c r="B25" s="13" t="s">
        <v>22</v>
      </c>
      <c r="C25" s="13">
        <f>'空间地理距离矩阵（基于经纬度）'!F90</f>
        <v>0.000664034374340759</v>
      </c>
      <c r="D25" s="13">
        <f>'空间地理距离矩阵（基于经纬度）'!G90</f>
        <v>0.000653039939532596</v>
      </c>
      <c r="E25" s="13">
        <f>'空间地理距离矩阵（基于经纬度）'!H90</f>
        <v>0.000788648615824519</v>
      </c>
      <c r="F25" s="13">
        <f>'空间地理距离矩阵（基于经纬度）'!I90</f>
        <v>0.000907070917691517</v>
      </c>
      <c r="G25" s="13">
        <f>'空间地理距离矩阵（基于经纬度）'!J90</f>
        <v>0.000766331764253086</v>
      </c>
      <c r="H25" s="13">
        <f>'空间地理距离矩阵（基于经纬度）'!K90</f>
        <v>0.000472185435422523</v>
      </c>
      <c r="I25" s="13">
        <f>'空间地理距离矩阵（基于经纬度）'!L90</f>
        <v>0.000421771712509267</v>
      </c>
      <c r="J25" s="13">
        <f>'空间地理距离矩阵（基于经纬度）'!M90</f>
        <v>0.000390313498602812</v>
      </c>
      <c r="K25" s="13">
        <f>'空间地理距离矩阵（基于经纬度）'!N90</f>
        <v>0.000605931957886626</v>
      </c>
      <c r="L25" s="13">
        <f>'空间地理距离矩阵（基于经纬度）'!O90</f>
        <v>0.000722687688345227</v>
      </c>
      <c r="M25" s="13">
        <f>'空间地理距离矩阵（基于经纬度）'!P90</f>
        <v>0.000648156345536249</v>
      </c>
      <c r="N25" s="13">
        <f>'空间地理距离矩阵（基于经纬度）'!Q90</f>
        <v>0.000794398370149046</v>
      </c>
      <c r="O25" s="13">
        <f>'空间地理距离矩阵（基于经纬度）'!R90</f>
        <v>0.000640862001006908</v>
      </c>
      <c r="P25" s="13">
        <f>'空间地理距离矩阵（基于经纬度）'!S90</f>
        <v>0.000878951762436595</v>
      </c>
      <c r="Q25" s="13">
        <f>'空间地理距离矩阵（基于经纬度）'!T90</f>
        <v>0.000727032103284713</v>
      </c>
      <c r="R25" s="13">
        <f>'空间地理距离矩阵（基于经纬度）'!U90</f>
        <v>0.00101195354728045</v>
      </c>
      <c r="S25" s="13">
        <f>'空间地理距离矩阵（基于经纬度）'!V90</f>
        <v>0.00102819583145885</v>
      </c>
      <c r="T25" s="13">
        <f>'空间地理距离矩阵（基于经纬度）'!W90</f>
        <v>0.00115207469575054</v>
      </c>
      <c r="U25" s="13">
        <f>'空间地理距离矩阵（基于经纬度）'!X90</f>
        <v>0.000821954312106635</v>
      </c>
      <c r="V25" s="13">
        <f>'空间地理距离矩阵（基于经纬度）'!Y90</f>
        <v>0.00102708948994374</v>
      </c>
      <c r="W25" s="13">
        <f>'空间地理距离矩阵（基于经纬度）'!Z90</f>
        <v>0.000762870688725921</v>
      </c>
      <c r="X25" s="13">
        <f>'空间地理距离矩阵（基于经纬度）'!AA90</f>
        <v>0.00388599497383147</v>
      </c>
      <c r="Y25" s="13">
        <f>'空间地理距离矩阵（基于经纬度）'!AB90</f>
        <v>0</v>
      </c>
      <c r="Z25" s="13">
        <f>'空间地理距离矩阵（基于经纬度）'!AC90</f>
        <v>0.0019704246851561</v>
      </c>
      <c r="AA25" s="13">
        <f>'空间地理距离矩阵（基于经纬度）'!AD90</f>
        <v>0.00161907223540333</v>
      </c>
      <c r="AB25" s="13">
        <f>'空间地理距离矩阵（基于经纬度）'!AE90</f>
        <v>0.000798176569835025</v>
      </c>
      <c r="AC25" s="13">
        <f>'空间地理距离矩阵（基于经纬度）'!AF90</f>
        <v>0.00167199616528058</v>
      </c>
      <c r="AD25" s="13">
        <f>'空间地理距离矩阵（基于经纬度）'!AG90</f>
        <v>0.00158785186042867</v>
      </c>
      <c r="AE25" s="13">
        <f>'空间地理距离矩阵（基于经纬度）'!AH90</f>
        <v>0.00141471135563845</v>
      </c>
      <c r="AF25" s="13">
        <f>'空间地理距离矩阵（基于经纬度）'!AI90</f>
        <v>0.00111429933411013</v>
      </c>
      <c r="AG25" s="13">
        <f>'空间地理距离矩阵（基于经纬度）'!AJ90</f>
        <v>0.00048323001459767</v>
      </c>
    </row>
    <row r="26" spans="1:33">
      <c r="A26" s="13"/>
      <c r="B26" s="13" t="s">
        <v>23</v>
      </c>
      <c r="C26" s="13">
        <f>'空间地理距离矩阵（基于经纬度）'!F91</f>
        <v>0.000578153670361845</v>
      </c>
      <c r="D26" s="13">
        <f>'空间地理距离矩阵（基于经纬度）'!G91</f>
        <v>0.000578864658305187</v>
      </c>
      <c r="E26" s="13">
        <f>'空间地理距离矩阵（基于经纬度）'!H91</f>
        <v>0.000668984868012902</v>
      </c>
      <c r="F26" s="13">
        <f>'空间地理距离矩阵（基于经纬度）'!I91</f>
        <v>0.000733009296131364</v>
      </c>
      <c r="G26" s="13">
        <f>'空间地理距离矩阵（基于经纬度）'!J91</f>
        <v>0.000610093044987516</v>
      </c>
      <c r="H26" s="13">
        <f>'空间地理距离矩阵（基于经纬度）'!K91</f>
        <v>0.000437879779209783</v>
      </c>
      <c r="I26" s="13">
        <f>'空间地理距离矩阵（基于经纬度）'!L91</f>
        <v>0.000391265131744443</v>
      </c>
      <c r="J26" s="13">
        <f>'空间地理距离矩阵（基于经纬度）'!M91</f>
        <v>0.000361295956354776</v>
      </c>
      <c r="K26" s="13">
        <f>'空间地理距离矩阵（基于经纬度）'!N91</f>
        <v>0.000647434979861748</v>
      </c>
      <c r="L26" s="13">
        <f>'空间地理距离矩阵（基于经纬度）'!O91</f>
        <v>0.000752594212956945</v>
      </c>
      <c r="M26" s="13">
        <f>'空间地理距离矩阵（基于经纬度）'!P91</f>
        <v>0.000711366363089151</v>
      </c>
      <c r="N26" s="13">
        <f>'空间地理距离矩阵（基于经纬度）'!Q91</f>
        <v>0.00083744028018468</v>
      </c>
      <c r="O26" s="13">
        <f>'空间地理距离矩阵（基于经纬度）'!R91</f>
        <v>0.000784663879390052</v>
      </c>
      <c r="P26" s="13">
        <f>'空间地理距离矩阵（基于经纬度）'!S91</f>
        <v>0.00107450040356832</v>
      </c>
      <c r="Q26" s="13">
        <f>'空间地理距离矩阵（基于经纬度）'!T91</f>
        <v>0.000665703384031569</v>
      </c>
      <c r="R26" s="13">
        <f>'空间地理距离矩阵（基于经纬度）'!U91</f>
        <v>0.000889987048549379</v>
      </c>
      <c r="S26" s="13">
        <f>'空间地理距离矩阵（基于经纬度）'!V91</f>
        <v>0.00113657179534958</v>
      </c>
      <c r="T26" s="13">
        <f>'空间地理距离矩阵（基于经纬度）'!W91</f>
        <v>0.0015586009773286</v>
      </c>
      <c r="U26" s="13">
        <f>'空间地理距离矩阵（基于经纬度）'!X91</f>
        <v>0.00129749870939978</v>
      </c>
      <c r="V26" s="13">
        <f>'空间地理距离矩阵（基于经纬度）'!Y91</f>
        <v>0.00214290412975668</v>
      </c>
      <c r="W26" s="13">
        <f>'空间地理距离矩阵（基于经纬度）'!Z91</f>
        <v>0.00124425783182371</v>
      </c>
      <c r="X26" s="13">
        <f>'空间地理距离矩阵（基于经纬度）'!AA91</f>
        <v>0.00277106925426986</v>
      </c>
      <c r="Y26" s="13">
        <f>'空间地理距离矩阵（基于经纬度）'!AB91</f>
        <v>0.0019704246851561</v>
      </c>
      <c r="Z26" s="13">
        <f>'空间地理距离矩阵（基于经纬度）'!AC91</f>
        <v>0</v>
      </c>
      <c r="AA26" s="13">
        <f>'空间地理距离矩阵（基于经纬度）'!AD91</f>
        <v>0.00234246514662502</v>
      </c>
      <c r="AB26" s="13">
        <f>'空间地理距离矩阵（基于经纬度）'!AE91</f>
        <v>0.00064758338340843</v>
      </c>
      <c r="AC26" s="13">
        <f>'空间地理距离矩阵（基于经纬度）'!AF91</f>
        <v>0.00111774162677594</v>
      </c>
      <c r="AD26" s="13">
        <f>'空间地理距离矩阵（基于经纬度）'!AG91</f>
        <v>0.000898032529388144</v>
      </c>
      <c r="AE26" s="13">
        <f>'空间地理距离矩阵（基于经纬度）'!AH91</f>
        <v>0.000825929338719596</v>
      </c>
      <c r="AF26" s="13">
        <f>'空间地理距离矩阵（基于经纬度）'!AI91</f>
        <v>0.000753485755818083</v>
      </c>
      <c r="AG26" s="13">
        <f>'空间地理距离矩阵（基于经纬度）'!AJ91</f>
        <v>0.000389633493149046</v>
      </c>
    </row>
    <row r="27" spans="1:33">
      <c r="A27" s="13"/>
      <c r="B27" s="13" t="s">
        <v>24</v>
      </c>
      <c r="C27" s="13">
        <f>'空间地理距离矩阵（基于经纬度）'!F92</f>
        <v>0.000483482562888557</v>
      </c>
      <c r="D27" s="13">
        <f>'空间地理距离矩阵（基于经纬度）'!G92</f>
        <v>0.000480973108423049</v>
      </c>
      <c r="E27" s="13">
        <f>'空间地理距离矩阵（基于经纬度）'!H92</f>
        <v>0.000546711117040654</v>
      </c>
      <c r="F27" s="13">
        <f>'空间地理距离矩阵（基于经纬度）'!I92</f>
        <v>0.000595810786648438</v>
      </c>
      <c r="G27" s="13">
        <f>'空间地理距离矩阵（基于经纬度）'!J92</f>
        <v>0.000523248929937114</v>
      </c>
      <c r="H27" s="13">
        <f>'空间地理距离矩阵（基于经纬度）'!K92</f>
        <v>0.000376972427333154</v>
      </c>
      <c r="I27" s="13">
        <f>'空间地理距离矩阵（基于经纬度）'!L92</f>
        <v>0.000342663280044466</v>
      </c>
      <c r="J27" s="13">
        <f>'空间地理距离矩阵（基于经纬度）'!M92</f>
        <v>0.000320328308110439</v>
      </c>
      <c r="K27" s="13">
        <f>'空间地理距离矩阵（基于经纬度）'!N92</f>
        <v>0.000507513089884011</v>
      </c>
      <c r="L27" s="13">
        <f>'空间地理距离矩阵（基于经纬度）'!O92</f>
        <v>0.000571962570933543</v>
      </c>
      <c r="M27" s="13">
        <f>'空间地理距离矩阵（基于经纬度）'!P92</f>
        <v>0.000545698191711284</v>
      </c>
      <c r="N27" s="13">
        <f>'空间地理距离矩阵（基于经纬度）'!Q92</f>
        <v>0.000619639188843514</v>
      </c>
      <c r="O27" s="13">
        <f>'空间地理距离矩阵（基于经纬度）'!R92</f>
        <v>0.000593139274506525</v>
      </c>
      <c r="P27" s="13">
        <f>'空间地理距离矩阵（基于经纬度）'!S92</f>
        <v>0.000736807564715296</v>
      </c>
      <c r="Q27" s="13">
        <f>'空间地理距离矩阵（基于经纬度）'!T92</f>
        <v>0.000532235258408874</v>
      </c>
      <c r="R27" s="13">
        <f>'空间地理距离矩阵（基于经纬度）'!U92</f>
        <v>0.000671170134752788</v>
      </c>
      <c r="S27" s="13">
        <f>'空间地理距离矩阵（基于经纬度）'!V92</f>
        <v>0.000769690687722704</v>
      </c>
      <c r="T27" s="13">
        <f>'空间地理距离矩阵（基于经纬度）'!W92</f>
        <v>0.000935891035499673</v>
      </c>
      <c r="U27" s="13">
        <f>'空间地理距离矩阵（基于经纬度）'!X92</f>
        <v>0.000900119894277342</v>
      </c>
      <c r="V27" s="13">
        <f>'空间地理距离矩阵（基于经纬度）'!Y92</f>
        <v>0.00153091506253217</v>
      </c>
      <c r="W27" s="13">
        <f>'空间地理距离矩阵（基于经纬度）'!Z92</f>
        <v>0.00102517803581798</v>
      </c>
      <c r="X27" s="13">
        <f>'空间地理距离矩阵（基于经纬度）'!AA92</f>
        <v>0.0015385782028703</v>
      </c>
      <c r="Y27" s="13">
        <f>'空间地理距离矩阵（基于经纬度）'!AB92</f>
        <v>0.00161907223540333</v>
      </c>
      <c r="Z27" s="13">
        <f>'空间地理距离矩阵（基于经纬度）'!AC92</f>
        <v>0.00234246514662502</v>
      </c>
      <c r="AA27" s="13">
        <f>'空间地理距离矩阵（基于经纬度）'!AD92</f>
        <v>0</v>
      </c>
      <c r="AB27" s="13">
        <f>'空间地理距离矩阵（基于经纬度）'!AE92</f>
        <v>0.000819142179072204</v>
      </c>
      <c r="AC27" s="13">
        <f>'空间地理距离矩阵（基于经纬度）'!AF92</f>
        <v>0.000849492387396039</v>
      </c>
      <c r="AD27" s="13">
        <f>'空间地理距离矩阵（基于经纬度）'!AG92</f>
        <v>0.000813702790403765</v>
      </c>
      <c r="AE27" s="13">
        <f>'空间地理距离矩阵（基于经纬度）'!AH92</f>
        <v>0.000790166689328382</v>
      </c>
      <c r="AF27" s="13">
        <f>'空间地理距离矩阵（基于经纬度）'!AI92</f>
        <v>0.000660322369555232</v>
      </c>
      <c r="AG27" s="13">
        <f>'空间地理距离矩阵（基于经纬度）'!AJ92</f>
        <v>0.000405640281001294</v>
      </c>
    </row>
    <row r="28" spans="1:33">
      <c r="A28" s="13"/>
      <c r="B28" s="13" t="s">
        <v>25</v>
      </c>
      <c r="C28" s="13">
        <f>'空间地理距离矩阵（基于经纬度）'!F93</f>
        <v>0.000391184843361474</v>
      </c>
      <c r="D28" s="13">
        <f>'空间地理距离矩阵（基于经纬度）'!G93</f>
        <v>0.000382977153953863</v>
      </c>
      <c r="E28" s="13">
        <f>'空间地理距离矩阵（基于经纬度）'!H93</f>
        <v>0.000426644967925435</v>
      </c>
      <c r="F28" s="13">
        <f>'空间地理距离矩阵（基于经纬度）'!I93</f>
        <v>0.000462425798899447</v>
      </c>
      <c r="G28" s="13">
        <f>'空间地理距离矩阵（基于经纬度）'!J93</f>
        <v>0.000451066067186916</v>
      </c>
      <c r="H28" s="13">
        <f>'空间地理距离矩阵（基于经纬度）'!K93</f>
        <v>0.000313873859316345</v>
      </c>
      <c r="I28" s="13">
        <f>'空间地理距离矩阵（基于经纬度）'!L93</f>
        <v>0.000294092994879609</v>
      </c>
      <c r="J28" s="13">
        <f>'空间地理距离矩阵（基于经纬度）'!M93</f>
        <v>0.000281609762683737</v>
      </c>
      <c r="K28" s="13">
        <f>'空间地理距离矩阵（基于经纬度）'!N93</f>
        <v>0.000344841443329906</v>
      </c>
      <c r="L28" s="13">
        <f>'空间地理距离矩阵（基于经纬度）'!O93</f>
        <v>0.000380589476803687</v>
      </c>
      <c r="M28" s="13">
        <f>'空间地理距离矩阵（基于经纬度）'!P93</f>
        <v>0.000357716092136178</v>
      </c>
      <c r="N28" s="13">
        <f>'空间地理距离矩阵（基于经纬度）'!Q93</f>
        <v>0.000398951943084818</v>
      </c>
      <c r="O28" s="13">
        <f>'空间地理距离矩阵（基于经纬度）'!R93</f>
        <v>0.0003590318705939</v>
      </c>
      <c r="P28" s="13">
        <f>'空间地理距离矩阵（基于经纬度）'!S93</f>
        <v>0.000419986329951501</v>
      </c>
      <c r="Q28" s="13">
        <f>'空间地理距离矩阵（基于经纬度）'!T93</f>
        <v>0.000394705249427379</v>
      </c>
      <c r="R28" s="13">
        <f>'空间地理距离矩阵（基于经纬度）'!U93</f>
        <v>0.00045969021145134</v>
      </c>
      <c r="S28" s="13">
        <f>'空间地理距离矩阵（基于经纬度）'!V93</f>
        <v>0.000449354247875988</v>
      </c>
      <c r="T28" s="13">
        <f>'空间地理距离矩阵（基于经纬度）'!W93</f>
        <v>0.000476410289872827</v>
      </c>
      <c r="U28" s="13">
        <f>'空间地理距离矩阵（基于经纬度）'!X93</f>
        <v>0.000433606672618894</v>
      </c>
      <c r="V28" s="13">
        <f>'空间地理距离矩阵（基于经纬度）'!Y93</f>
        <v>0.00053365189695995</v>
      </c>
      <c r="W28" s="13">
        <f>'空间地理距离矩阵（基于经纬度）'!Z93</f>
        <v>0.000456274338747288</v>
      </c>
      <c r="X28" s="13">
        <f>'空间地理距离矩阵（基于经纬度）'!AA93</f>
        <v>0.000668901567220471</v>
      </c>
      <c r="Y28" s="13">
        <f>'空间地理距离矩阵（基于经纬度）'!AB93</f>
        <v>0.000798176569835025</v>
      </c>
      <c r="Z28" s="13">
        <f>'空间地理距离矩阵（基于经纬度）'!AC93</f>
        <v>0.00064758338340843</v>
      </c>
      <c r="AA28" s="13">
        <f>'空间地理距离矩阵（基于经纬度）'!AD93</f>
        <v>0.000819142179072204</v>
      </c>
      <c r="AB28" s="13">
        <f>'空间地理距离矩阵（基于经纬度）'!AE93</f>
        <v>0</v>
      </c>
      <c r="AC28" s="13">
        <f>'空间地理距离矩阵（基于经纬度）'!AF93</f>
        <v>0.000576968312105499</v>
      </c>
      <c r="AD28" s="13">
        <f>'空间地理距离矩阵（基于经纬度）'!AG93</f>
        <v>0.000727289960841335</v>
      </c>
      <c r="AE28" s="13">
        <f>'空间地理距离矩阵（基于经纬度）'!AH93</f>
        <v>0.000805818970592094</v>
      </c>
      <c r="AF28" s="13">
        <f>'空间地理距离矩阵（基于经纬度）'!AI93</f>
        <v>0.000587298111173288</v>
      </c>
      <c r="AG28" s="13">
        <f>'空间地理距离矩阵（基于经纬度）'!AJ93</f>
        <v>0.000625795269504079</v>
      </c>
    </row>
    <row r="29" spans="1:33">
      <c r="A29" s="13"/>
      <c r="B29" s="13" t="s">
        <v>26</v>
      </c>
      <c r="C29" s="13">
        <f>'空间地理距离矩阵（基于经纬度）'!F94</f>
        <v>0.00110149105409593</v>
      </c>
      <c r="D29" s="13">
        <f>'空间地理距离矩阵（基于经纬度）'!G94</f>
        <v>0.00106957539731319</v>
      </c>
      <c r="E29" s="13">
        <f>'空间地理距离矩阵（基于经纬度）'!H94</f>
        <v>0.00149235635766363</v>
      </c>
      <c r="F29" s="13">
        <f>'空间地理距离矩阵（基于经纬度）'!I94</f>
        <v>0.00197747545393706</v>
      </c>
      <c r="G29" s="13">
        <f>'空间地理距离矩阵（基于经纬度）'!J94</f>
        <v>0.0013405781480492</v>
      </c>
      <c r="H29" s="13">
        <f>'空间地理距离矩阵（基于经纬度）'!K94</f>
        <v>0.00065672685310053</v>
      </c>
      <c r="I29" s="13">
        <f>'空间地理距离矩阵（基于经纬度）'!L94</f>
        <v>0.000563934965994195</v>
      </c>
      <c r="J29" s="13">
        <f>'空间地理距离矩阵（基于经纬度）'!M94</f>
        <v>0.000509125654874927</v>
      </c>
      <c r="K29" s="13">
        <f>'空间地理距离矩阵（基于经纬度）'!N94</f>
        <v>0.000807761874595789</v>
      </c>
      <c r="L29" s="13">
        <f>'空间地理距离矩阵（基于经纬度）'!O94</f>
        <v>0.00105029254269202</v>
      </c>
      <c r="M29" s="13">
        <f>'空间地理距离矩阵（基于经纬度）'!P94</f>
        <v>0.000851989196003336</v>
      </c>
      <c r="N29" s="13">
        <f>'空间地理距离矩阵（基于经纬度）'!Q94</f>
        <v>0.00116775131626679</v>
      </c>
      <c r="O29" s="13">
        <f>'空间地理距离矩阵（基于经纬度）'!R94</f>
        <v>0.000733875976875797</v>
      </c>
      <c r="P29" s="13">
        <f>'空间地理距离矩阵（基于经纬度）'!S94</f>
        <v>0.00108300712212819</v>
      </c>
      <c r="Q29" s="13">
        <f>'空间地理距离矩阵（基于经纬度）'!T94</f>
        <v>0.00124236393169602</v>
      </c>
      <c r="R29" s="13">
        <f>'空间地理距离矩阵（基于经纬度）'!U94</f>
        <v>0.00224605578236888</v>
      </c>
      <c r="S29" s="13">
        <f>'空间地理距离矩阵（基于经纬度）'!V94</f>
        <v>0.0014769155820239</v>
      </c>
      <c r="T29" s="13">
        <f>'空间地理距离矩阵（基于经纬度）'!W94</f>
        <v>0.00129101661098275</v>
      </c>
      <c r="U29" s="13">
        <f>'空间地理距离矩阵（基于经纬度）'!X94</f>
        <v>0.00076198186685415</v>
      </c>
      <c r="V29" s="13">
        <f>'空间地理距离矩阵（基于经纬度）'!Y94</f>
        <v>0.000768127687154828</v>
      </c>
      <c r="W29" s="13">
        <f>'空间地理距离矩阵（基于经纬度）'!Z94</f>
        <v>0.000631563263633847</v>
      </c>
      <c r="X29" s="13">
        <f>'空间地理距离矩阵（基于经纬度）'!AA94</f>
        <v>0.00183579046869581</v>
      </c>
      <c r="Y29" s="13">
        <f>'空间地理距离矩阵（基于经纬度）'!AB94</f>
        <v>0.00167199616528058</v>
      </c>
      <c r="Z29" s="13">
        <f>'空间地理距离矩阵（基于经纬度）'!AC94</f>
        <v>0.00111774162677594</v>
      </c>
      <c r="AA29" s="13">
        <f>'空间地理距离矩阵（基于经纬度）'!AD94</f>
        <v>0.000849492387396039</v>
      </c>
      <c r="AB29" s="13">
        <f>'空间地理距离矩阵（基于经纬度）'!AE94</f>
        <v>0.000576968312105499</v>
      </c>
      <c r="AC29" s="13">
        <f>'空间地理距离矩阵（基于经纬度）'!AF94</f>
        <v>0</v>
      </c>
      <c r="AD29" s="13">
        <f>'空间地理距离矩阵（基于经纬度）'!AG94</f>
        <v>0.00197797726473579</v>
      </c>
      <c r="AE29" s="13">
        <f>'空间地理距离矩阵（基于经纬度）'!AH94</f>
        <v>0.00145033978468407</v>
      </c>
      <c r="AF29" s="13">
        <f>'空间地理距离矩阵（基于经纬度）'!AI94</f>
        <v>0.00197988754673144</v>
      </c>
      <c r="AG29" s="13">
        <f>'空间地理距离矩阵（基于经纬度）'!AJ94</f>
        <v>0.000475913280213212</v>
      </c>
    </row>
    <row r="30" spans="1:33">
      <c r="A30" s="13"/>
      <c r="B30" s="13" t="s">
        <v>27</v>
      </c>
      <c r="C30" s="13">
        <f>'空间地理距离矩阵（基于经纬度）'!F95</f>
        <v>0.000844065741156431</v>
      </c>
      <c r="D30" s="13">
        <f>'空间地理距离矩阵（基于经纬度）'!G95</f>
        <v>0.000803158387810841</v>
      </c>
      <c r="E30" s="13">
        <f>'空间地理距离矩阵（基于经纬度）'!H95</f>
        <v>0.00101700405704846</v>
      </c>
      <c r="F30" s="13">
        <f>'空间地理距离矩阵（基于经纬度）'!I95</f>
        <v>0.00124455200265685</v>
      </c>
      <c r="G30" s="13">
        <f>'空间地理距离矩阵（基于经纬度）'!J95</f>
        <v>0.00117837595005099</v>
      </c>
      <c r="H30" s="13">
        <f>'空间地理距离矩阵（基于经纬度）'!K95</f>
        <v>0.00055173760528309</v>
      </c>
      <c r="I30" s="13">
        <f>'空间地理距离矩阵（基于经纬度）'!L95</f>
        <v>0.000493620857572507</v>
      </c>
      <c r="J30" s="13">
        <f>'空间地理距离矩阵（基于经纬度）'!M95</f>
        <v>0.000458282282150437</v>
      </c>
      <c r="K30" s="13">
        <f>'空间地理距离矩阵（基于经纬度）'!N95</f>
        <v>0.000576828621021383</v>
      </c>
      <c r="L30" s="13">
        <f>'空间地理距离矩阵（基于经纬度）'!O95</f>
        <v>0.000690708570532895</v>
      </c>
      <c r="M30" s="13">
        <f>'空间地理距离矩阵（基于经纬度）'!P95</f>
        <v>0.00059631728436694</v>
      </c>
      <c r="N30" s="13">
        <f>'空间地理距离矩阵（基于经纬度）'!Q95</f>
        <v>0.000735932956750377</v>
      </c>
      <c r="O30" s="13">
        <f>'空间地理距离矩阵（基于经纬度）'!R95</f>
        <v>0.000538006902329236</v>
      </c>
      <c r="P30" s="13">
        <f>'空间地理距离矩阵（基于经纬度）'!S95</f>
        <v>0.000706482103629276</v>
      </c>
      <c r="Q30" s="13">
        <f>'空间地理距离矩阵（基于经纬度）'!T95</f>
        <v>0.00082563279430218</v>
      </c>
      <c r="R30" s="13">
        <f>'空间地理距离矩阵（基于经纬度）'!U95</f>
        <v>0.00109206391951542</v>
      </c>
      <c r="S30" s="13">
        <f>'空间地理距离矩阵（基于经纬度）'!V95</f>
        <v>0.000849839188765441</v>
      </c>
      <c r="T30" s="13">
        <f>'空间地理距离矩阵（基于经纬度）'!W95</f>
        <v>0.000814368808967742</v>
      </c>
      <c r="U30" s="13">
        <f>'空间地理距离矩阵（基于经纬度）'!X95</f>
        <v>0.000582900187906884</v>
      </c>
      <c r="V30" s="13">
        <f>'空间地理距离矩阵（基于经纬度）'!Y95</f>
        <v>0.000634580457634343</v>
      </c>
      <c r="W30" s="13">
        <f>'空间地理距离矩阵（基于经纬度）'!Z95</f>
        <v>0.000526522476798947</v>
      </c>
      <c r="X30" s="13">
        <f>'空间地理距离矩阵（基于经纬度）'!AA95</f>
        <v>0.00129563236875281</v>
      </c>
      <c r="Y30" s="13">
        <f>'空间地理距离矩阵（基于经纬度）'!AB95</f>
        <v>0.00158785186042867</v>
      </c>
      <c r="Z30" s="13">
        <f>'空间地理距离矩阵（基于经纬度）'!AC95</f>
        <v>0.000898032529388144</v>
      </c>
      <c r="AA30" s="13">
        <f>'空间地理距离矩阵（基于经纬度）'!AD95</f>
        <v>0.000813702790403765</v>
      </c>
      <c r="AB30" s="13">
        <f>'空间地理距离矩阵（基于经纬度）'!AE95</f>
        <v>0.000727289960841335</v>
      </c>
      <c r="AC30" s="13">
        <f>'空间地理距离矩阵（基于经纬度）'!AF95</f>
        <v>0.00197797726473579</v>
      </c>
      <c r="AD30" s="13">
        <f>'空间地理距离矩阵（基于经纬度）'!AG95</f>
        <v>0</v>
      </c>
      <c r="AE30" s="13">
        <f>'空间地理距离矩阵（基于经纬度）'!AH95</f>
        <v>0.00537007263221573</v>
      </c>
      <c r="AF30" s="13">
        <f>'空间地理距离矩阵（基于经纬度）'!AI95</f>
        <v>0.0029249962421969</v>
      </c>
      <c r="AG30" s="13">
        <f>'空间地理距离矩阵（基于经纬度）'!AJ95</f>
        <v>0.000622823217323636</v>
      </c>
    </row>
    <row r="31" spans="1:33">
      <c r="A31" s="13"/>
      <c r="B31" s="13" t="s">
        <v>28</v>
      </c>
      <c r="C31" s="13">
        <f>'空间地理距离矩阵（基于经纬度）'!F96</f>
        <v>0.000745804752497066</v>
      </c>
      <c r="D31" s="13">
        <f>'空间地理距离矩阵（基于经纬度）'!G96</f>
        <v>0.000710904664964182</v>
      </c>
      <c r="E31" s="13">
        <f>'空间地理距离矩阵（基于经纬度）'!H96</f>
        <v>0.000869296361882544</v>
      </c>
      <c r="F31" s="13">
        <f>'空间地理距离矩阵（基于经纬度）'!I96</f>
        <v>0.0010275797793672</v>
      </c>
      <c r="G31" s="13">
        <f>'空间地理距离矩阵（基于经纬度）'!J96</f>
        <v>0.0010224729203572</v>
      </c>
      <c r="H31" s="13">
        <f>'空间地理距离矩阵（基于经纬度）'!K96</f>
        <v>0.000509482417035704</v>
      </c>
      <c r="I31" s="13">
        <f>'空间地理距离矩阵（基于经纬度）'!L96</f>
        <v>0.000461887741305844</v>
      </c>
      <c r="J31" s="13">
        <f>'空间地理距离矩阵（基于经纬度）'!M96</f>
        <v>0.000432785818460077</v>
      </c>
      <c r="K31" s="13">
        <f>'空间地理距离矩阵（基于经纬度）'!N96</f>
        <v>0.000520883751259508</v>
      </c>
      <c r="L31" s="13">
        <f>'空间地理距离矩阵（基于经纬度）'!O96</f>
        <v>0.000612009073558352</v>
      </c>
      <c r="M31" s="13">
        <f>'空间地理距离矩阵（基于经纬度）'!P96</f>
        <v>0.000536973973267519</v>
      </c>
      <c r="N31" s="13">
        <f>'空间地理距离矩阵（基于经纬度）'!Q96</f>
        <v>0.000647547216587198</v>
      </c>
      <c r="O31" s="13">
        <f>'空间地理距离矩阵（基于经纬度）'!R96</f>
        <v>0.000491492284714867</v>
      </c>
      <c r="P31" s="13">
        <f>'空间地理距离矩阵（基于经纬度）'!S96</f>
        <v>0.000628740196309969</v>
      </c>
      <c r="Q31" s="13">
        <f>'空间地理距离矩阵（基于经纬度）'!T96</f>
        <v>0.000719792709240253</v>
      </c>
      <c r="R31" s="13">
        <f>'空间地理距离矩阵（基于经纬度）'!U96</f>
        <v>0.000907845035337164</v>
      </c>
      <c r="S31" s="13">
        <f>'空间地理距离矩阵（基于经纬度）'!V96</f>
        <v>0.000737629625763466</v>
      </c>
      <c r="T31" s="13">
        <f>'空间地理距离矩阵（基于经纬度）'!W96</f>
        <v>0.000718994761224294</v>
      </c>
      <c r="U31" s="13">
        <f>'空间地理距离矩阵（基于经纬度）'!X96</f>
        <v>0.000538372562713496</v>
      </c>
      <c r="V31" s="13">
        <f>'空间地理距离矩阵（基于经纬度）'!Y96</f>
        <v>0.000596193012441093</v>
      </c>
      <c r="W31" s="13">
        <f>'空间地理距离矩阵（基于经纬度）'!Z96</f>
        <v>0.000497577631233818</v>
      </c>
      <c r="X31" s="13">
        <f>'空间地理距离矩阵（基于经纬度）'!AA96</f>
        <v>0.00112228920717818</v>
      </c>
      <c r="Y31" s="13">
        <f>'空间地理距离矩阵（基于经纬度）'!AB96</f>
        <v>0.00141471135563845</v>
      </c>
      <c r="Z31" s="13">
        <f>'空间地理距离矩阵（基于经纬度）'!AC96</f>
        <v>0.000825929338719596</v>
      </c>
      <c r="AA31" s="13">
        <f>'空间地理距离矩阵（基于经纬度）'!AD96</f>
        <v>0.000790166689328382</v>
      </c>
      <c r="AB31" s="13">
        <f>'空间地理距离矩阵（基于经纬度）'!AE96</f>
        <v>0.000805818970592094</v>
      </c>
      <c r="AC31" s="13">
        <f>'空间地理距离矩阵（基于经纬度）'!AF96</f>
        <v>0.00145033978468407</v>
      </c>
      <c r="AD31" s="13">
        <f>'空间地理距离矩阵（基于经纬度）'!AG96</f>
        <v>0.00537007263221573</v>
      </c>
      <c r="AE31" s="13">
        <f>'空间地理距离矩阵（基于经纬度）'!AH96</f>
        <v>0</v>
      </c>
      <c r="AF31" s="13">
        <f>'空间地理距离矩阵（基于经纬度）'!AI96</f>
        <v>0.00215253752386529</v>
      </c>
      <c r="AG31" s="13">
        <f>'空间地理距离矩阵（基于经纬度）'!AJ96</f>
        <v>0.000696033367300529</v>
      </c>
    </row>
    <row r="32" spans="1:33">
      <c r="A32" s="13"/>
      <c r="B32" s="13" t="s">
        <v>29</v>
      </c>
      <c r="C32" s="13">
        <f>'空间地理距离矩阵（基于经纬度）'!F97</f>
        <v>0.00113095226947689</v>
      </c>
      <c r="D32" s="13">
        <f>'空间地理距离矩阵（基于经纬度）'!G97</f>
        <v>0.00104604743111951</v>
      </c>
      <c r="E32" s="13">
        <f>'空间地理距离矩阵（基于经纬度）'!H97</f>
        <v>0.0014026143122248</v>
      </c>
      <c r="F32" s="13">
        <f>'空间地理距离矩阵（基于经纬度）'!I97</f>
        <v>0.00182516764170769</v>
      </c>
      <c r="G32" s="13">
        <f>'空间地理距离矩阵（基于经纬度）'!J97</f>
        <v>0.00194444399720696</v>
      </c>
      <c r="H32" s="13">
        <f>'空间地理距离矩阵（基于经纬度）'!K97</f>
        <v>0.000666494798619347</v>
      </c>
      <c r="I32" s="13">
        <f>'空间地理距离矩阵（基于经纬度）'!L97</f>
        <v>0.000588065887075927</v>
      </c>
      <c r="J32" s="13">
        <f>'空间地理距离矩阵（基于经纬度）'!M97</f>
        <v>0.000540986602875327</v>
      </c>
      <c r="K32" s="13">
        <f>'空间地理距离矩阵（基于经纬度）'!N97</f>
        <v>0.000627760359772842</v>
      </c>
      <c r="L32" s="13">
        <f>'空间地理距离矩阵（基于经纬度）'!O97</f>
        <v>0.000760010974026496</v>
      </c>
      <c r="M32" s="13">
        <f>'空间地理距离矩阵（基于经纬度）'!P97</f>
        <v>0.000638534487373326</v>
      </c>
      <c r="N32" s="13">
        <f>'空间地理距离矩阵（基于经纬度）'!Q97</f>
        <v>0.000797757500706102</v>
      </c>
      <c r="O32" s="13">
        <f>'空间地理距离矩阵（基于经纬度）'!R97</f>
        <v>0.000547035924402244</v>
      </c>
      <c r="P32" s="13">
        <f>'空间地理距离矩阵（基于经纬度）'!S97</f>
        <v>0.000713368359604855</v>
      </c>
      <c r="Q32" s="13">
        <f>'空间地理距离矩阵（基于经纬度）'!T97</f>
        <v>0.00101920561240813</v>
      </c>
      <c r="R32" s="13">
        <f>'空间地理距离矩阵（基于经纬度）'!U97</f>
        <v>0.00129046751436957</v>
      </c>
      <c r="S32" s="13">
        <f>'空间地理距离矩阵（基于经纬度）'!V97</f>
        <v>0.000871233873276873</v>
      </c>
      <c r="T32" s="13">
        <f>'空间地理距离矩阵（基于经纬度）'!W97</f>
        <v>0.00078249192085557</v>
      </c>
      <c r="U32" s="13">
        <f>'空间地理距离矩阵（基于经纬度）'!X97</f>
        <v>0.000550446898520762</v>
      </c>
      <c r="V32" s="13">
        <f>'空间地理距离矩阵（基于经纬度）'!Y97</f>
        <v>0.000565485407904094</v>
      </c>
      <c r="W32" s="13">
        <f>'空间地理距离矩阵（基于经纬度）'!Z97</f>
        <v>0.000483416830467425</v>
      </c>
      <c r="X32" s="13">
        <f>'空间地理距离矩阵（基于经纬度）'!AA97</f>
        <v>0.00103423621597486</v>
      </c>
      <c r="Y32" s="13">
        <f>'空间地理距离矩阵（基于经纬度）'!AB97</f>
        <v>0.00111429933411013</v>
      </c>
      <c r="Z32" s="13">
        <f>'空间地理距离矩阵（基于经纬度）'!AC97</f>
        <v>0.000753485755818083</v>
      </c>
      <c r="AA32" s="13">
        <f>'空间地理距离矩阵（基于经纬度）'!AD97</f>
        <v>0.000660322369555232</v>
      </c>
      <c r="AB32" s="13">
        <f>'空间地理距离矩阵（基于经纬度）'!AE97</f>
        <v>0.000587298111173288</v>
      </c>
      <c r="AC32" s="13">
        <f>'空间地理距离矩阵（基于经纬度）'!AF97</f>
        <v>0.00197988754673144</v>
      </c>
      <c r="AD32" s="13">
        <f>'空间地理距离矩阵（基于经纬度）'!AG97</f>
        <v>0.0029249962421969</v>
      </c>
      <c r="AE32" s="13">
        <f>'空间地理距离矩阵（基于经纬度）'!AH97</f>
        <v>0.00215253752386529</v>
      </c>
      <c r="AF32" s="13">
        <f>'空间地理距离矩阵（基于经纬度）'!AI97</f>
        <v>0</v>
      </c>
      <c r="AG32" s="13">
        <f>'空间地理距离矩阵（基于经纬度）'!AJ97</f>
        <v>0.000595211681664047</v>
      </c>
    </row>
    <row r="33" spans="1:33">
      <c r="A33" s="13"/>
      <c r="B33" s="13" t="s">
        <v>30</v>
      </c>
      <c r="C33" s="13">
        <f>'空间地理距离矩阵（基于经纬度）'!F98</f>
        <v>0.000410849937379194</v>
      </c>
      <c r="D33" s="13">
        <f>'空间地理距离矩阵（基于经纬度）'!G98</f>
        <v>0.000395952025107518</v>
      </c>
      <c r="E33" s="13">
        <f>'空间地理距离矩阵（基于经纬度）'!H98</f>
        <v>0.000427336393100894</v>
      </c>
      <c r="F33" s="13">
        <f>'空间地理距离矩阵（基于经纬度）'!I98</f>
        <v>0.00045368184054175</v>
      </c>
      <c r="G33" s="13">
        <f>'空间地理距离矩阵（基于经纬度）'!J98</f>
        <v>0.000497340080139926</v>
      </c>
      <c r="H33" s="13">
        <f>'空间地理距离矩阵（基于经纬度）'!K98</f>
        <v>0.000340994389517465</v>
      </c>
      <c r="I33" s="13">
        <f>'空间地理距离矩阵（基于经纬度）'!L98</f>
        <v>0.000330231680868361</v>
      </c>
      <c r="J33" s="13">
        <f>'空间地理距离矩阵（基于经纬度）'!M98</f>
        <v>0.000325000294326347</v>
      </c>
      <c r="K33" s="13">
        <f>'空间地理距离矩阵（基于经纬度）'!N98</f>
        <v>0.000305532311018071</v>
      </c>
      <c r="L33" s="13">
        <f>'空间地理距离矩阵（基于经纬度）'!O98</f>
        <v>0.000333852897082765</v>
      </c>
      <c r="M33" s="13">
        <f>'空间地理距离矩阵（基于经纬度）'!P98</f>
        <v>0.000308355459727848</v>
      </c>
      <c r="N33" s="13">
        <f>'空间地理距离矩阵（基于经纬度）'!Q98</f>
        <v>0.000341604575918463</v>
      </c>
      <c r="O33" s="13">
        <f>'空间地理距离矩阵（基于经纬度）'!R98</f>
        <v>0.000288792670179479</v>
      </c>
      <c r="P33" s="13">
        <f>'空间地理距离矩阵（基于经纬度）'!S98</f>
        <v>0.000331078352866442</v>
      </c>
      <c r="Q33" s="13">
        <f>'空间地理距离矩阵（基于经纬度）'!T98</f>
        <v>0.000379756572288916</v>
      </c>
      <c r="R33" s="13">
        <f>'空间地理距离矩阵（基于经纬度）'!U98</f>
        <v>0.000407665239358829</v>
      </c>
      <c r="S33" s="13">
        <f>'空间地理距离矩阵（基于经纬度）'!V98</f>
        <v>0.000359958780919733</v>
      </c>
      <c r="T33" s="13">
        <f>'空间地理距离矩阵（基于经纬度）'!W98</f>
        <v>0.000353670334270737</v>
      </c>
      <c r="U33" s="13">
        <f>'空间地理距离矩阵（基于经纬度）'!X98</f>
        <v>0.000305277733940193</v>
      </c>
      <c r="V33" s="13">
        <f>'空间地理距离矩阵（基于经纬度）'!Y98</f>
        <v>0.00033103421904057</v>
      </c>
      <c r="W33" s="13">
        <f>'空间地理距离矩阵（基于经纬度）'!Z98</f>
        <v>0.000297216474964048</v>
      </c>
      <c r="X33" s="13">
        <f>'空间地理距离矩阵（基于经纬度）'!AA98</f>
        <v>0.000435321464254087</v>
      </c>
      <c r="Y33" s="13">
        <f>'空间地理距离矩阵（基于经纬度）'!AB98</f>
        <v>0.00048323001459767</v>
      </c>
      <c r="Z33" s="13">
        <f>'空间地理距离矩阵（基于经纬度）'!AC98</f>
        <v>0.000389633493149046</v>
      </c>
      <c r="AA33" s="13">
        <f>'空间地理距离矩阵（基于经纬度）'!AD98</f>
        <v>0.000405640281001294</v>
      </c>
      <c r="AB33" s="13">
        <f>'空间地理距离矩阵（基于经纬度）'!AE98</f>
        <v>0.000625795269504079</v>
      </c>
      <c r="AC33" s="13">
        <f>'空间地理距离矩阵（基于经纬度）'!AF98</f>
        <v>0.000475913280213212</v>
      </c>
      <c r="AD33" s="13">
        <f>'空间地理距离矩阵（基于经纬度）'!AG98</f>
        <v>0.000622823217323636</v>
      </c>
      <c r="AE33" s="13">
        <f>'空间地理距离矩阵（基于经纬度）'!AH98</f>
        <v>0.000696033367300529</v>
      </c>
      <c r="AF33" s="13">
        <f>'空间地理距离矩阵（基于经纬度）'!AI98</f>
        <v>0.000595211681664047</v>
      </c>
      <c r="AG33" s="13">
        <f>'空间地理距离矩阵（基于经纬度）'!AJ98</f>
        <v>0</v>
      </c>
    </row>
    <row r="34" spans="1:33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 spans="1:33">
      <c r="A35" s="16" t="s">
        <v>57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 spans="1:34">
      <c r="A36" s="13"/>
      <c r="B36" s="13" t="s">
        <v>55</v>
      </c>
      <c r="C36" s="13" t="s">
        <v>0</v>
      </c>
      <c r="D36" s="13" t="s">
        <v>1</v>
      </c>
      <c r="E36" s="13" t="s">
        <v>2</v>
      </c>
      <c r="F36" s="13" t="s">
        <v>3</v>
      </c>
      <c r="G36" s="13" t="s">
        <v>4</v>
      </c>
      <c r="H36" s="13" t="s">
        <v>5</v>
      </c>
      <c r="I36" s="13" t="s">
        <v>6</v>
      </c>
      <c r="J36" s="13" t="s">
        <v>7</v>
      </c>
      <c r="K36" s="13" t="s">
        <v>8</v>
      </c>
      <c r="L36" s="13" t="s">
        <v>9</v>
      </c>
      <c r="M36" s="13" t="s">
        <v>10</v>
      </c>
      <c r="N36" s="13" t="s">
        <v>11</v>
      </c>
      <c r="O36" s="13" t="s">
        <v>12</v>
      </c>
      <c r="P36" s="13" t="s">
        <v>13</v>
      </c>
      <c r="Q36" s="13" t="s">
        <v>14</v>
      </c>
      <c r="R36" s="13" t="s">
        <v>15</v>
      </c>
      <c r="S36" s="13" t="s">
        <v>16</v>
      </c>
      <c r="T36" s="13" t="s">
        <v>17</v>
      </c>
      <c r="U36" s="13" t="s">
        <v>18</v>
      </c>
      <c r="V36" s="13" t="s">
        <v>19</v>
      </c>
      <c r="W36" s="13" t="s">
        <v>20</v>
      </c>
      <c r="X36" s="13" t="s">
        <v>21</v>
      </c>
      <c r="Y36" s="13" t="s">
        <v>22</v>
      </c>
      <c r="Z36" s="13" t="s">
        <v>23</v>
      </c>
      <c r="AA36" s="13" t="s">
        <v>24</v>
      </c>
      <c r="AB36" s="13" t="s">
        <v>25</v>
      </c>
      <c r="AC36" s="13" t="s">
        <v>26</v>
      </c>
      <c r="AD36" s="13" t="s">
        <v>27</v>
      </c>
      <c r="AE36" s="13" t="s">
        <v>28</v>
      </c>
      <c r="AF36" s="13" t="s">
        <v>29</v>
      </c>
      <c r="AG36" s="13" t="s">
        <v>30</v>
      </c>
      <c r="AH36" s="13" t="s">
        <v>56</v>
      </c>
    </row>
    <row r="37" spans="1:64">
      <c r="A37" s="13"/>
      <c r="B37" s="13" t="s">
        <v>0</v>
      </c>
      <c r="C37" s="13">
        <f t="shared" ref="C37:C67" si="0">C3*C3</f>
        <v>0</v>
      </c>
      <c r="D37" s="13">
        <f t="shared" ref="D37:AG37" si="1">D3*D3</f>
        <v>0.000108342489203785</v>
      </c>
      <c r="E37" s="13">
        <f t="shared" si="1"/>
        <v>1.74391175103777e-5</v>
      </c>
      <c r="F37" s="13">
        <f t="shared" si="1"/>
        <v>6.02754000398216e-6</v>
      </c>
      <c r="G37" s="13">
        <f t="shared" si="1"/>
        <v>5.54815338277715e-6</v>
      </c>
      <c r="H37" s="13">
        <f t="shared" si="1"/>
        <v>2.51369540070233e-6</v>
      </c>
      <c r="I37" s="13">
        <f t="shared" si="1"/>
        <v>1.32965769262304e-6</v>
      </c>
      <c r="J37" s="13">
        <f t="shared" si="1"/>
        <v>8.95298313572889e-7</v>
      </c>
      <c r="K37" s="13">
        <f t="shared" si="1"/>
        <v>9.21015651692689e-7</v>
      </c>
      <c r="L37" s="13">
        <f t="shared" si="1"/>
        <v>1.34984704831219e-6</v>
      </c>
      <c r="M37" s="13">
        <f t="shared" si="1"/>
        <v>8.22174310950011e-7</v>
      </c>
      <c r="N37" s="13">
        <f t="shared" si="1"/>
        <v>1.24048998879833e-6</v>
      </c>
      <c r="O37" s="13">
        <f t="shared" si="1"/>
        <v>4.28562893944257e-7</v>
      </c>
      <c r="P37" s="13">
        <f t="shared" si="1"/>
        <v>6.47389318035485e-7</v>
      </c>
      <c r="Q37" s="13">
        <f t="shared" si="1"/>
        <v>7.8488700673347e-6</v>
      </c>
      <c r="R37" s="13">
        <f t="shared" si="1"/>
        <v>2.5995333118572e-6</v>
      </c>
      <c r="S37" s="13">
        <f t="shared" si="1"/>
        <v>9.22198306326059e-7</v>
      </c>
      <c r="T37" s="13">
        <f t="shared" si="1"/>
        <v>5.77367939163203e-7</v>
      </c>
      <c r="U37" s="13">
        <f t="shared" si="1"/>
        <v>2.90091788946168e-7</v>
      </c>
      <c r="V37" s="13">
        <f t="shared" si="1"/>
        <v>2.38585523355129e-7</v>
      </c>
      <c r="W37" s="13">
        <f t="shared" si="1"/>
        <v>1.97606942126148e-7</v>
      </c>
      <c r="X37" s="13">
        <f t="shared" si="1"/>
        <v>4.96406402592566e-7</v>
      </c>
      <c r="Y37" s="13">
        <f t="shared" si="1"/>
        <v>4.40941650306123e-7</v>
      </c>
      <c r="Z37" s="13">
        <f t="shared" si="1"/>
        <v>3.34261666552873e-7</v>
      </c>
      <c r="AA37" s="13">
        <f t="shared" si="1"/>
        <v>2.33755388617288e-7</v>
      </c>
      <c r="AB37" s="13">
        <f t="shared" si="1"/>
        <v>1.53025581675741e-7</v>
      </c>
      <c r="AC37" s="13">
        <f t="shared" si="1"/>
        <v>1.21328254225336e-6</v>
      </c>
      <c r="AD37" s="13">
        <f t="shared" si="1"/>
        <v>7.12446975393955e-7</v>
      </c>
      <c r="AE37" s="13">
        <f t="shared" si="1"/>
        <v>5.5622472884721e-7</v>
      </c>
      <c r="AF37" s="13">
        <f t="shared" si="1"/>
        <v>1.27905303583493e-6</v>
      </c>
      <c r="AG37" s="13">
        <f t="shared" si="1"/>
        <v>1.68797671044487e-7</v>
      </c>
      <c r="AH37" s="13">
        <f t="shared" ref="AH37:AH67" si="2">SUM(C37:AG37)</f>
        <v>0.000165767880241781</v>
      </c>
      <c r="AI37" s="13">
        <v>0.000165767880241781</v>
      </c>
      <c r="AJ37" s="13">
        <v>0.000165767880241781</v>
      </c>
      <c r="AK37" s="13">
        <v>0.000165767880241781</v>
      </c>
      <c r="AL37" s="13">
        <v>0.000165767880241781</v>
      </c>
      <c r="AM37" s="13">
        <v>0.000165767880241781</v>
      </c>
      <c r="AN37" s="13">
        <v>0.000165767880241781</v>
      </c>
      <c r="AO37" s="13">
        <v>0.000165767880241781</v>
      </c>
      <c r="AP37" s="13">
        <v>0.000165767880241781</v>
      </c>
      <c r="AQ37" s="13">
        <v>0.000165767880241781</v>
      </c>
      <c r="AR37" s="13">
        <v>0.000165767880241781</v>
      </c>
      <c r="AS37" s="13">
        <v>0.000165767880241781</v>
      </c>
      <c r="AT37" s="13">
        <v>0.000165767880241781</v>
      </c>
      <c r="AU37" s="13">
        <v>0.000165767880241781</v>
      </c>
      <c r="AV37" s="13">
        <v>0.000165767880241781</v>
      </c>
      <c r="AW37" s="13">
        <v>0.000165767880241781</v>
      </c>
      <c r="AX37" s="13">
        <v>0.000165767880241781</v>
      </c>
      <c r="AY37" s="13">
        <v>0.000165767880241781</v>
      </c>
      <c r="AZ37" s="13">
        <v>0.000165767880241781</v>
      </c>
      <c r="BA37" s="13">
        <v>0.000165767880241781</v>
      </c>
      <c r="BB37" s="13">
        <v>0.000165767880241781</v>
      </c>
      <c r="BC37" s="13">
        <v>0.000165767880241781</v>
      </c>
      <c r="BD37" s="13">
        <v>0.000165767880241781</v>
      </c>
      <c r="BE37" s="13">
        <v>0.000165767880241781</v>
      </c>
      <c r="BF37" s="13">
        <v>0.000165767880241781</v>
      </c>
      <c r="BG37" s="13">
        <v>0.000165767880241781</v>
      </c>
      <c r="BH37" s="13">
        <v>0.000165767880241781</v>
      </c>
      <c r="BI37" s="13">
        <v>0.000165767880241781</v>
      </c>
      <c r="BJ37" s="13">
        <v>0.000165767880241781</v>
      </c>
      <c r="BK37" s="13">
        <v>0.000165767880241781</v>
      </c>
      <c r="BL37" s="13">
        <v>0.000165767880241781</v>
      </c>
    </row>
    <row r="38" spans="1:64">
      <c r="A38" s="13"/>
      <c r="B38" s="13" t="s">
        <v>1</v>
      </c>
      <c r="C38" s="13">
        <f t="shared" si="0"/>
        <v>0.000108342489203785</v>
      </c>
      <c r="D38" s="13">
        <f t="shared" ref="D38:AA38" si="3">D4*D4</f>
        <v>0</v>
      </c>
      <c r="E38" s="13">
        <f t="shared" si="3"/>
        <v>1.37536409293591e-5</v>
      </c>
      <c r="F38" s="13">
        <f t="shared" si="3"/>
        <v>4.94352936523095e-6</v>
      </c>
      <c r="G38" s="13">
        <f t="shared" si="3"/>
        <v>3.77174375177277e-6</v>
      </c>
      <c r="H38" s="13">
        <f t="shared" si="3"/>
        <v>2.89005942497191e-6</v>
      </c>
      <c r="I38" s="13">
        <f t="shared" si="3"/>
        <v>1.41274507186678e-6</v>
      </c>
      <c r="J38" s="13">
        <f t="shared" si="3"/>
        <v>9.1897391988728e-7</v>
      </c>
      <c r="K38" s="13">
        <f t="shared" si="3"/>
        <v>1.095030191421e-6</v>
      </c>
      <c r="L38" s="13">
        <f t="shared" si="3"/>
        <v>1.61243499452291e-6</v>
      </c>
      <c r="M38" s="13">
        <f t="shared" si="3"/>
        <v>9.55106571353451e-7</v>
      </c>
      <c r="N38" s="13">
        <f t="shared" si="3"/>
        <v>1.43454326743178e-6</v>
      </c>
      <c r="O38" s="13">
        <f t="shared" si="3"/>
        <v>4.71329066846624e-7</v>
      </c>
      <c r="P38" s="13">
        <f t="shared" si="3"/>
        <v>7.04895304734144e-7</v>
      </c>
      <c r="Q38" s="13">
        <f t="shared" si="3"/>
        <v>1.17402371430002e-5</v>
      </c>
      <c r="R38" s="13">
        <f t="shared" si="3"/>
        <v>2.72007528133009e-6</v>
      </c>
      <c r="S38" s="13">
        <f t="shared" si="3"/>
        <v>9.95927511946915e-7</v>
      </c>
      <c r="T38" s="13">
        <f t="shared" si="3"/>
        <v>6.06941533368208e-7</v>
      </c>
      <c r="U38" s="13">
        <f t="shared" si="3"/>
        <v>3.03878701732109e-7</v>
      </c>
      <c r="V38" s="13">
        <f t="shared" si="3"/>
        <v>2.43358319207468e-7</v>
      </c>
      <c r="W38" s="13">
        <f t="shared" si="3"/>
        <v>2.03471066167067e-7</v>
      </c>
      <c r="X38" s="13">
        <f t="shared" si="3"/>
        <v>4.89590125308892e-7</v>
      </c>
      <c r="Y38" s="13">
        <f t="shared" si="3"/>
        <v>4.26461162624737e-7</v>
      </c>
      <c r="Z38" s="13">
        <f t="shared" si="3"/>
        <v>3.35084292634781e-7</v>
      </c>
      <c r="AA38" s="13">
        <f t="shared" si="3"/>
        <v>2.3133513102613e-7</v>
      </c>
      <c r="AB38" s="13">
        <f t="shared" ref="AB38" si="4">AB4*AB4</f>
        <v>1.46671500450601e-7</v>
      </c>
      <c r="AC38" s="13">
        <f t="shared" ref="AC38:AG45" si="5">AC4*AC4</f>
        <v>1.14399153053766e-6</v>
      </c>
      <c r="AD38" s="13">
        <f t="shared" si="5"/>
        <v>6.45063395910909e-7</v>
      </c>
      <c r="AE38" s="13">
        <f t="shared" si="5"/>
        <v>5.05385442667835e-7</v>
      </c>
      <c r="AF38" s="13">
        <f t="shared" si="5"/>
        <v>1.09421522815172e-6</v>
      </c>
      <c r="AG38" s="13">
        <f t="shared" si="5"/>
        <v>1.56778006186745e-7</v>
      </c>
      <c r="AH38" s="13">
        <f t="shared" si="2"/>
        <v>0.000164294986435436</v>
      </c>
      <c r="AI38" s="13">
        <v>0.000164294986435436</v>
      </c>
      <c r="AJ38" s="13">
        <v>0.000164294986435436</v>
      </c>
      <c r="AK38" s="13">
        <v>0.000164294986435436</v>
      </c>
      <c r="AL38" s="13">
        <v>0.000164294986435436</v>
      </c>
      <c r="AM38" s="13">
        <v>0.000164294986435436</v>
      </c>
      <c r="AN38" s="13">
        <v>0.000164294986435436</v>
      </c>
      <c r="AO38" s="13">
        <v>0.000164294986435436</v>
      </c>
      <c r="AP38" s="13">
        <v>0.000164294986435436</v>
      </c>
      <c r="AQ38" s="13">
        <v>0.000164294986435436</v>
      </c>
      <c r="AR38" s="13">
        <v>0.000164294986435436</v>
      </c>
      <c r="AS38" s="13">
        <v>0.000164294986435436</v>
      </c>
      <c r="AT38" s="13">
        <v>0.000164294986435436</v>
      </c>
      <c r="AU38" s="13">
        <v>0.000164294986435436</v>
      </c>
      <c r="AV38" s="13">
        <v>0.000164294986435436</v>
      </c>
      <c r="AW38" s="13">
        <v>0.000164294986435436</v>
      </c>
      <c r="AX38" s="13">
        <v>0.000164294986435436</v>
      </c>
      <c r="AY38" s="13">
        <v>0.000164294986435436</v>
      </c>
      <c r="AZ38" s="13">
        <v>0.000164294986435436</v>
      </c>
      <c r="BA38" s="13">
        <v>0.000164294986435436</v>
      </c>
      <c r="BB38" s="13">
        <v>0.000164294986435436</v>
      </c>
      <c r="BC38" s="13">
        <v>0.000164294986435436</v>
      </c>
      <c r="BD38" s="13">
        <v>0.000164294986435436</v>
      </c>
      <c r="BE38" s="13">
        <v>0.000164294986435436</v>
      </c>
      <c r="BF38" s="13">
        <v>0.000164294986435436</v>
      </c>
      <c r="BG38" s="13">
        <v>0.000164294986435436</v>
      </c>
      <c r="BH38" s="13">
        <v>0.000164294986435436</v>
      </c>
      <c r="BI38" s="13">
        <v>0.000164294986435436</v>
      </c>
      <c r="BJ38" s="13">
        <v>0.000164294986435436</v>
      </c>
      <c r="BK38" s="13">
        <v>0.000164294986435436</v>
      </c>
      <c r="BL38" s="13">
        <v>0.000164294986435436</v>
      </c>
    </row>
    <row r="39" spans="1:64">
      <c r="A39" s="13"/>
      <c r="B39" s="13" t="s">
        <v>2</v>
      </c>
      <c r="C39" s="13">
        <f t="shared" si="0"/>
        <v>1.74391175103777e-5</v>
      </c>
      <c r="D39" s="13">
        <f t="shared" ref="D39:AA39" si="6">D5*D5</f>
        <v>1.37536409293591e-5</v>
      </c>
      <c r="E39" s="13">
        <f t="shared" si="6"/>
        <v>0</v>
      </c>
      <c r="F39" s="13">
        <f t="shared" si="6"/>
        <v>3.03983093395445e-5</v>
      </c>
      <c r="G39" s="13">
        <f t="shared" si="6"/>
        <v>7.29781162845793e-6</v>
      </c>
      <c r="H39" s="13">
        <f t="shared" si="6"/>
        <v>1.36222570286993e-6</v>
      </c>
      <c r="I39" s="13">
        <f t="shared" si="6"/>
        <v>8.2164555855301e-7</v>
      </c>
      <c r="J39" s="13">
        <f t="shared" si="6"/>
        <v>5.9534294126833e-7</v>
      </c>
      <c r="K39" s="13">
        <f t="shared" si="6"/>
        <v>1.00435166008755e-6</v>
      </c>
      <c r="L39" s="13">
        <f t="shared" si="6"/>
        <v>1.70037665453842e-6</v>
      </c>
      <c r="M39" s="13">
        <f t="shared" si="6"/>
        <v>9.52054552217304e-7</v>
      </c>
      <c r="N39" s="13">
        <f t="shared" si="6"/>
        <v>1.68843290535666e-6</v>
      </c>
      <c r="O39" s="13">
        <f t="shared" si="6"/>
        <v>5.03540220672731e-7</v>
      </c>
      <c r="P39" s="13">
        <f t="shared" si="6"/>
        <v>8.61833576372457e-7</v>
      </c>
      <c r="Q39" s="13">
        <f t="shared" si="6"/>
        <v>1.11346547495988e-5</v>
      </c>
      <c r="R39" s="13">
        <f t="shared" si="6"/>
        <v>6.11325667672439e-6</v>
      </c>
      <c r="S39" s="13">
        <f t="shared" si="6"/>
        <v>1.37142861919933e-6</v>
      </c>
      <c r="T39" s="13">
        <f t="shared" si="6"/>
        <v>8.06536764720484e-7</v>
      </c>
      <c r="U39" s="13">
        <f t="shared" si="6"/>
        <v>3.59942292353648e-7</v>
      </c>
      <c r="V39" s="13">
        <f t="shared" si="6"/>
        <v>2.99987307068984e-7</v>
      </c>
      <c r="W39" s="13">
        <f t="shared" si="6"/>
        <v>2.39702455725677e-7</v>
      </c>
      <c r="X39" s="13">
        <f t="shared" si="6"/>
        <v>7.17633523895433e-7</v>
      </c>
      <c r="Y39" s="13">
        <f t="shared" si="6"/>
        <v>6.21966639241931e-7</v>
      </c>
      <c r="Z39" s="13">
        <f t="shared" si="6"/>
        <v>4.4754075363024e-7</v>
      </c>
      <c r="AA39" s="13">
        <f t="shared" si="6"/>
        <v>2.9889304549584e-7</v>
      </c>
      <c r="AB39" s="13">
        <f t="shared" ref="AB39" si="7">AB5*AB5</f>
        <v>1.82025928656095e-7</v>
      </c>
      <c r="AC39" s="13">
        <f t="shared" si="5"/>
        <v>2.22712749825906e-6</v>
      </c>
      <c r="AD39" s="13">
        <f t="shared" si="5"/>
        <v>1.03429725205303e-6</v>
      </c>
      <c r="AE39" s="13">
        <f t="shared" si="5"/>
        <v>7.55676164782226e-7</v>
      </c>
      <c r="AF39" s="13">
        <f t="shared" si="5"/>
        <v>1.96732690885785e-6</v>
      </c>
      <c r="AG39" s="13">
        <f t="shared" si="5"/>
        <v>1.82616392868482e-7</v>
      </c>
      <c r="AH39" s="13">
        <f t="shared" si="2"/>
        <v>0.000107139296152807</v>
      </c>
      <c r="AI39" s="13">
        <v>0.000107139296152807</v>
      </c>
      <c r="AJ39" s="13">
        <v>0.000107139296152807</v>
      </c>
      <c r="AK39" s="13">
        <v>0.000107139296152807</v>
      </c>
      <c r="AL39" s="13">
        <v>0.000107139296152807</v>
      </c>
      <c r="AM39" s="13">
        <v>0.000107139296152807</v>
      </c>
      <c r="AN39" s="13">
        <v>0.000107139296152807</v>
      </c>
      <c r="AO39" s="13">
        <v>0.000107139296152807</v>
      </c>
      <c r="AP39" s="13">
        <v>0.000107139296152807</v>
      </c>
      <c r="AQ39" s="13">
        <v>0.000107139296152807</v>
      </c>
      <c r="AR39" s="13">
        <v>0.000107139296152807</v>
      </c>
      <c r="AS39" s="13">
        <v>0.000107139296152807</v>
      </c>
      <c r="AT39" s="13">
        <v>0.000107139296152807</v>
      </c>
      <c r="AU39" s="13">
        <v>0.000107139296152807</v>
      </c>
      <c r="AV39" s="13">
        <v>0.000107139296152807</v>
      </c>
      <c r="AW39" s="13">
        <v>0.000107139296152807</v>
      </c>
      <c r="AX39" s="13">
        <v>0.000107139296152807</v>
      </c>
      <c r="AY39" s="13">
        <v>0.000107139296152807</v>
      </c>
      <c r="AZ39" s="13">
        <v>0.000107139296152807</v>
      </c>
      <c r="BA39" s="13">
        <v>0.000107139296152807</v>
      </c>
      <c r="BB39" s="13">
        <v>0.000107139296152807</v>
      </c>
      <c r="BC39" s="13">
        <v>0.000107139296152807</v>
      </c>
      <c r="BD39" s="13">
        <v>0.000107139296152807</v>
      </c>
      <c r="BE39" s="13">
        <v>0.000107139296152807</v>
      </c>
      <c r="BF39" s="13">
        <v>0.000107139296152807</v>
      </c>
      <c r="BG39" s="13">
        <v>0.000107139296152807</v>
      </c>
      <c r="BH39" s="13">
        <v>0.000107139296152807</v>
      </c>
      <c r="BI39" s="13">
        <v>0.000107139296152807</v>
      </c>
      <c r="BJ39" s="13">
        <v>0.000107139296152807</v>
      </c>
      <c r="BK39" s="13">
        <v>0.000107139296152807</v>
      </c>
      <c r="BL39" s="13">
        <v>0.000107139296152807</v>
      </c>
    </row>
    <row r="40" spans="1:64">
      <c r="A40" s="13"/>
      <c r="B40" s="13" t="s">
        <v>3</v>
      </c>
      <c r="C40" s="13">
        <f t="shared" si="0"/>
        <v>6.02754000398216e-6</v>
      </c>
      <c r="D40" s="13">
        <f t="shared" ref="D40:AA40" si="8">D6*D6</f>
        <v>4.94352936523095e-6</v>
      </c>
      <c r="E40" s="13">
        <f t="shared" si="8"/>
        <v>3.03983093395445e-5</v>
      </c>
      <c r="F40" s="13">
        <f t="shared" si="8"/>
        <v>0</v>
      </c>
      <c r="G40" s="13">
        <f t="shared" si="8"/>
        <v>8.81502507345374e-6</v>
      </c>
      <c r="H40" s="13">
        <f t="shared" si="8"/>
        <v>9.3472327398729e-7</v>
      </c>
      <c r="I40" s="13">
        <f t="shared" si="8"/>
        <v>6.15702057258737e-7</v>
      </c>
      <c r="J40" s="13">
        <f t="shared" si="8"/>
        <v>4.69077953147961e-7</v>
      </c>
      <c r="K40" s="13">
        <f t="shared" si="8"/>
        <v>8.44776994935612e-7</v>
      </c>
      <c r="L40" s="13">
        <f t="shared" si="8"/>
        <v>1.45002203969492e-6</v>
      </c>
      <c r="M40" s="13">
        <f t="shared" si="8"/>
        <v>8.41015160398893e-7</v>
      </c>
      <c r="N40" s="13">
        <f t="shared" si="8"/>
        <v>1.54883375274162e-6</v>
      </c>
      <c r="O40" s="13">
        <f t="shared" si="8"/>
        <v>4.87113731237006e-7</v>
      </c>
      <c r="P40" s="13">
        <f t="shared" si="8"/>
        <v>8.88699347168188e-7</v>
      </c>
      <c r="Q40" s="13">
        <f t="shared" si="8"/>
        <v>5.30309445198088e-6</v>
      </c>
      <c r="R40" s="13">
        <f t="shared" si="8"/>
        <v>7.88405361531871e-6</v>
      </c>
      <c r="S40" s="13">
        <f t="shared" si="8"/>
        <v>1.49384093843617e-6</v>
      </c>
      <c r="T40" s="13">
        <f t="shared" si="8"/>
        <v>9.08897347961612e-7</v>
      </c>
      <c r="U40" s="13">
        <f t="shared" si="8"/>
        <v>3.85042677955891e-7</v>
      </c>
      <c r="V40" s="13">
        <f t="shared" si="8"/>
        <v>3.36924880160943e-7</v>
      </c>
      <c r="W40" s="13">
        <f t="shared" si="8"/>
        <v>2.59986149981249e-7</v>
      </c>
      <c r="X40" s="13">
        <f t="shared" si="8"/>
        <v>9.34124741697383e-7</v>
      </c>
      <c r="Y40" s="13">
        <f t="shared" si="8"/>
        <v>8.22777649721731e-7</v>
      </c>
      <c r="Z40" s="13">
        <f t="shared" si="8"/>
        <v>5.37302628214998e-7</v>
      </c>
      <c r="AA40" s="13">
        <f t="shared" si="8"/>
        <v>3.54990493486631e-7</v>
      </c>
      <c r="AB40" s="13">
        <f t="shared" ref="AB40" si="9">AB6*AB6</f>
        <v>2.13837619487792e-7</v>
      </c>
      <c r="AC40" s="13">
        <f t="shared" si="5"/>
        <v>3.91040917092359e-6</v>
      </c>
      <c r="AD40" s="13">
        <f t="shared" si="5"/>
        <v>1.54890968731718e-6</v>
      </c>
      <c r="AE40" s="13">
        <f t="shared" si="5"/>
        <v>1.05592020296434e-6</v>
      </c>
      <c r="AF40" s="13">
        <f t="shared" si="5"/>
        <v>3.33123692033683e-6</v>
      </c>
      <c r="AG40" s="13">
        <f t="shared" si="5"/>
        <v>2.0582721243735e-7</v>
      </c>
      <c r="AH40" s="13">
        <f t="shared" si="2"/>
        <v>8.77515444811648e-5</v>
      </c>
      <c r="AI40" s="13">
        <v>8.77515444811648e-5</v>
      </c>
      <c r="AJ40" s="13">
        <v>8.77515444811648e-5</v>
      </c>
      <c r="AK40" s="13">
        <v>8.77515444811648e-5</v>
      </c>
      <c r="AL40" s="13">
        <v>8.77515444811648e-5</v>
      </c>
      <c r="AM40" s="13">
        <v>8.77515444811648e-5</v>
      </c>
      <c r="AN40" s="13">
        <v>8.77515444811648e-5</v>
      </c>
      <c r="AO40" s="13">
        <v>8.77515444811648e-5</v>
      </c>
      <c r="AP40" s="13">
        <v>8.77515444811648e-5</v>
      </c>
      <c r="AQ40" s="13">
        <v>8.77515444811648e-5</v>
      </c>
      <c r="AR40" s="13">
        <v>8.77515444811648e-5</v>
      </c>
      <c r="AS40" s="13">
        <v>8.77515444811648e-5</v>
      </c>
      <c r="AT40" s="13">
        <v>8.77515444811648e-5</v>
      </c>
      <c r="AU40" s="13">
        <v>8.77515444811648e-5</v>
      </c>
      <c r="AV40" s="13">
        <v>8.77515444811648e-5</v>
      </c>
      <c r="AW40" s="13">
        <v>8.77515444811648e-5</v>
      </c>
      <c r="AX40" s="13">
        <v>8.77515444811648e-5</v>
      </c>
      <c r="AY40" s="13">
        <v>8.77515444811648e-5</v>
      </c>
      <c r="AZ40" s="13">
        <v>8.77515444811648e-5</v>
      </c>
      <c r="BA40" s="13">
        <v>8.77515444811648e-5</v>
      </c>
      <c r="BB40" s="13">
        <v>8.77515444811648e-5</v>
      </c>
      <c r="BC40" s="13">
        <v>8.77515444811648e-5</v>
      </c>
      <c r="BD40" s="13">
        <v>8.77515444811648e-5</v>
      </c>
      <c r="BE40" s="13">
        <v>8.77515444811648e-5</v>
      </c>
      <c r="BF40" s="13">
        <v>8.77515444811648e-5</v>
      </c>
      <c r="BG40" s="13">
        <v>8.77515444811648e-5</v>
      </c>
      <c r="BH40" s="13">
        <v>8.77515444811648e-5</v>
      </c>
      <c r="BI40" s="13">
        <v>8.77515444811648e-5</v>
      </c>
      <c r="BJ40" s="13">
        <v>8.77515444811648e-5</v>
      </c>
      <c r="BK40" s="13">
        <v>8.77515444811648e-5</v>
      </c>
      <c r="BL40" s="13">
        <v>8.77515444811648e-5</v>
      </c>
    </row>
    <row r="41" spans="1:64">
      <c r="A41" s="13"/>
      <c r="B41" s="13" t="s">
        <v>4</v>
      </c>
      <c r="C41" s="13">
        <f t="shared" si="0"/>
        <v>5.54815338277715e-6</v>
      </c>
      <c r="D41" s="13">
        <f t="shared" ref="D41:AA41" si="10">D7*D7</f>
        <v>3.77174375177277e-6</v>
      </c>
      <c r="E41" s="13">
        <f t="shared" si="10"/>
        <v>7.29781162845793e-6</v>
      </c>
      <c r="F41" s="13">
        <f t="shared" si="10"/>
        <v>8.81502507345374e-6</v>
      </c>
      <c r="G41" s="13">
        <f t="shared" si="10"/>
        <v>0</v>
      </c>
      <c r="H41" s="13">
        <f t="shared" si="10"/>
        <v>9.99111907977611e-7</v>
      </c>
      <c r="I41" s="13">
        <f t="shared" si="10"/>
        <v>7.08558548149533e-7</v>
      </c>
      <c r="J41" s="13">
        <f t="shared" si="10"/>
        <v>5.61483165129792e-7</v>
      </c>
      <c r="K41" s="13">
        <f t="shared" si="10"/>
        <v>5.34360132266059e-7</v>
      </c>
      <c r="L41" s="13">
        <f t="shared" si="10"/>
        <v>7.79252429388297e-7</v>
      </c>
      <c r="M41" s="13">
        <f t="shared" si="10"/>
        <v>5.1594317023662e-7</v>
      </c>
      <c r="N41" s="13">
        <f t="shared" si="10"/>
        <v>7.92096310986109e-7</v>
      </c>
      <c r="O41" s="13">
        <f t="shared" si="10"/>
        <v>3.22909422972098e-7</v>
      </c>
      <c r="P41" s="13">
        <f t="shared" si="10"/>
        <v>5.1242325611718e-7</v>
      </c>
      <c r="Q41" s="13">
        <f t="shared" si="10"/>
        <v>2.25483898509493e-6</v>
      </c>
      <c r="R41" s="13">
        <f t="shared" si="10"/>
        <v>2.08361956836507e-6</v>
      </c>
      <c r="S41" s="13">
        <f t="shared" si="10"/>
        <v>7.49659123669176e-7</v>
      </c>
      <c r="T41" s="13">
        <f t="shared" si="10"/>
        <v>5.24981683471439e-7</v>
      </c>
      <c r="U41" s="13">
        <f t="shared" si="10"/>
        <v>2.64673467994823e-7</v>
      </c>
      <c r="V41" s="13">
        <f t="shared" si="10"/>
        <v>2.43492746078129e-7</v>
      </c>
      <c r="W41" s="13">
        <f t="shared" si="10"/>
        <v>1.92278265757579e-7</v>
      </c>
      <c r="X41" s="13">
        <f t="shared" si="10"/>
        <v>6.00542552743286e-7</v>
      </c>
      <c r="Y41" s="13">
        <f t="shared" si="10"/>
        <v>5.87264372903247e-7</v>
      </c>
      <c r="Z41" s="13">
        <f t="shared" si="10"/>
        <v>3.7221352354214e-7</v>
      </c>
      <c r="AA41" s="13">
        <f t="shared" si="10"/>
        <v>2.73789442680335e-7</v>
      </c>
      <c r="AB41" s="13">
        <f t="shared" ref="AB41" si="11">AB7*AB7</f>
        <v>2.03460596967471e-7</v>
      </c>
      <c r="AC41" s="13">
        <f t="shared" si="5"/>
        <v>1.79714977102702e-6</v>
      </c>
      <c r="AD41" s="13">
        <f t="shared" si="5"/>
        <v>1.38856987965857e-6</v>
      </c>
      <c r="AE41" s="13">
        <f t="shared" si="5"/>
        <v>1.04545087286379e-6</v>
      </c>
      <c r="AF41" s="13">
        <f t="shared" si="5"/>
        <v>3.78086245827417e-6</v>
      </c>
      <c r="AG41" s="13">
        <f t="shared" si="5"/>
        <v>2.47347155313588e-7</v>
      </c>
      <c r="AH41" s="13">
        <f t="shared" si="2"/>
        <v>4.77690666460897e-5</v>
      </c>
      <c r="AI41" s="13">
        <v>4.77690666460897e-5</v>
      </c>
      <c r="AJ41" s="13">
        <v>4.77690666460897e-5</v>
      </c>
      <c r="AK41" s="13">
        <v>4.77690666460897e-5</v>
      </c>
      <c r="AL41" s="13">
        <v>4.77690666460897e-5</v>
      </c>
      <c r="AM41" s="13">
        <v>4.77690666460897e-5</v>
      </c>
      <c r="AN41" s="13">
        <v>4.77690666460897e-5</v>
      </c>
      <c r="AO41" s="13">
        <v>4.77690666460897e-5</v>
      </c>
      <c r="AP41" s="13">
        <v>4.77690666460897e-5</v>
      </c>
      <c r="AQ41" s="13">
        <v>4.77690666460897e-5</v>
      </c>
      <c r="AR41" s="13">
        <v>4.77690666460897e-5</v>
      </c>
      <c r="AS41" s="13">
        <v>4.77690666460897e-5</v>
      </c>
      <c r="AT41" s="13">
        <v>4.77690666460897e-5</v>
      </c>
      <c r="AU41" s="13">
        <v>4.77690666460897e-5</v>
      </c>
      <c r="AV41" s="13">
        <v>4.77690666460897e-5</v>
      </c>
      <c r="AW41" s="13">
        <v>4.77690666460897e-5</v>
      </c>
      <c r="AX41" s="13">
        <v>4.77690666460897e-5</v>
      </c>
      <c r="AY41" s="13">
        <v>4.77690666460897e-5</v>
      </c>
      <c r="AZ41" s="13">
        <v>4.77690666460897e-5</v>
      </c>
      <c r="BA41" s="13">
        <v>4.77690666460897e-5</v>
      </c>
      <c r="BB41" s="13">
        <v>4.77690666460897e-5</v>
      </c>
      <c r="BC41" s="13">
        <v>4.77690666460897e-5</v>
      </c>
      <c r="BD41" s="13">
        <v>4.77690666460897e-5</v>
      </c>
      <c r="BE41" s="13">
        <v>4.77690666460897e-5</v>
      </c>
      <c r="BF41" s="13">
        <v>4.77690666460897e-5</v>
      </c>
      <c r="BG41" s="13">
        <v>4.77690666460897e-5</v>
      </c>
      <c r="BH41" s="13">
        <v>4.77690666460897e-5</v>
      </c>
      <c r="BI41" s="13">
        <v>4.77690666460897e-5</v>
      </c>
      <c r="BJ41" s="13">
        <v>4.77690666460897e-5</v>
      </c>
      <c r="BK41" s="13">
        <v>4.77690666460897e-5</v>
      </c>
      <c r="BL41" s="13">
        <v>4.77690666460897e-5</v>
      </c>
    </row>
    <row r="42" spans="1:64">
      <c r="A42" s="13"/>
      <c r="B42" s="13" t="s">
        <v>5</v>
      </c>
      <c r="C42" s="13">
        <f t="shared" si="0"/>
        <v>2.51369540070233e-6</v>
      </c>
      <c r="D42" s="13">
        <f t="shared" ref="D42:AA42" si="12">D8*D8</f>
        <v>2.89005942497191e-6</v>
      </c>
      <c r="E42" s="13">
        <f t="shared" si="12"/>
        <v>1.36222570286993e-6</v>
      </c>
      <c r="F42" s="13">
        <f t="shared" si="12"/>
        <v>9.3472327398729e-7</v>
      </c>
      <c r="G42" s="13">
        <f t="shared" si="12"/>
        <v>9.99111907977611e-7</v>
      </c>
      <c r="H42" s="13">
        <f t="shared" si="12"/>
        <v>0</v>
      </c>
      <c r="I42" s="13">
        <f t="shared" si="12"/>
        <v>1.28334681822562e-5</v>
      </c>
      <c r="J42" s="13">
        <f t="shared" si="12"/>
        <v>3.88530356094261e-6</v>
      </c>
      <c r="K42" s="13">
        <f t="shared" si="12"/>
        <v>7.37670204751916e-7</v>
      </c>
      <c r="L42" s="13">
        <f t="shared" si="12"/>
        <v>7.76377649295203e-7</v>
      </c>
      <c r="M42" s="13">
        <f t="shared" si="12"/>
        <v>5.9947001843061e-7</v>
      </c>
      <c r="N42" s="13">
        <f t="shared" si="12"/>
        <v>6.56479075605481e-7</v>
      </c>
      <c r="O42" s="13">
        <f t="shared" si="12"/>
        <v>3.2359879922511e-7</v>
      </c>
      <c r="P42" s="13">
        <f t="shared" si="12"/>
        <v>3.83385015916451e-7</v>
      </c>
      <c r="Q42" s="13">
        <f t="shared" si="12"/>
        <v>1.63406214446612e-6</v>
      </c>
      <c r="R42" s="13">
        <f t="shared" si="12"/>
        <v>7.38245268688751e-7</v>
      </c>
      <c r="S42" s="13">
        <f t="shared" si="12"/>
        <v>4.54680295286272e-7</v>
      </c>
      <c r="T42" s="13">
        <f t="shared" si="12"/>
        <v>3.17464645564072e-7</v>
      </c>
      <c r="U42" s="13">
        <f t="shared" si="12"/>
        <v>1.96732951380429e-7</v>
      </c>
      <c r="V42" s="13">
        <f t="shared" si="12"/>
        <v>1.54988660023485e-7</v>
      </c>
      <c r="W42" s="13">
        <f t="shared" si="12"/>
        <v>1.38386925551589e-7</v>
      </c>
      <c r="X42" s="13">
        <f t="shared" si="12"/>
        <v>2.4894720733498e-7</v>
      </c>
      <c r="Y42" s="13">
        <f t="shared" si="12"/>
        <v>2.22959085425158e-7</v>
      </c>
      <c r="Z42" s="13">
        <f t="shared" si="12"/>
        <v>1.91738701040809e-7</v>
      </c>
      <c r="AA42" s="13">
        <f t="shared" si="12"/>
        <v>1.4210821096945e-7</v>
      </c>
      <c r="AB42" s="13">
        <f t="shared" ref="AB42" si="13">AB8*AB8</f>
        <v>9.85167995621365e-8</v>
      </c>
      <c r="AC42" s="13">
        <f t="shared" si="5"/>
        <v>4.31290159583325e-7</v>
      </c>
      <c r="AD42" s="13">
        <f t="shared" si="5"/>
        <v>3.04414385083519e-7</v>
      </c>
      <c r="AE42" s="13">
        <f t="shared" si="5"/>
        <v>2.59572333268543e-7</v>
      </c>
      <c r="AF42" s="13">
        <f t="shared" si="5"/>
        <v>4.44215316586644e-7</v>
      </c>
      <c r="AG42" s="13">
        <f t="shared" si="5"/>
        <v>1.16277173682389e-7</v>
      </c>
      <c r="AH42" s="13">
        <f t="shared" si="2"/>
        <v>3.49901684804303e-5</v>
      </c>
      <c r="AI42" s="13">
        <v>3.49901684804303e-5</v>
      </c>
      <c r="AJ42" s="13">
        <v>3.49901684804303e-5</v>
      </c>
      <c r="AK42" s="13">
        <v>3.49901684804303e-5</v>
      </c>
      <c r="AL42" s="13">
        <v>3.49901684804303e-5</v>
      </c>
      <c r="AM42" s="13">
        <v>3.49901684804303e-5</v>
      </c>
      <c r="AN42" s="13">
        <v>3.49901684804303e-5</v>
      </c>
      <c r="AO42" s="13">
        <v>3.49901684804303e-5</v>
      </c>
      <c r="AP42" s="13">
        <v>3.49901684804303e-5</v>
      </c>
      <c r="AQ42" s="13">
        <v>3.49901684804303e-5</v>
      </c>
      <c r="AR42" s="13">
        <v>3.49901684804303e-5</v>
      </c>
      <c r="AS42" s="13">
        <v>3.49901684804303e-5</v>
      </c>
      <c r="AT42" s="13">
        <v>3.49901684804303e-5</v>
      </c>
      <c r="AU42" s="13">
        <v>3.49901684804303e-5</v>
      </c>
      <c r="AV42" s="13">
        <v>3.49901684804303e-5</v>
      </c>
      <c r="AW42" s="13">
        <v>3.49901684804303e-5</v>
      </c>
      <c r="AX42" s="13">
        <v>3.49901684804303e-5</v>
      </c>
      <c r="AY42" s="13">
        <v>3.49901684804303e-5</v>
      </c>
      <c r="AZ42" s="13">
        <v>3.49901684804303e-5</v>
      </c>
      <c r="BA42" s="13">
        <v>3.49901684804303e-5</v>
      </c>
      <c r="BB42" s="13">
        <v>3.49901684804303e-5</v>
      </c>
      <c r="BC42" s="13">
        <v>3.49901684804303e-5</v>
      </c>
      <c r="BD42" s="13">
        <v>3.49901684804303e-5</v>
      </c>
      <c r="BE42" s="13">
        <v>3.49901684804303e-5</v>
      </c>
      <c r="BF42" s="13">
        <v>3.49901684804303e-5</v>
      </c>
      <c r="BG42" s="13">
        <v>3.49901684804303e-5</v>
      </c>
      <c r="BH42" s="13">
        <v>3.49901684804303e-5</v>
      </c>
      <c r="BI42" s="13">
        <v>3.49901684804303e-5</v>
      </c>
      <c r="BJ42" s="13">
        <v>3.49901684804303e-5</v>
      </c>
      <c r="BK42" s="13">
        <v>3.49901684804303e-5</v>
      </c>
      <c r="BL42" s="13">
        <v>3.49901684804303e-5</v>
      </c>
    </row>
    <row r="43" spans="1:64">
      <c r="A43" s="13"/>
      <c r="B43" s="13" t="s">
        <v>6</v>
      </c>
      <c r="C43" s="13">
        <f t="shared" si="0"/>
        <v>1.32965769262304e-6</v>
      </c>
      <c r="D43" s="13">
        <f t="shared" ref="D43:AA43" si="14">D9*D9</f>
        <v>1.41274507186678e-6</v>
      </c>
      <c r="E43" s="13">
        <f t="shared" si="14"/>
        <v>8.2164555855301e-7</v>
      </c>
      <c r="F43" s="13">
        <f t="shared" si="14"/>
        <v>6.15702057258737e-7</v>
      </c>
      <c r="G43" s="13">
        <f t="shared" si="14"/>
        <v>7.08558548149533e-7</v>
      </c>
      <c r="H43" s="13">
        <f t="shared" si="14"/>
        <v>1.28334681822562e-5</v>
      </c>
      <c r="I43" s="13">
        <f t="shared" si="14"/>
        <v>0</v>
      </c>
      <c r="J43" s="13">
        <f t="shared" si="14"/>
        <v>1.87386065338723e-5</v>
      </c>
      <c r="K43" s="13">
        <f t="shared" si="14"/>
        <v>4.94246543787789e-7</v>
      </c>
      <c r="L43" s="13">
        <f t="shared" si="14"/>
        <v>5.02805363351455e-7</v>
      </c>
      <c r="M43" s="13">
        <f t="shared" si="14"/>
        <v>4.12960424984549e-7</v>
      </c>
      <c r="N43" s="13">
        <f t="shared" si="14"/>
        <v>4.3738529976159e-7</v>
      </c>
      <c r="O43" s="13">
        <f t="shared" si="14"/>
        <v>2.44690751385797e-7</v>
      </c>
      <c r="P43" s="13">
        <f t="shared" si="14"/>
        <v>2.79105416294612e-7</v>
      </c>
      <c r="Q43" s="13">
        <f t="shared" si="14"/>
        <v>8.94729663895834e-7</v>
      </c>
      <c r="R43" s="13">
        <f t="shared" si="14"/>
        <v>4.86824027165189e-7</v>
      </c>
      <c r="S43" s="13">
        <f t="shared" si="14"/>
        <v>3.220968788427e-7</v>
      </c>
      <c r="T43" s="13">
        <f t="shared" si="14"/>
        <v>2.3708375858214e-7</v>
      </c>
      <c r="U43" s="13">
        <f t="shared" si="14"/>
        <v>1.55958030182459e-7</v>
      </c>
      <c r="V43" s="13">
        <f t="shared" si="14"/>
        <v>1.25874812044144e-7</v>
      </c>
      <c r="W43" s="13">
        <f t="shared" si="14"/>
        <v>1.13599070752167e-7</v>
      </c>
      <c r="X43" s="13">
        <f t="shared" si="14"/>
        <v>1.94294399265996e-7</v>
      </c>
      <c r="Y43" s="13">
        <f t="shared" si="14"/>
        <v>1.77891377473e-7</v>
      </c>
      <c r="Z43" s="13">
        <f t="shared" si="14"/>
        <v>1.53088403318996e-7</v>
      </c>
      <c r="AA43" s="13">
        <f t="shared" si="14"/>
        <v>1.17418123490832e-7</v>
      </c>
      <c r="AB43" s="13">
        <f t="shared" ref="AB43" si="15">AB9*AB9</f>
        <v>8.64906896372577e-8</v>
      </c>
      <c r="AC43" s="13">
        <f t="shared" si="5"/>
        <v>3.18022645870874e-7</v>
      </c>
      <c r="AD43" s="13">
        <f t="shared" si="5"/>
        <v>2.43661551030617e-7</v>
      </c>
      <c r="AE43" s="13">
        <f t="shared" si="5"/>
        <v>2.13340285568614e-7</v>
      </c>
      <c r="AF43" s="13">
        <f t="shared" si="5"/>
        <v>3.45821487542397e-7</v>
      </c>
      <c r="AG43" s="13">
        <f t="shared" si="5"/>
        <v>1.09052963049143e-7</v>
      </c>
      <c r="AH43" s="13">
        <f t="shared" si="2"/>
        <v>4.31268256118578e-5</v>
      </c>
      <c r="AI43" s="13">
        <v>4.31268256118578e-5</v>
      </c>
      <c r="AJ43" s="13">
        <v>4.31268256118578e-5</v>
      </c>
      <c r="AK43" s="13">
        <v>4.31268256118578e-5</v>
      </c>
      <c r="AL43" s="13">
        <v>4.31268256118578e-5</v>
      </c>
      <c r="AM43" s="13">
        <v>4.31268256118578e-5</v>
      </c>
      <c r="AN43" s="13">
        <v>4.31268256118578e-5</v>
      </c>
      <c r="AO43" s="13">
        <v>4.31268256118578e-5</v>
      </c>
      <c r="AP43" s="13">
        <v>4.31268256118578e-5</v>
      </c>
      <c r="AQ43" s="13">
        <v>4.31268256118578e-5</v>
      </c>
      <c r="AR43" s="13">
        <v>4.31268256118578e-5</v>
      </c>
      <c r="AS43" s="13">
        <v>4.31268256118578e-5</v>
      </c>
      <c r="AT43" s="13">
        <v>4.31268256118578e-5</v>
      </c>
      <c r="AU43" s="13">
        <v>4.31268256118578e-5</v>
      </c>
      <c r="AV43" s="13">
        <v>4.31268256118578e-5</v>
      </c>
      <c r="AW43" s="13">
        <v>4.31268256118578e-5</v>
      </c>
      <c r="AX43" s="13">
        <v>4.31268256118578e-5</v>
      </c>
      <c r="AY43" s="13">
        <v>4.31268256118578e-5</v>
      </c>
      <c r="AZ43" s="13">
        <v>4.31268256118578e-5</v>
      </c>
      <c r="BA43" s="13">
        <v>4.31268256118578e-5</v>
      </c>
      <c r="BB43" s="13">
        <v>4.31268256118578e-5</v>
      </c>
      <c r="BC43" s="13">
        <v>4.31268256118578e-5</v>
      </c>
      <c r="BD43" s="13">
        <v>4.31268256118578e-5</v>
      </c>
      <c r="BE43" s="13">
        <v>4.31268256118578e-5</v>
      </c>
      <c r="BF43" s="13">
        <v>4.31268256118578e-5</v>
      </c>
      <c r="BG43" s="13">
        <v>4.31268256118578e-5</v>
      </c>
      <c r="BH43" s="13">
        <v>4.31268256118578e-5</v>
      </c>
      <c r="BI43" s="13">
        <v>4.31268256118578e-5</v>
      </c>
      <c r="BJ43" s="13">
        <v>4.31268256118578e-5</v>
      </c>
      <c r="BK43" s="13">
        <v>4.31268256118578e-5</v>
      </c>
      <c r="BL43" s="13">
        <v>4.31268256118578e-5</v>
      </c>
    </row>
    <row r="44" spans="1:64">
      <c r="A44" s="13"/>
      <c r="B44" s="13" t="s">
        <v>7</v>
      </c>
      <c r="C44" s="13">
        <f t="shared" si="0"/>
        <v>8.95298313572889e-7</v>
      </c>
      <c r="D44" s="13">
        <f t="shared" ref="D44:AA44" si="16">D10*D10</f>
        <v>9.1897391988728e-7</v>
      </c>
      <c r="E44" s="13">
        <f t="shared" si="16"/>
        <v>5.9534294126833e-7</v>
      </c>
      <c r="F44" s="13">
        <f t="shared" si="16"/>
        <v>4.69077953147961e-7</v>
      </c>
      <c r="G44" s="13">
        <f t="shared" si="16"/>
        <v>5.61483165129792e-7</v>
      </c>
      <c r="H44" s="13">
        <f t="shared" si="16"/>
        <v>3.88530356094261e-6</v>
      </c>
      <c r="I44" s="13">
        <f t="shared" si="16"/>
        <v>1.87386065338723e-5</v>
      </c>
      <c r="J44" s="13">
        <f t="shared" si="16"/>
        <v>0</v>
      </c>
      <c r="K44" s="13">
        <f t="shared" si="16"/>
        <v>3.66656496017179e-7</v>
      </c>
      <c r="L44" s="13">
        <f t="shared" si="16"/>
        <v>3.71406685790235e-7</v>
      </c>
      <c r="M44" s="13">
        <f t="shared" si="16"/>
        <v>3.13347112019058e-7</v>
      </c>
      <c r="N44" s="13">
        <f t="shared" si="16"/>
        <v>3.29719616396616e-7</v>
      </c>
      <c r="O44" s="13">
        <f t="shared" si="16"/>
        <v>1.97259398698294e-7</v>
      </c>
      <c r="P44" s="13">
        <f t="shared" si="16"/>
        <v>2.2200776543626e-7</v>
      </c>
      <c r="Q44" s="13">
        <f t="shared" si="16"/>
        <v>6.14317113972036e-7</v>
      </c>
      <c r="R44" s="13">
        <f t="shared" si="16"/>
        <v>3.69900286891602e-7</v>
      </c>
      <c r="S44" s="13">
        <f t="shared" si="16"/>
        <v>2.53282197294786e-7</v>
      </c>
      <c r="T44" s="13">
        <f t="shared" si="16"/>
        <v>1.92629128682328e-7</v>
      </c>
      <c r="U44" s="13">
        <f t="shared" si="16"/>
        <v>1.31099891494383e-7</v>
      </c>
      <c r="V44" s="13">
        <f t="shared" si="16"/>
        <v>1.08106717079238e-7</v>
      </c>
      <c r="W44" s="13">
        <f t="shared" si="16"/>
        <v>9.79608332808047e-8</v>
      </c>
      <c r="X44" s="13">
        <f t="shared" si="16"/>
        <v>1.63659229741111e-7</v>
      </c>
      <c r="Y44" s="13">
        <f t="shared" si="16"/>
        <v>1.52344627191567e-7</v>
      </c>
      <c r="Z44" s="13">
        <f t="shared" si="16"/>
        <v>1.30534768078312e-7</v>
      </c>
      <c r="AA44" s="13">
        <f t="shared" si="16"/>
        <v>1.02610224976897e-7</v>
      </c>
      <c r="AB44" s="13">
        <f t="shared" ref="AB44" si="17">AB10*AB10</f>
        <v>7.93040584387907e-8</v>
      </c>
      <c r="AC44" s="13">
        <f t="shared" si="5"/>
        <v>2.59208932451823e-7</v>
      </c>
      <c r="AD44" s="13">
        <f t="shared" si="5"/>
        <v>2.10022650133013e-7</v>
      </c>
      <c r="AE44" s="13">
        <f t="shared" si="5"/>
        <v>1.87303564660159e-7</v>
      </c>
      <c r="AF44" s="13">
        <f t="shared" si="5"/>
        <v>2.92666504490587e-7</v>
      </c>
      <c r="AG44" s="13">
        <f t="shared" si="5"/>
        <v>1.05625191312212e-7</v>
      </c>
      <c r="AH44" s="13">
        <f t="shared" si="2"/>
        <v>3.13150593823485e-5</v>
      </c>
      <c r="AI44" s="13">
        <v>3.13150593823485e-5</v>
      </c>
      <c r="AJ44" s="13">
        <v>3.13150593823485e-5</v>
      </c>
      <c r="AK44" s="13">
        <v>3.13150593823485e-5</v>
      </c>
      <c r="AL44" s="13">
        <v>3.13150593823485e-5</v>
      </c>
      <c r="AM44" s="13">
        <v>3.13150593823485e-5</v>
      </c>
      <c r="AN44" s="13">
        <v>3.13150593823485e-5</v>
      </c>
      <c r="AO44" s="13">
        <v>3.13150593823485e-5</v>
      </c>
      <c r="AP44" s="13">
        <v>3.13150593823485e-5</v>
      </c>
      <c r="AQ44" s="13">
        <v>3.13150593823485e-5</v>
      </c>
      <c r="AR44" s="13">
        <v>3.13150593823485e-5</v>
      </c>
      <c r="AS44" s="13">
        <v>3.13150593823485e-5</v>
      </c>
      <c r="AT44" s="13">
        <v>3.13150593823485e-5</v>
      </c>
      <c r="AU44" s="13">
        <v>3.13150593823485e-5</v>
      </c>
      <c r="AV44" s="13">
        <v>3.13150593823485e-5</v>
      </c>
      <c r="AW44" s="13">
        <v>3.13150593823485e-5</v>
      </c>
      <c r="AX44" s="13">
        <v>3.13150593823485e-5</v>
      </c>
      <c r="AY44" s="13">
        <v>3.13150593823485e-5</v>
      </c>
      <c r="AZ44" s="13">
        <v>3.13150593823485e-5</v>
      </c>
      <c r="BA44" s="13">
        <v>3.13150593823485e-5</v>
      </c>
      <c r="BB44" s="13">
        <v>3.13150593823485e-5</v>
      </c>
      <c r="BC44" s="13">
        <v>3.13150593823485e-5</v>
      </c>
      <c r="BD44" s="13">
        <v>3.13150593823485e-5</v>
      </c>
      <c r="BE44" s="13">
        <v>3.13150593823485e-5</v>
      </c>
      <c r="BF44" s="13">
        <v>3.13150593823485e-5</v>
      </c>
      <c r="BG44" s="13">
        <v>3.13150593823485e-5</v>
      </c>
      <c r="BH44" s="13">
        <v>3.13150593823485e-5</v>
      </c>
      <c r="BI44" s="13">
        <v>3.13150593823485e-5</v>
      </c>
      <c r="BJ44" s="13">
        <v>3.13150593823485e-5</v>
      </c>
      <c r="BK44" s="13">
        <v>3.13150593823485e-5</v>
      </c>
      <c r="BL44" s="13">
        <v>3.13150593823485e-5</v>
      </c>
    </row>
    <row r="45" spans="1:64">
      <c r="A45" s="13"/>
      <c r="B45" s="13" t="s">
        <v>8</v>
      </c>
      <c r="C45" s="13">
        <f t="shared" si="0"/>
        <v>9.21015651692689e-7</v>
      </c>
      <c r="D45" s="13">
        <f t="shared" ref="D45:AA45" si="18">D11*D11</f>
        <v>1.095030191421e-6</v>
      </c>
      <c r="E45" s="13">
        <f t="shared" si="18"/>
        <v>1.00435166008755e-6</v>
      </c>
      <c r="F45" s="13">
        <f t="shared" si="18"/>
        <v>8.44776994935612e-7</v>
      </c>
      <c r="G45" s="13">
        <f t="shared" si="18"/>
        <v>5.34360132266059e-7</v>
      </c>
      <c r="H45" s="13">
        <f t="shared" si="18"/>
        <v>7.37670204751916e-7</v>
      </c>
      <c r="I45" s="13">
        <f t="shared" si="18"/>
        <v>4.94246543787789e-7</v>
      </c>
      <c r="J45" s="13">
        <f t="shared" si="18"/>
        <v>3.66656496017179e-7</v>
      </c>
      <c r="K45" s="13">
        <f t="shared" si="18"/>
        <v>0</v>
      </c>
      <c r="L45" s="13">
        <f t="shared" si="18"/>
        <v>1.22203528286999e-5</v>
      </c>
      <c r="M45" s="13">
        <f t="shared" si="18"/>
        <v>4.0178768970177e-5</v>
      </c>
      <c r="N45" s="13">
        <f t="shared" si="18"/>
        <v>6.4412195186644e-6</v>
      </c>
      <c r="O45" s="13">
        <f t="shared" si="18"/>
        <v>2.75073217860465e-6</v>
      </c>
      <c r="P45" s="13">
        <f t="shared" si="18"/>
        <v>2.49691366872843e-6</v>
      </c>
      <c r="Q45" s="13">
        <f t="shared" si="18"/>
        <v>1.99927137517108e-6</v>
      </c>
      <c r="R45" s="13">
        <f t="shared" si="18"/>
        <v>1.46829275803674e-6</v>
      </c>
      <c r="S45" s="13">
        <f t="shared" si="18"/>
        <v>2.12043955818686e-6</v>
      </c>
      <c r="T45" s="13">
        <f t="shared" si="18"/>
        <v>1.21792294992393e-6</v>
      </c>
      <c r="U45" s="13">
        <f t="shared" si="18"/>
        <v>6.87243843567446e-7</v>
      </c>
      <c r="V45" s="13">
        <f t="shared" si="18"/>
        <v>3.82238826771303e-7</v>
      </c>
      <c r="W45" s="13">
        <f t="shared" si="18"/>
        <v>3.61660833195382e-7</v>
      </c>
      <c r="X45" s="13">
        <f t="shared" si="18"/>
        <v>4.91685445438076e-7</v>
      </c>
      <c r="Y45" s="13">
        <f t="shared" si="18"/>
        <v>3.6715353758832e-7</v>
      </c>
      <c r="Z45" s="13">
        <f t="shared" si="18"/>
        <v>4.19172053148581e-7</v>
      </c>
      <c r="AA45" s="13">
        <f t="shared" si="18"/>
        <v>2.57569536403616e-7</v>
      </c>
      <c r="AB45" s="13">
        <f t="shared" ref="AB45" si="19">AB11*AB11</f>
        <v>1.18915621037853e-7</v>
      </c>
      <c r="AC45" s="13">
        <f t="shared" si="5"/>
        <v>6.52479246050502e-7</v>
      </c>
      <c r="AD45" s="13">
        <f t="shared" si="5"/>
        <v>3.32731258029431e-7</v>
      </c>
      <c r="AE45" s="13">
        <f t="shared" si="5"/>
        <v>2.71319882326177e-7</v>
      </c>
      <c r="AF45" s="13">
        <f t="shared" si="5"/>
        <v>3.94083069302129e-7</v>
      </c>
      <c r="AG45" s="13">
        <f t="shared" si="5"/>
        <v>9.3349993076043e-8</v>
      </c>
      <c r="AH45" s="13">
        <f t="shared" si="2"/>
        <v>8.17216248270876e-5</v>
      </c>
      <c r="AI45" s="13">
        <v>8.17216248270876e-5</v>
      </c>
      <c r="AJ45" s="13">
        <v>8.17216248270876e-5</v>
      </c>
      <c r="AK45" s="13">
        <v>8.17216248270876e-5</v>
      </c>
      <c r="AL45" s="13">
        <v>8.17216248270876e-5</v>
      </c>
      <c r="AM45" s="13">
        <v>8.17216248270876e-5</v>
      </c>
      <c r="AN45" s="13">
        <v>8.17216248270876e-5</v>
      </c>
      <c r="AO45" s="13">
        <v>8.17216248270876e-5</v>
      </c>
      <c r="AP45" s="13">
        <v>8.17216248270876e-5</v>
      </c>
      <c r="AQ45" s="13">
        <v>8.17216248270876e-5</v>
      </c>
      <c r="AR45" s="13">
        <v>8.17216248270876e-5</v>
      </c>
      <c r="AS45" s="13">
        <v>8.17216248270876e-5</v>
      </c>
      <c r="AT45" s="13">
        <v>8.17216248270876e-5</v>
      </c>
      <c r="AU45" s="13">
        <v>8.17216248270876e-5</v>
      </c>
      <c r="AV45" s="13">
        <v>8.17216248270876e-5</v>
      </c>
      <c r="AW45" s="13">
        <v>8.17216248270876e-5</v>
      </c>
      <c r="AX45" s="13">
        <v>8.17216248270876e-5</v>
      </c>
      <c r="AY45" s="13">
        <v>8.17216248270876e-5</v>
      </c>
      <c r="AZ45" s="13">
        <v>8.17216248270876e-5</v>
      </c>
      <c r="BA45" s="13">
        <v>8.17216248270876e-5</v>
      </c>
      <c r="BB45" s="13">
        <v>8.17216248270876e-5</v>
      </c>
      <c r="BC45" s="13">
        <v>8.17216248270876e-5</v>
      </c>
      <c r="BD45" s="13">
        <v>8.17216248270876e-5</v>
      </c>
      <c r="BE45" s="13">
        <v>8.17216248270876e-5</v>
      </c>
      <c r="BF45" s="13">
        <v>8.17216248270876e-5</v>
      </c>
      <c r="BG45" s="13">
        <v>8.17216248270876e-5</v>
      </c>
      <c r="BH45" s="13">
        <v>8.17216248270876e-5</v>
      </c>
      <c r="BI45" s="13">
        <v>8.17216248270876e-5</v>
      </c>
      <c r="BJ45" s="13">
        <v>8.17216248270876e-5</v>
      </c>
      <c r="BK45" s="13">
        <v>8.17216248270876e-5</v>
      </c>
      <c r="BL45" s="13">
        <v>8.17216248270876e-5</v>
      </c>
    </row>
    <row r="46" spans="1:64">
      <c r="A46" s="13"/>
      <c r="B46" s="13" t="s">
        <v>9</v>
      </c>
      <c r="C46" s="13">
        <f t="shared" si="0"/>
        <v>1.34984704831219e-6</v>
      </c>
      <c r="D46" s="13">
        <f t="shared" ref="D46:Q46" si="20">D12*D12</f>
        <v>1.61243499452291e-6</v>
      </c>
      <c r="E46" s="13">
        <f t="shared" si="20"/>
        <v>1.70037665453842e-6</v>
      </c>
      <c r="F46" s="13">
        <f t="shared" si="20"/>
        <v>1.45002203969492e-6</v>
      </c>
      <c r="G46" s="13">
        <f t="shared" si="20"/>
        <v>7.79252429388297e-7</v>
      </c>
      <c r="H46" s="13">
        <f t="shared" si="20"/>
        <v>7.76377649295203e-7</v>
      </c>
      <c r="I46" s="13">
        <f t="shared" si="20"/>
        <v>5.02805363351455e-7</v>
      </c>
      <c r="J46" s="13">
        <f t="shared" si="20"/>
        <v>3.71406685790235e-7</v>
      </c>
      <c r="K46" s="13">
        <f t="shared" si="20"/>
        <v>1.22203528286999e-5</v>
      </c>
      <c r="L46" s="13">
        <f t="shared" si="20"/>
        <v>0</v>
      </c>
      <c r="M46" s="13">
        <f t="shared" si="20"/>
        <v>1.47558664296396e-5</v>
      </c>
      <c r="N46" s="13">
        <f t="shared" si="20"/>
        <v>5.51677780343823e-5</v>
      </c>
      <c r="O46" s="13">
        <f t="shared" si="20"/>
        <v>2.23187142793611e-6</v>
      </c>
      <c r="P46" s="13">
        <f t="shared" si="20"/>
        <v>4.13912261893345e-6</v>
      </c>
      <c r="Q46" s="13">
        <f t="shared" si="20"/>
        <v>3.92624743003272e-6</v>
      </c>
      <c r="R46" s="13">
        <f t="shared" ref="R46:AG46" si="21">R12*R12</f>
        <v>3.39002219681433e-6</v>
      </c>
      <c r="S46" s="13">
        <f t="shared" si="21"/>
        <v>4.95463605929675e-6</v>
      </c>
      <c r="T46" s="13">
        <f t="shared" si="21"/>
        <v>1.96502232892537e-6</v>
      </c>
      <c r="U46" s="13">
        <f t="shared" si="21"/>
        <v>7.89100884066629e-7</v>
      </c>
      <c r="V46" s="13">
        <f t="shared" si="21"/>
        <v>4.63336872042965e-7</v>
      </c>
      <c r="W46" s="13">
        <f t="shared" si="21"/>
        <v>4.0557042260731e-7</v>
      </c>
      <c r="X46" s="13">
        <f t="shared" si="21"/>
        <v>7.29400009505645e-7</v>
      </c>
      <c r="Y46" s="13">
        <f t="shared" si="21"/>
        <v>5.22277494885768e-7</v>
      </c>
      <c r="Z46" s="13">
        <f t="shared" si="21"/>
        <v>5.66398049376283e-7</v>
      </c>
      <c r="AA46" s="13">
        <f t="shared" si="21"/>
        <v>3.27141182548908e-7</v>
      </c>
      <c r="AB46" s="13">
        <f t="shared" si="21"/>
        <v>1.44848349853704e-7</v>
      </c>
      <c r="AC46" s="13">
        <f t="shared" si="21"/>
        <v>1.10311442523447e-6</v>
      </c>
      <c r="AD46" s="13">
        <f t="shared" si="21"/>
        <v>4.77078329407596e-7</v>
      </c>
      <c r="AE46" s="13">
        <f t="shared" si="21"/>
        <v>3.74555106117752e-7</v>
      </c>
      <c r="AF46" s="13">
        <f t="shared" si="21"/>
        <v>5.77616680640703e-7</v>
      </c>
      <c r="AG46" s="13">
        <f t="shared" si="21"/>
        <v>1.11457756890555e-7</v>
      </c>
      <c r="AH46" s="13">
        <f t="shared" si="2"/>
        <v>0.000117885337782733</v>
      </c>
      <c r="AI46" s="13">
        <v>0.000117885337782733</v>
      </c>
      <c r="AJ46" s="13">
        <v>0.000117885337782733</v>
      </c>
      <c r="AK46" s="13">
        <v>0.000117885337782733</v>
      </c>
      <c r="AL46" s="13">
        <v>0.000117885337782733</v>
      </c>
      <c r="AM46" s="13">
        <v>0.000117885337782733</v>
      </c>
      <c r="AN46" s="13">
        <v>0.000117885337782733</v>
      </c>
      <c r="AO46" s="13">
        <v>0.000117885337782733</v>
      </c>
      <c r="AP46" s="13">
        <v>0.000117885337782733</v>
      </c>
      <c r="AQ46" s="13">
        <v>0.000117885337782733</v>
      </c>
      <c r="AR46" s="13">
        <v>0.000117885337782733</v>
      </c>
      <c r="AS46" s="13">
        <v>0.000117885337782733</v>
      </c>
      <c r="AT46" s="13">
        <v>0.000117885337782733</v>
      </c>
      <c r="AU46" s="13">
        <v>0.000117885337782733</v>
      </c>
      <c r="AV46" s="13">
        <v>0.000117885337782733</v>
      </c>
      <c r="AW46" s="13">
        <v>0.000117885337782733</v>
      </c>
      <c r="AX46" s="13">
        <v>0.000117885337782733</v>
      </c>
      <c r="AY46" s="13">
        <v>0.000117885337782733</v>
      </c>
      <c r="AZ46" s="13">
        <v>0.000117885337782733</v>
      </c>
      <c r="BA46" s="13">
        <v>0.000117885337782733</v>
      </c>
      <c r="BB46" s="13">
        <v>0.000117885337782733</v>
      </c>
      <c r="BC46" s="13">
        <v>0.000117885337782733</v>
      </c>
      <c r="BD46" s="13">
        <v>0.000117885337782733</v>
      </c>
      <c r="BE46" s="13">
        <v>0.000117885337782733</v>
      </c>
      <c r="BF46" s="13">
        <v>0.000117885337782733</v>
      </c>
      <c r="BG46" s="13">
        <v>0.000117885337782733</v>
      </c>
      <c r="BH46" s="13">
        <v>0.000117885337782733</v>
      </c>
      <c r="BI46" s="13">
        <v>0.000117885337782733</v>
      </c>
      <c r="BJ46" s="13">
        <v>0.000117885337782733</v>
      </c>
      <c r="BK46" s="13">
        <v>0.000117885337782733</v>
      </c>
      <c r="BL46" s="13">
        <v>0.000117885337782733</v>
      </c>
    </row>
    <row r="47" spans="1:64">
      <c r="A47" s="13"/>
      <c r="B47" s="13" t="s">
        <v>10</v>
      </c>
      <c r="C47" s="13">
        <f t="shared" si="0"/>
        <v>8.22174310950011e-7</v>
      </c>
      <c r="D47" s="13">
        <f t="shared" ref="D47:Q47" si="22">D13*D13</f>
        <v>9.55106571353451e-7</v>
      </c>
      <c r="E47" s="13">
        <f t="shared" si="22"/>
        <v>9.52054552217304e-7</v>
      </c>
      <c r="F47" s="13">
        <f t="shared" si="22"/>
        <v>8.41015160398893e-7</v>
      </c>
      <c r="G47" s="13">
        <f t="shared" si="22"/>
        <v>5.1594317023662e-7</v>
      </c>
      <c r="H47" s="13">
        <f t="shared" si="22"/>
        <v>5.9947001843061e-7</v>
      </c>
      <c r="I47" s="13">
        <f t="shared" si="22"/>
        <v>4.12960424984549e-7</v>
      </c>
      <c r="J47" s="13">
        <f t="shared" si="22"/>
        <v>3.13347112019058e-7</v>
      </c>
      <c r="K47" s="13">
        <f t="shared" si="22"/>
        <v>4.0178768970177e-5</v>
      </c>
      <c r="L47" s="13">
        <f t="shared" si="22"/>
        <v>1.47558664296396e-5</v>
      </c>
      <c r="M47" s="13">
        <f t="shared" si="22"/>
        <v>0</v>
      </c>
      <c r="N47" s="13">
        <f t="shared" si="22"/>
        <v>9.8681150453306e-6</v>
      </c>
      <c r="O47" s="13">
        <f t="shared" si="22"/>
        <v>4.59799528355943e-6</v>
      </c>
      <c r="P47" s="13">
        <f t="shared" si="22"/>
        <v>4.28234964910134e-6</v>
      </c>
      <c r="Q47" s="13">
        <f t="shared" si="22"/>
        <v>1.76815366690593e-6</v>
      </c>
      <c r="R47" s="13">
        <f t="shared" ref="R47:AA47" si="23">R13*R13</f>
        <v>1.5975562808129e-6</v>
      </c>
      <c r="S47" s="13">
        <f t="shared" si="23"/>
        <v>3.07201802805328e-6</v>
      </c>
      <c r="T47" s="13">
        <f t="shared" si="23"/>
        <v>1.71092002701964e-6</v>
      </c>
      <c r="U47" s="13">
        <f t="shared" si="23"/>
        <v>9.09280832622021e-7</v>
      </c>
      <c r="V47" s="13">
        <f t="shared" si="23"/>
        <v>4.67617076732402e-7</v>
      </c>
      <c r="W47" s="13">
        <f t="shared" si="23"/>
        <v>4.41388544379447e-7</v>
      </c>
      <c r="X47" s="13">
        <f t="shared" si="23"/>
        <v>5.83000208462858e-7</v>
      </c>
      <c r="Y47" s="13">
        <f t="shared" si="23"/>
        <v>4.20106648258906e-7</v>
      </c>
      <c r="Z47" s="13">
        <f t="shared" si="23"/>
        <v>5.06042102534686e-7</v>
      </c>
      <c r="AA47" s="13">
        <f t="shared" si="23"/>
        <v>2.97786516436965e-7</v>
      </c>
      <c r="AB47" s="13">
        <f t="shared" ref="AB47" si="24">AB13*AB13</f>
        <v>1.27960802573179e-7</v>
      </c>
      <c r="AC47" s="13">
        <f t="shared" ref="AC47:AG54" si="25">AC13*AC13</f>
        <v>7.2588559010641e-7</v>
      </c>
      <c r="AD47" s="13">
        <f t="shared" si="25"/>
        <v>3.55594303634762e-7</v>
      </c>
      <c r="AE47" s="13">
        <f t="shared" si="25"/>
        <v>2.88341047966706e-7</v>
      </c>
      <c r="AF47" s="13">
        <f t="shared" si="25"/>
        <v>4.07726291565116e-7</v>
      </c>
      <c r="AG47" s="13">
        <f t="shared" si="25"/>
        <v>9.50830895439727e-8</v>
      </c>
      <c r="AH47" s="13">
        <f t="shared" si="2"/>
        <v>9.28696277560077e-5</v>
      </c>
      <c r="AI47" s="13">
        <v>9.28696277560077e-5</v>
      </c>
      <c r="AJ47" s="13">
        <v>9.28696277560077e-5</v>
      </c>
      <c r="AK47" s="13">
        <v>9.28696277560077e-5</v>
      </c>
      <c r="AL47" s="13">
        <v>9.28696277560077e-5</v>
      </c>
      <c r="AM47" s="13">
        <v>9.28696277560077e-5</v>
      </c>
      <c r="AN47" s="13">
        <v>9.28696277560077e-5</v>
      </c>
      <c r="AO47" s="13">
        <v>9.28696277560077e-5</v>
      </c>
      <c r="AP47" s="13">
        <v>9.28696277560077e-5</v>
      </c>
      <c r="AQ47" s="13">
        <v>9.28696277560077e-5</v>
      </c>
      <c r="AR47" s="13">
        <v>9.28696277560077e-5</v>
      </c>
      <c r="AS47" s="13">
        <v>9.28696277560077e-5</v>
      </c>
      <c r="AT47" s="13">
        <v>9.28696277560077e-5</v>
      </c>
      <c r="AU47" s="13">
        <v>9.28696277560077e-5</v>
      </c>
      <c r="AV47" s="13">
        <v>9.28696277560077e-5</v>
      </c>
      <c r="AW47" s="13">
        <v>9.28696277560077e-5</v>
      </c>
      <c r="AX47" s="13">
        <v>9.28696277560077e-5</v>
      </c>
      <c r="AY47" s="13">
        <v>9.28696277560077e-5</v>
      </c>
      <c r="AZ47" s="13">
        <v>9.28696277560077e-5</v>
      </c>
      <c r="BA47" s="13">
        <v>9.28696277560077e-5</v>
      </c>
      <c r="BB47" s="13">
        <v>9.28696277560077e-5</v>
      </c>
      <c r="BC47" s="13">
        <v>9.28696277560077e-5</v>
      </c>
      <c r="BD47" s="13">
        <v>9.28696277560077e-5</v>
      </c>
      <c r="BE47" s="13">
        <v>9.28696277560077e-5</v>
      </c>
      <c r="BF47" s="13">
        <v>9.28696277560077e-5</v>
      </c>
      <c r="BG47" s="13">
        <v>9.28696277560077e-5</v>
      </c>
      <c r="BH47" s="13">
        <v>9.28696277560077e-5</v>
      </c>
      <c r="BI47" s="13">
        <v>9.28696277560077e-5</v>
      </c>
      <c r="BJ47" s="13">
        <v>9.28696277560077e-5</v>
      </c>
      <c r="BK47" s="13">
        <v>9.28696277560077e-5</v>
      </c>
      <c r="BL47" s="13">
        <v>9.28696277560077e-5</v>
      </c>
    </row>
    <row r="48" spans="1:64">
      <c r="A48" s="13"/>
      <c r="B48" s="13" t="s">
        <v>11</v>
      </c>
      <c r="C48" s="13">
        <f t="shared" si="0"/>
        <v>1.24048998879833e-6</v>
      </c>
      <c r="D48" s="13">
        <f t="shared" ref="D48:Q48" si="26">D14*D14</f>
        <v>1.43454326743178e-6</v>
      </c>
      <c r="E48" s="13">
        <f t="shared" si="26"/>
        <v>1.68843290535666e-6</v>
      </c>
      <c r="F48" s="13">
        <f t="shared" si="26"/>
        <v>1.54883375274162e-6</v>
      </c>
      <c r="G48" s="13">
        <f t="shared" si="26"/>
        <v>7.92096310986109e-7</v>
      </c>
      <c r="H48" s="13">
        <f t="shared" si="26"/>
        <v>6.56479075605481e-7</v>
      </c>
      <c r="I48" s="13">
        <f t="shared" si="26"/>
        <v>4.3738529976159e-7</v>
      </c>
      <c r="J48" s="13">
        <f t="shared" si="26"/>
        <v>3.29719616396616e-7</v>
      </c>
      <c r="K48" s="13">
        <f t="shared" si="26"/>
        <v>6.4412195186644e-6</v>
      </c>
      <c r="L48" s="13">
        <f t="shared" si="26"/>
        <v>5.51677780343823e-5</v>
      </c>
      <c r="M48" s="13">
        <f t="shared" si="26"/>
        <v>9.8681150453306e-6</v>
      </c>
      <c r="N48" s="13">
        <f t="shared" si="26"/>
        <v>0</v>
      </c>
      <c r="O48" s="13">
        <f t="shared" si="26"/>
        <v>2.44385952806145e-6</v>
      </c>
      <c r="P48" s="13">
        <f t="shared" si="26"/>
        <v>6.89511252136891e-6</v>
      </c>
      <c r="Q48" s="13">
        <f t="shared" si="26"/>
        <v>3.38569199326617e-6</v>
      </c>
      <c r="R48" s="13">
        <f t="shared" ref="R48:AA48" si="27">R14*R14</f>
        <v>4.3299138843786e-6</v>
      </c>
      <c r="S48" s="13">
        <f t="shared" si="27"/>
        <v>1.0099992268013e-5</v>
      </c>
      <c r="T48" s="13">
        <f t="shared" si="27"/>
        <v>2.95176996485171e-6</v>
      </c>
      <c r="U48" s="13">
        <f t="shared" si="27"/>
        <v>9.60486296747244e-7</v>
      </c>
      <c r="V48" s="13">
        <f t="shared" si="27"/>
        <v>5.54692729966667e-7</v>
      </c>
      <c r="W48" s="13">
        <f t="shared" si="27"/>
        <v>4.70763618324843e-7</v>
      </c>
      <c r="X48" s="13">
        <f t="shared" si="27"/>
        <v>9.22856421775219e-7</v>
      </c>
      <c r="Y48" s="13">
        <f t="shared" si="27"/>
        <v>6.31068770495461e-7</v>
      </c>
      <c r="Z48" s="13">
        <f t="shared" si="27"/>
        <v>7.01306222875795e-7</v>
      </c>
      <c r="AA48" s="13">
        <f t="shared" si="27"/>
        <v>3.83952724350648e-7</v>
      </c>
      <c r="AB48" s="13">
        <f t="shared" ref="AB48" si="28">AB14*AB14</f>
        <v>1.59162652891152e-7</v>
      </c>
      <c r="AC48" s="13">
        <f t="shared" si="25"/>
        <v>1.36364313664281e-6</v>
      </c>
      <c r="AD48" s="13">
        <f t="shared" si="25"/>
        <v>5.41597316831352e-7</v>
      </c>
      <c r="AE48" s="13">
        <f t="shared" si="25"/>
        <v>4.19317397709827e-7</v>
      </c>
      <c r="AF48" s="13">
        <f t="shared" si="25"/>
        <v>6.36417029932847e-7</v>
      </c>
      <c r="AG48" s="13">
        <f t="shared" si="25"/>
        <v>1.16693686288433e-7</v>
      </c>
      <c r="AH48" s="13">
        <f t="shared" si="2"/>
        <v>0.000117573390980228</v>
      </c>
      <c r="AI48" s="13">
        <v>0.000117573390980228</v>
      </c>
      <c r="AJ48" s="13">
        <v>0.000117573390980228</v>
      </c>
      <c r="AK48" s="13">
        <v>0.000117573390980228</v>
      </c>
      <c r="AL48" s="13">
        <v>0.000117573390980228</v>
      </c>
      <c r="AM48" s="13">
        <v>0.000117573390980228</v>
      </c>
      <c r="AN48" s="13">
        <v>0.000117573390980228</v>
      </c>
      <c r="AO48" s="13">
        <v>0.000117573390980228</v>
      </c>
      <c r="AP48" s="13">
        <v>0.000117573390980228</v>
      </c>
      <c r="AQ48" s="13">
        <v>0.000117573390980228</v>
      </c>
      <c r="AR48" s="13">
        <v>0.000117573390980228</v>
      </c>
      <c r="AS48" s="13">
        <v>0.000117573390980228</v>
      </c>
      <c r="AT48" s="13">
        <v>0.000117573390980228</v>
      </c>
      <c r="AU48" s="13">
        <v>0.000117573390980228</v>
      </c>
      <c r="AV48" s="13">
        <v>0.000117573390980228</v>
      </c>
      <c r="AW48" s="13">
        <v>0.000117573390980228</v>
      </c>
      <c r="AX48" s="13">
        <v>0.000117573390980228</v>
      </c>
      <c r="AY48" s="13">
        <v>0.000117573390980228</v>
      </c>
      <c r="AZ48" s="13">
        <v>0.000117573390980228</v>
      </c>
      <c r="BA48" s="13">
        <v>0.000117573390980228</v>
      </c>
      <c r="BB48" s="13">
        <v>0.000117573390980228</v>
      </c>
      <c r="BC48" s="13">
        <v>0.000117573390980228</v>
      </c>
      <c r="BD48" s="13">
        <v>0.000117573390980228</v>
      </c>
      <c r="BE48" s="13">
        <v>0.000117573390980228</v>
      </c>
      <c r="BF48" s="13">
        <v>0.000117573390980228</v>
      </c>
      <c r="BG48" s="13">
        <v>0.000117573390980228</v>
      </c>
      <c r="BH48" s="13">
        <v>0.000117573390980228</v>
      </c>
      <c r="BI48" s="13">
        <v>0.000117573390980228</v>
      </c>
      <c r="BJ48" s="13">
        <v>0.000117573390980228</v>
      </c>
      <c r="BK48" s="13">
        <v>0.000117573390980228</v>
      </c>
      <c r="BL48" s="13">
        <v>0.000117573390980228</v>
      </c>
    </row>
    <row r="49" spans="1:64">
      <c r="A49" s="13"/>
      <c r="B49" s="13" t="s">
        <v>12</v>
      </c>
      <c r="C49" s="13">
        <f t="shared" si="0"/>
        <v>4.28562893944257e-7</v>
      </c>
      <c r="D49" s="13">
        <f t="shared" ref="D49:Q49" si="29">D15*D15</f>
        <v>4.71329066846624e-7</v>
      </c>
      <c r="E49" s="13">
        <f t="shared" si="29"/>
        <v>5.03540220672731e-7</v>
      </c>
      <c r="F49" s="13">
        <f t="shared" si="29"/>
        <v>4.87113731237006e-7</v>
      </c>
      <c r="G49" s="13">
        <f t="shared" si="29"/>
        <v>3.22909422972098e-7</v>
      </c>
      <c r="H49" s="13">
        <f t="shared" si="29"/>
        <v>3.2359879922511e-7</v>
      </c>
      <c r="I49" s="13">
        <f t="shared" si="29"/>
        <v>2.44690751385797e-7</v>
      </c>
      <c r="J49" s="13">
        <f t="shared" si="29"/>
        <v>1.97259398698294e-7</v>
      </c>
      <c r="K49" s="13">
        <f t="shared" si="29"/>
        <v>2.75073217860465e-6</v>
      </c>
      <c r="L49" s="13">
        <f t="shared" si="29"/>
        <v>2.23187142793611e-6</v>
      </c>
      <c r="M49" s="13">
        <f t="shared" si="29"/>
        <v>4.59799528355943e-6</v>
      </c>
      <c r="N49" s="13">
        <f t="shared" si="29"/>
        <v>2.44385952806145e-6</v>
      </c>
      <c r="O49" s="13">
        <f t="shared" si="29"/>
        <v>0</v>
      </c>
      <c r="P49" s="13">
        <f t="shared" si="29"/>
        <v>5.06301741042811e-6</v>
      </c>
      <c r="Q49" s="13">
        <f t="shared" si="29"/>
        <v>7.29762137613566e-7</v>
      </c>
      <c r="R49" s="13">
        <f t="shared" ref="R49:AA49" si="30">R15*R15</f>
        <v>8.44453339685081e-7</v>
      </c>
      <c r="S49" s="13">
        <f t="shared" si="30"/>
        <v>2.12550421618131e-6</v>
      </c>
      <c r="T49" s="13">
        <f t="shared" si="30"/>
        <v>2.08540082624535e-6</v>
      </c>
      <c r="U49" s="13">
        <f t="shared" si="30"/>
        <v>2.07008811483366e-6</v>
      </c>
      <c r="V49" s="13">
        <f t="shared" si="30"/>
        <v>7.13976964125039e-7</v>
      </c>
      <c r="W49" s="13">
        <f t="shared" si="30"/>
        <v>7.71941879697738e-7</v>
      </c>
      <c r="X49" s="13">
        <f t="shared" si="30"/>
        <v>5.87650225859901e-7</v>
      </c>
      <c r="Y49" s="13">
        <f t="shared" si="30"/>
        <v>4.10704104334578e-7</v>
      </c>
      <c r="Z49" s="13">
        <f t="shared" si="30"/>
        <v>6.15697403619446e-7</v>
      </c>
      <c r="AA49" s="13">
        <f t="shared" si="30"/>
        <v>3.51814198962127e-7</v>
      </c>
      <c r="AB49" s="13">
        <f t="shared" ref="AB49" si="31">AB15*AB15</f>
        <v>1.28903884102155e-7</v>
      </c>
      <c r="AC49" s="13">
        <f t="shared" si="25"/>
        <v>5.38573949435405e-7</v>
      </c>
      <c r="AD49" s="13">
        <f t="shared" si="25"/>
        <v>2.894514269539e-7</v>
      </c>
      <c r="AE49" s="13">
        <f t="shared" si="25"/>
        <v>2.4156466593424e-7</v>
      </c>
      <c r="AF49" s="13">
        <f t="shared" si="25"/>
        <v>2.99248302586617e-7</v>
      </c>
      <c r="AG49" s="13">
        <f t="shared" si="25"/>
        <v>8.34012063493931e-8</v>
      </c>
      <c r="AH49" s="13">
        <f t="shared" si="2"/>
        <v>3.29546169600912e-5</v>
      </c>
      <c r="AI49" s="13">
        <v>3.29546169600912e-5</v>
      </c>
      <c r="AJ49" s="13">
        <v>3.29546169600912e-5</v>
      </c>
      <c r="AK49" s="13">
        <v>3.29546169600912e-5</v>
      </c>
      <c r="AL49" s="13">
        <v>3.29546169600912e-5</v>
      </c>
      <c r="AM49" s="13">
        <v>3.29546169600912e-5</v>
      </c>
      <c r="AN49" s="13">
        <v>3.29546169600912e-5</v>
      </c>
      <c r="AO49" s="13">
        <v>3.29546169600912e-5</v>
      </c>
      <c r="AP49" s="13">
        <v>3.29546169600912e-5</v>
      </c>
      <c r="AQ49" s="13">
        <v>3.29546169600912e-5</v>
      </c>
      <c r="AR49" s="13">
        <v>3.29546169600912e-5</v>
      </c>
      <c r="AS49" s="13">
        <v>3.29546169600912e-5</v>
      </c>
      <c r="AT49" s="13">
        <v>3.29546169600912e-5</v>
      </c>
      <c r="AU49" s="13">
        <v>3.29546169600912e-5</v>
      </c>
      <c r="AV49" s="13">
        <v>3.29546169600912e-5</v>
      </c>
      <c r="AW49" s="13">
        <v>3.29546169600912e-5</v>
      </c>
      <c r="AX49" s="13">
        <v>3.29546169600912e-5</v>
      </c>
      <c r="AY49" s="13">
        <v>3.29546169600912e-5</v>
      </c>
      <c r="AZ49" s="13">
        <v>3.29546169600912e-5</v>
      </c>
      <c r="BA49" s="13">
        <v>3.29546169600912e-5</v>
      </c>
      <c r="BB49" s="13">
        <v>3.29546169600912e-5</v>
      </c>
      <c r="BC49" s="13">
        <v>3.29546169600912e-5</v>
      </c>
      <c r="BD49" s="13">
        <v>3.29546169600912e-5</v>
      </c>
      <c r="BE49" s="13">
        <v>3.29546169600912e-5</v>
      </c>
      <c r="BF49" s="13">
        <v>3.29546169600912e-5</v>
      </c>
      <c r="BG49" s="13">
        <v>3.29546169600912e-5</v>
      </c>
      <c r="BH49" s="13">
        <v>3.29546169600912e-5</v>
      </c>
      <c r="BI49" s="13">
        <v>3.29546169600912e-5</v>
      </c>
      <c r="BJ49" s="13">
        <v>3.29546169600912e-5</v>
      </c>
      <c r="BK49" s="13">
        <v>3.29546169600912e-5</v>
      </c>
      <c r="BL49" s="13">
        <v>3.29546169600912e-5</v>
      </c>
    </row>
    <row r="50" spans="1:64">
      <c r="A50" s="13"/>
      <c r="B50" s="13" t="s">
        <v>13</v>
      </c>
      <c r="C50" s="13">
        <f t="shared" si="0"/>
        <v>6.47389318035485e-7</v>
      </c>
      <c r="D50" s="13">
        <f t="shared" ref="D50:Q50" si="32">D16*D16</f>
        <v>7.04895304734144e-7</v>
      </c>
      <c r="E50" s="13">
        <f t="shared" si="32"/>
        <v>8.61833576372457e-7</v>
      </c>
      <c r="F50" s="13">
        <f t="shared" si="32"/>
        <v>8.88699347168188e-7</v>
      </c>
      <c r="G50" s="13">
        <f t="shared" si="32"/>
        <v>5.1242325611718e-7</v>
      </c>
      <c r="H50" s="13">
        <f t="shared" si="32"/>
        <v>3.83385015916451e-7</v>
      </c>
      <c r="I50" s="13">
        <f t="shared" si="32"/>
        <v>2.79105416294612e-7</v>
      </c>
      <c r="J50" s="13">
        <f t="shared" si="32"/>
        <v>2.2200776543626e-7</v>
      </c>
      <c r="K50" s="13">
        <f t="shared" si="32"/>
        <v>2.49691366872843e-6</v>
      </c>
      <c r="L50" s="13">
        <f t="shared" si="32"/>
        <v>4.13912261893345e-6</v>
      </c>
      <c r="M50" s="13">
        <f t="shared" si="32"/>
        <v>4.28234964910134e-6</v>
      </c>
      <c r="N50" s="13">
        <f t="shared" si="32"/>
        <v>6.89511252136891e-6</v>
      </c>
      <c r="O50" s="13">
        <f t="shared" si="32"/>
        <v>5.06301741042811e-6</v>
      </c>
      <c r="P50" s="13">
        <f t="shared" si="32"/>
        <v>0</v>
      </c>
      <c r="Q50" s="13">
        <f t="shared" si="32"/>
        <v>1.23211477418648e-6</v>
      </c>
      <c r="R50" s="13">
        <f t="shared" ref="R50:AA50" si="33">R16*R16</f>
        <v>2.0132387364929e-6</v>
      </c>
      <c r="S50" s="13">
        <f t="shared" si="33"/>
        <v>1.53752846990869e-5</v>
      </c>
      <c r="T50" s="13">
        <f t="shared" si="33"/>
        <v>1.17366890003745e-5</v>
      </c>
      <c r="U50" s="13">
        <f t="shared" si="33"/>
        <v>2.44463659243738e-6</v>
      </c>
      <c r="V50" s="13">
        <f t="shared" si="33"/>
        <v>1.01961549206598e-6</v>
      </c>
      <c r="W50" s="13">
        <f t="shared" si="33"/>
        <v>8.58806034668077e-7</v>
      </c>
      <c r="X50" s="13">
        <f t="shared" si="33"/>
        <v>1.27105070575694e-6</v>
      </c>
      <c r="Y50" s="13">
        <f t="shared" si="33"/>
        <v>7.72556200690397e-7</v>
      </c>
      <c r="Z50" s="13">
        <f t="shared" si="33"/>
        <v>1.15455111726849e-6</v>
      </c>
      <c r="AA50" s="13">
        <f t="shared" si="33"/>
        <v>5.42885387421686e-7</v>
      </c>
      <c r="AB50" s="13">
        <f t="shared" ref="AB50" si="34">AB16*AB16</f>
        <v>1.76388517346131e-7</v>
      </c>
      <c r="AC50" s="13">
        <f t="shared" si="25"/>
        <v>1.17290442658038e-6</v>
      </c>
      <c r="AD50" s="13">
        <f t="shared" si="25"/>
        <v>4.99116962748448e-7</v>
      </c>
      <c r="AE50" s="13">
        <f t="shared" si="25"/>
        <v>3.95314234455899e-7</v>
      </c>
      <c r="AF50" s="13">
        <f t="shared" si="25"/>
        <v>5.08894416485322e-7</v>
      </c>
      <c r="AG50" s="13">
        <f t="shared" si="25"/>
        <v>1.09612875736757e-7</v>
      </c>
      <c r="AH50" s="13">
        <f t="shared" si="2"/>
        <v>6.86599150424378e-5</v>
      </c>
      <c r="AI50" s="13">
        <v>6.86599150424378e-5</v>
      </c>
      <c r="AJ50" s="13">
        <v>6.86599150424378e-5</v>
      </c>
      <c r="AK50" s="13">
        <v>6.86599150424378e-5</v>
      </c>
      <c r="AL50" s="13">
        <v>6.86599150424378e-5</v>
      </c>
      <c r="AM50" s="13">
        <v>6.86599150424378e-5</v>
      </c>
      <c r="AN50" s="13">
        <v>6.86599150424378e-5</v>
      </c>
      <c r="AO50" s="13">
        <v>6.86599150424378e-5</v>
      </c>
      <c r="AP50" s="13">
        <v>6.86599150424378e-5</v>
      </c>
      <c r="AQ50" s="13">
        <v>6.86599150424378e-5</v>
      </c>
      <c r="AR50" s="13">
        <v>6.86599150424378e-5</v>
      </c>
      <c r="AS50" s="13">
        <v>6.86599150424378e-5</v>
      </c>
      <c r="AT50" s="13">
        <v>6.86599150424378e-5</v>
      </c>
      <c r="AU50" s="13">
        <v>6.86599150424378e-5</v>
      </c>
      <c r="AV50" s="13">
        <v>6.86599150424378e-5</v>
      </c>
      <c r="AW50" s="13">
        <v>6.86599150424378e-5</v>
      </c>
      <c r="AX50" s="13">
        <v>6.86599150424378e-5</v>
      </c>
      <c r="AY50" s="13">
        <v>6.86599150424378e-5</v>
      </c>
      <c r="AZ50" s="13">
        <v>6.86599150424378e-5</v>
      </c>
      <c r="BA50" s="13">
        <v>6.86599150424378e-5</v>
      </c>
      <c r="BB50" s="13">
        <v>6.86599150424378e-5</v>
      </c>
      <c r="BC50" s="13">
        <v>6.86599150424378e-5</v>
      </c>
      <c r="BD50" s="13">
        <v>6.86599150424378e-5</v>
      </c>
      <c r="BE50" s="13">
        <v>6.86599150424378e-5</v>
      </c>
      <c r="BF50" s="13">
        <v>6.86599150424378e-5</v>
      </c>
      <c r="BG50" s="13">
        <v>6.86599150424378e-5</v>
      </c>
      <c r="BH50" s="13">
        <v>6.86599150424378e-5</v>
      </c>
      <c r="BI50" s="13">
        <v>6.86599150424378e-5</v>
      </c>
      <c r="BJ50" s="13">
        <v>6.86599150424378e-5</v>
      </c>
      <c r="BK50" s="13">
        <v>6.86599150424378e-5</v>
      </c>
      <c r="BL50" s="13">
        <v>6.86599150424378e-5</v>
      </c>
    </row>
    <row r="51" spans="1:64">
      <c r="A51" s="13"/>
      <c r="B51" s="13" t="s">
        <v>14</v>
      </c>
      <c r="C51" s="13">
        <f t="shared" si="0"/>
        <v>7.8488700673347e-6</v>
      </c>
      <c r="D51" s="13">
        <f t="shared" ref="D51:Q51" si="35">D17*D17</f>
        <v>1.17402371430002e-5</v>
      </c>
      <c r="E51" s="13">
        <f t="shared" si="35"/>
        <v>1.11346547495988e-5</v>
      </c>
      <c r="F51" s="13">
        <f t="shared" si="35"/>
        <v>5.30309445198088e-6</v>
      </c>
      <c r="G51" s="13">
        <f t="shared" si="35"/>
        <v>2.25483898509493e-6</v>
      </c>
      <c r="H51" s="13">
        <f t="shared" si="35"/>
        <v>1.63406214446612e-6</v>
      </c>
      <c r="I51" s="13">
        <f t="shared" si="35"/>
        <v>8.94729663895834e-7</v>
      </c>
      <c r="J51" s="13">
        <f t="shared" si="35"/>
        <v>6.14317113972036e-7</v>
      </c>
      <c r="K51" s="13">
        <f t="shared" si="35"/>
        <v>1.99927137517108e-6</v>
      </c>
      <c r="L51" s="13">
        <f t="shared" si="35"/>
        <v>3.92624743003272e-6</v>
      </c>
      <c r="M51" s="13">
        <f t="shared" si="35"/>
        <v>1.76815366690593e-6</v>
      </c>
      <c r="N51" s="13">
        <f t="shared" si="35"/>
        <v>3.38569199326617e-6</v>
      </c>
      <c r="O51" s="13">
        <f t="shared" si="35"/>
        <v>7.29762137613566e-7</v>
      </c>
      <c r="P51" s="13">
        <f t="shared" si="35"/>
        <v>1.23211477418648e-6</v>
      </c>
      <c r="Q51" s="13">
        <f t="shared" si="35"/>
        <v>0</v>
      </c>
      <c r="R51" s="13">
        <f t="shared" ref="R51:AA51" si="36">R17*R17</f>
        <v>6.52599901140522e-6</v>
      </c>
      <c r="S51" s="13">
        <f t="shared" si="36"/>
        <v>1.91333025694905e-6</v>
      </c>
      <c r="T51" s="13">
        <f t="shared" si="36"/>
        <v>9.7918828857159e-7</v>
      </c>
      <c r="U51" s="13">
        <f t="shared" si="36"/>
        <v>4.27969821909067e-7</v>
      </c>
      <c r="V51" s="13">
        <f t="shared" si="36"/>
        <v>3.20174872387469e-7</v>
      </c>
      <c r="W51" s="13">
        <f t="shared" si="36"/>
        <v>2.65668301306124e-7</v>
      </c>
      <c r="X51" s="13">
        <f t="shared" si="36"/>
        <v>6.55673962735126e-7</v>
      </c>
      <c r="Y51" s="13">
        <f t="shared" si="36"/>
        <v>5.28575679206593e-7</v>
      </c>
      <c r="Z51" s="13">
        <f t="shared" si="36"/>
        <v>4.43160995511083e-7</v>
      </c>
      <c r="AA51" s="13">
        <f t="shared" si="36"/>
        <v>2.83274370293561e-7</v>
      </c>
      <c r="AB51" s="13">
        <f t="shared" ref="AB51" si="37">AB17*AB17</f>
        <v>1.55792233925529e-7</v>
      </c>
      <c r="AC51" s="13">
        <f t="shared" si="25"/>
        <v>1.54346813877918e-6</v>
      </c>
      <c r="AD51" s="13">
        <f t="shared" si="25"/>
        <v>6.81669511027226e-7</v>
      </c>
      <c r="AE51" s="13">
        <f t="shared" si="25"/>
        <v>5.18101544275423e-7</v>
      </c>
      <c r="AF51" s="13">
        <f t="shared" si="25"/>
        <v>1.03878008036423e-6</v>
      </c>
      <c r="AG51" s="13">
        <f t="shared" si="25"/>
        <v>1.44215054196627e-7</v>
      </c>
      <c r="AH51" s="13">
        <f t="shared" si="2"/>
        <v>7.08910878193625e-5</v>
      </c>
      <c r="AI51" s="13">
        <v>7.08910878193625e-5</v>
      </c>
      <c r="AJ51" s="13">
        <v>7.08910878193625e-5</v>
      </c>
      <c r="AK51" s="13">
        <v>7.08910878193625e-5</v>
      </c>
      <c r="AL51" s="13">
        <v>7.08910878193625e-5</v>
      </c>
      <c r="AM51" s="13">
        <v>7.08910878193625e-5</v>
      </c>
      <c r="AN51" s="13">
        <v>7.08910878193625e-5</v>
      </c>
      <c r="AO51" s="13">
        <v>7.08910878193625e-5</v>
      </c>
      <c r="AP51" s="13">
        <v>7.08910878193625e-5</v>
      </c>
      <c r="AQ51" s="13">
        <v>7.08910878193625e-5</v>
      </c>
      <c r="AR51" s="13">
        <v>7.08910878193625e-5</v>
      </c>
      <c r="AS51" s="13">
        <v>7.08910878193625e-5</v>
      </c>
      <c r="AT51" s="13">
        <v>7.08910878193625e-5</v>
      </c>
      <c r="AU51" s="13">
        <v>7.08910878193625e-5</v>
      </c>
      <c r="AV51" s="13">
        <v>7.08910878193625e-5</v>
      </c>
      <c r="AW51" s="13">
        <v>7.08910878193625e-5</v>
      </c>
      <c r="AX51" s="13">
        <v>7.08910878193625e-5</v>
      </c>
      <c r="AY51" s="13">
        <v>7.08910878193625e-5</v>
      </c>
      <c r="AZ51" s="13">
        <v>7.08910878193625e-5</v>
      </c>
      <c r="BA51" s="13">
        <v>7.08910878193625e-5</v>
      </c>
      <c r="BB51" s="13">
        <v>7.08910878193625e-5</v>
      </c>
      <c r="BC51" s="13">
        <v>7.08910878193625e-5</v>
      </c>
      <c r="BD51" s="13">
        <v>7.08910878193625e-5</v>
      </c>
      <c r="BE51" s="13">
        <v>7.08910878193625e-5</v>
      </c>
      <c r="BF51" s="13">
        <v>7.08910878193625e-5</v>
      </c>
      <c r="BG51" s="13">
        <v>7.08910878193625e-5</v>
      </c>
      <c r="BH51" s="13">
        <v>7.08910878193625e-5</v>
      </c>
      <c r="BI51" s="13">
        <v>7.08910878193625e-5</v>
      </c>
      <c r="BJ51" s="13">
        <v>7.08910878193625e-5</v>
      </c>
      <c r="BK51" s="13">
        <v>7.08910878193625e-5</v>
      </c>
      <c r="BL51" s="13">
        <v>7.08910878193625e-5</v>
      </c>
    </row>
    <row r="52" spans="1:64">
      <c r="A52" s="13"/>
      <c r="B52" s="13" t="s">
        <v>15</v>
      </c>
      <c r="C52" s="13">
        <f t="shared" si="0"/>
        <v>2.5995333118572e-6</v>
      </c>
      <c r="D52" s="13">
        <f t="shared" ref="D52:Q52" si="38">D18*D18</f>
        <v>2.72007528133009e-6</v>
      </c>
      <c r="E52" s="13">
        <f t="shared" si="38"/>
        <v>6.11325667672439e-6</v>
      </c>
      <c r="F52" s="13">
        <f t="shared" si="38"/>
        <v>7.88405361531871e-6</v>
      </c>
      <c r="G52" s="13">
        <f t="shared" si="38"/>
        <v>2.08361956836507e-6</v>
      </c>
      <c r="H52" s="13">
        <f t="shared" si="38"/>
        <v>7.38245268688751e-7</v>
      </c>
      <c r="I52" s="13">
        <f t="shared" si="38"/>
        <v>4.86824027165189e-7</v>
      </c>
      <c r="J52" s="13">
        <f t="shared" si="38"/>
        <v>3.69900286891602e-7</v>
      </c>
      <c r="K52" s="13">
        <f t="shared" si="38"/>
        <v>1.46829275803674e-6</v>
      </c>
      <c r="L52" s="13">
        <f t="shared" si="38"/>
        <v>3.39002219681433e-6</v>
      </c>
      <c r="M52" s="13">
        <f t="shared" si="38"/>
        <v>1.5975562808129e-6</v>
      </c>
      <c r="N52" s="13">
        <f t="shared" si="38"/>
        <v>4.3299138843786e-6</v>
      </c>
      <c r="O52" s="13">
        <f t="shared" si="38"/>
        <v>8.44453339685081e-7</v>
      </c>
      <c r="P52" s="13">
        <f t="shared" si="38"/>
        <v>2.0132387364929e-6</v>
      </c>
      <c r="Q52" s="13">
        <f t="shared" si="38"/>
        <v>6.52599901140522e-6</v>
      </c>
      <c r="R52" s="13">
        <f t="shared" ref="R52:AA52" si="39">R18*R18</f>
        <v>0</v>
      </c>
      <c r="S52" s="13">
        <f t="shared" si="39"/>
        <v>4.6606176663777e-6</v>
      </c>
      <c r="T52" s="13">
        <f t="shared" si="39"/>
        <v>1.98397163477209e-6</v>
      </c>
      <c r="U52" s="13">
        <f t="shared" si="39"/>
        <v>6.22861399600292e-7</v>
      </c>
      <c r="V52" s="13">
        <f t="shared" si="39"/>
        <v>4.91001135630582e-7</v>
      </c>
      <c r="W52" s="13">
        <f t="shared" si="39"/>
        <v>3.72674415973367e-7</v>
      </c>
      <c r="X52" s="13">
        <f t="shared" si="39"/>
        <v>1.40370753992436e-6</v>
      </c>
      <c r="Y52" s="13">
        <f t="shared" si="39"/>
        <v>1.02404998185349e-6</v>
      </c>
      <c r="Z52" s="13">
        <f t="shared" si="39"/>
        <v>7.92076946585634e-7</v>
      </c>
      <c r="AA52" s="13">
        <f t="shared" si="39"/>
        <v>4.50469349784075e-7</v>
      </c>
      <c r="AB52" s="13">
        <f t="shared" ref="AB52" si="40">AB18*AB18</f>
        <v>2.11315090504178e-7</v>
      </c>
      <c r="AC52" s="13">
        <f t="shared" si="25"/>
        <v>5.04476657751267e-6</v>
      </c>
      <c r="AD52" s="13">
        <f t="shared" si="25"/>
        <v>1.19260360430739e-6</v>
      </c>
      <c r="AE52" s="13">
        <f t="shared" si="25"/>
        <v>8.24182608186336e-7</v>
      </c>
      <c r="AF52" s="13">
        <f t="shared" si="25"/>
        <v>1.66530640564317e-6</v>
      </c>
      <c r="AG52" s="13">
        <f t="shared" si="25"/>
        <v>1.66190947381492e-7</v>
      </c>
      <c r="AH52" s="13">
        <f t="shared" si="2"/>
        <v>6.40707795480036e-5</v>
      </c>
      <c r="AI52" s="13">
        <v>6.40707795480036e-5</v>
      </c>
      <c r="AJ52" s="13">
        <v>6.40707795480036e-5</v>
      </c>
      <c r="AK52" s="13">
        <v>6.40707795480036e-5</v>
      </c>
      <c r="AL52" s="13">
        <v>6.40707795480036e-5</v>
      </c>
      <c r="AM52" s="13">
        <v>6.40707795480036e-5</v>
      </c>
      <c r="AN52" s="13">
        <v>6.40707795480036e-5</v>
      </c>
      <c r="AO52" s="13">
        <v>6.40707795480036e-5</v>
      </c>
      <c r="AP52" s="13">
        <v>6.40707795480036e-5</v>
      </c>
      <c r="AQ52" s="13">
        <v>6.40707795480036e-5</v>
      </c>
      <c r="AR52" s="13">
        <v>6.40707795480036e-5</v>
      </c>
      <c r="AS52" s="13">
        <v>6.40707795480036e-5</v>
      </c>
      <c r="AT52" s="13">
        <v>6.40707795480036e-5</v>
      </c>
      <c r="AU52" s="13">
        <v>6.40707795480036e-5</v>
      </c>
      <c r="AV52" s="13">
        <v>6.40707795480036e-5</v>
      </c>
      <c r="AW52" s="13">
        <v>6.40707795480036e-5</v>
      </c>
      <c r="AX52" s="13">
        <v>6.40707795480036e-5</v>
      </c>
      <c r="AY52" s="13">
        <v>6.40707795480036e-5</v>
      </c>
      <c r="AZ52" s="13">
        <v>6.40707795480036e-5</v>
      </c>
      <c r="BA52" s="13">
        <v>6.40707795480036e-5</v>
      </c>
      <c r="BB52" s="13">
        <v>6.40707795480036e-5</v>
      </c>
      <c r="BC52" s="13">
        <v>6.40707795480036e-5</v>
      </c>
      <c r="BD52" s="13">
        <v>6.40707795480036e-5</v>
      </c>
      <c r="BE52" s="13">
        <v>6.40707795480036e-5</v>
      </c>
      <c r="BF52" s="13">
        <v>6.40707795480036e-5</v>
      </c>
      <c r="BG52" s="13">
        <v>6.40707795480036e-5</v>
      </c>
      <c r="BH52" s="13">
        <v>6.40707795480036e-5</v>
      </c>
      <c r="BI52" s="13">
        <v>6.40707795480036e-5</v>
      </c>
      <c r="BJ52" s="13">
        <v>6.40707795480036e-5</v>
      </c>
      <c r="BK52" s="13">
        <v>6.40707795480036e-5</v>
      </c>
      <c r="BL52" s="13">
        <v>6.40707795480036e-5</v>
      </c>
    </row>
    <row r="53" spans="1:64">
      <c r="A53" s="13"/>
      <c r="B53" s="13" t="s">
        <v>16</v>
      </c>
      <c r="C53" s="13">
        <f t="shared" si="0"/>
        <v>9.22198306326059e-7</v>
      </c>
      <c r="D53" s="13">
        <f t="shared" ref="D53:Q53" si="41">D19*D19</f>
        <v>9.95927511946915e-7</v>
      </c>
      <c r="E53" s="13">
        <f t="shared" si="41"/>
        <v>1.37142861919933e-6</v>
      </c>
      <c r="F53" s="13">
        <f t="shared" si="41"/>
        <v>1.49384093843617e-6</v>
      </c>
      <c r="G53" s="13">
        <f t="shared" si="41"/>
        <v>7.49659123669176e-7</v>
      </c>
      <c r="H53" s="13">
        <f t="shared" si="41"/>
        <v>4.54680295286272e-7</v>
      </c>
      <c r="I53" s="13">
        <f t="shared" si="41"/>
        <v>3.220968788427e-7</v>
      </c>
      <c r="J53" s="13">
        <f t="shared" si="41"/>
        <v>2.53282197294786e-7</v>
      </c>
      <c r="K53" s="13">
        <f t="shared" si="41"/>
        <v>2.12043955818686e-6</v>
      </c>
      <c r="L53" s="13">
        <f t="shared" si="41"/>
        <v>4.95463605929675e-6</v>
      </c>
      <c r="M53" s="13">
        <f t="shared" si="41"/>
        <v>3.07201802805328e-6</v>
      </c>
      <c r="N53" s="13">
        <f t="shared" si="41"/>
        <v>1.0099992268013e-5</v>
      </c>
      <c r="O53" s="13">
        <f t="shared" si="41"/>
        <v>2.12550421618131e-6</v>
      </c>
      <c r="P53" s="13">
        <f t="shared" si="41"/>
        <v>1.53752846990869e-5</v>
      </c>
      <c r="Q53" s="13">
        <f t="shared" si="41"/>
        <v>1.91333025694905e-6</v>
      </c>
      <c r="R53" s="13">
        <f t="shared" ref="R53:AA53" si="42">R19*R19</f>
        <v>4.6606176663777e-6</v>
      </c>
      <c r="S53" s="13">
        <f t="shared" si="42"/>
        <v>0</v>
      </c>
      <c r="T53" s="13">
        <f t="shared" si="42"/>
        <v>1.17403438299191e-5</v>
      </c>
      <c r="U53" s="13">
        <f t="shared" si="42"/>
        <v>1.50278144395994e-6</v>
      </c>
      <c r="V53" s="13">
        <f t="shared" si="42"/>
        <v>8.91305072851205e-7</v>
      </c>
      <c r="W53" s="13">
        <f t="shared" si="42"/>
        <v>6.74956317207647e-7</v>
      </c>
      <c r="X53" s="13">
        <f t="shared" si="42"/>
        <v>1.82365650701104e-6</v>
      </c>
      <c r="Y53" s="13">
        <f t="shared" si="42"/>
        <v>1.05718666782935e-6</v>
      </c>
      <c r="Z53" s="13">
        <f t="shared" si="42"/>
        <v>1.29179544598417e-6</v>
      </c>
      <c r="AA53" s="13">
        <f t="shared" si="42"/>
        <v>5.92423754767048e-7</v>
      </c>
      <c r="AB53" s="13">
        <f t="shared" ref="AB53" si="43">AB19*AB19</f>
        <v>2.01919240084195e-7</v>
      </c>
      <c r="AC53" s="13">
        <f t="shared" si="25"/>
        <v>2.18127963642499e-6</v>
      </c>
      <c r="AD53" s="13">
        <f t="shared" si="25"/>
        <v>7.22226646761503e-7</v>
      </c>
      <c r="AE53" s="13">
        <f t="shared" si="25"/>
        <v>5.44097464803951e-7</v>
      </c>
      <c r="AF53" s="13">
        <f t="shared" si="25"/>
        <v>7.59048461945022e-7</v>
      </c>
      <c r="AG53" s="13">
        <f t="shared" si="25"/>
        <v>1.2957032396122e-7</v>
      </c>
      <c r="AH53" s="13">
        <f t="shared" si="2"/>
        <v>7.49975274366568e-5</v>
      </c>
      <c r="AI53" s="13">
        <v>7.49975274366568e-5</v>
      </c>
      <c r="AJ53" s="13">
        <v>7.49975274366568e-5</v>
      </c>
      <c r="AK53" s="13">
        <v>7.49975274366568e-5</v>
      </c>
      <c r="AL53" s="13">
        <v>7.49975274366568e-5</v>
      </c>
      <c r="AM53" s="13">
        <v>7.49975274366568e-5</v>
      </c>
      <c r="AN53" s="13">
        <v>7.49975274366568e-5</v>
      </c>
      <c r="AO53" s="13">
        <v>7.49975274366568e-5</v>
      </c>
      <c r="AP53" s="13">
        <v>7.49975274366568e-5</v>
      </c>
      <c r="AQ53" s="13">
        <v>7.49975274366568e-5</v>
      </c>
      <c r="AR53" s="13">
        <v>7.49975274366568e-5</v>
      </c>
      <c r="AS53" s="13">
        <v>7.49975274366568e-5</v>
      </c>
      <c r="AT53" s="13">
        <v>7.49975274366568e-5</v>
      </c>
      <c r="AU53" s="13">
        <v>7.49975274366568e-5</v>
      </c>
      <c r="AV53" s="13">
        <v>7.49975274366568e-5</v>
      </c>
      <c r="AW53" s="13">
        <v>7.49975274366568e-5</v>
      </c>
      <c r="AX53" s="13">
        <v>7.49975274366568e-5</v>
      </c>
      <c r="AY53" s="13">
        <v>7.49975274366568e-5</v>
      </c>
      <c r="AZ53" s="13">
        <v>7.49975274366568e-5</v>
      </c>
      <c r="BA53" s="13">
        <v>7.49975274366568e-5</v>
      </c>
      <c r="BB53" s="13">
        <v>7.49975274366568e-5</v>
      </c>
      <c r="BC53" s="13">
        <v>7.49975274366568e-5</v>
      </c>
      <c r="BD53" s="13">
        <v>7.49975274366568e-5</v>
      </c>
      <c r="BE53" s="13">
        <v>7.49975274366568e-5</v>
      </c>
      <c r="BF53" s="13">
        <v>7.49975274366568e-5</v>
      </c>
      <c r="BG53" s="13">
        <v>7.49975274366568e-5</v>
      </c>
      <c r="BH53" s="13">
        <v>7.49975274366568e-5</v>
      </c>
      <c r="BI53" s="13">
        <v>7.49975274366568e-5</v>
      </c>
      <c r="BJ53" s="13">
        <v>7.49975274366568e-5</v>
      </c>
      <c r="BK53" s="13">
        <v>7.49975274366568e-5</v>
      </c>
      <c r="BL53" s="13">
        <v>7.49975274366568e-5</v>
      </c>
    </row>
    <row r="54" spans="1:64">
      <c r="A54" s="13"/>
      <c r="B54" s="13" t="s">
        <v>17</v>
      </c>
      <c r="C54" s="13">
        <f t="shared" si="0"/>
        <v>5.77367939163203e-7</v>
      </c>
      <c r="D54" s="13">
        <f t="shared" ref="D54:Q54" si="44">D20*D20</f>
        <v>6.06941533368208e-7</v>
      </c>
      <c r="E54" s="13">
        <f t="shared" si="44"/>
        <v>8.06536764720484e-7</v>
      </c>
      <c r="F54" s="13">
        <f t="shared" si="44"/>
        <v>9.08897347961612e-7</v>
      </c>
      <c r="G54" s="13">
        <f t="shared" si="44"/>
        <v>5.24981683471439e-7</v>
      </c>
      <c r="H54" s="13">
        <f t="shared" si="44"/>
        <v>3.17464645564072e-7</v>
      </c>
      <c r="I54" s="13">
        <f t="shared" si="44"/>
        <v>2.3708375858214e-7</v>
      </c>
      <c r="J54" s="13">
        <f t="shared" si="44"/>
        <v>1.92629128682328e-7</v>
      </c>
      <c r="K54" s="13">
        <f t="shared" si="44"/>
        <v>1.21792294992393e-6</v>
      </c>
      <c r="L54" s="13">
        <f t="shared" si="44"/>
        <v>1.96502232892537e-6</v>
      </c>
      <c r="M54" s="13">
        <f t="shared" si="44"/>
        <v>1.71092002701964e-6</v>
      </c>
      <c r="N54" s="13">
        <f t="shared" si="44"/>
        <v>2.95176996485171e-6</v>
      </c>
      <c r="O54" s="13">
        <f t="shared" si="44"/>
        <v>2.08540082624535e-6</v>
      </c>
      <c r="P54" s="13">
        <f t="shared" si="44"/>
        <v>1.17366890003745e-5</v>
      </c>
      <c r="Q54" s="13">
        <f t="shared" si="44"/>
        <v>9.7918828857159e-7</v>
      </c>
      <c r="R54" s="13">
        <f t="shared" ref="R54:AA54" si="45">R20*R20</f>
        <v>1.98397163477209e-6</v>
      </c>
      <c r="S54" s="13">
        <f t="shared" si="45"/>
        <v>1.17403438299191e-5</v>
      </c>
      <c r="T54" s="13">
        <f t="shared" si="45"/>
        <v>0</v>
      </c>
      <c r="U54" s="13">
        <f t="shared" si="45"/>
        <v>3.14634547199275e-6</v>
      </c>
      <c r="V54" s="13">
        <f t="shared" si="45"/>
        <v>1.69489012828688e-6</v>
      </c>
      <c r="W54" s="13">
        <f t="shared" si="45"/>
        <v>1.14690797677537e-6</v>
      </c>
      <c r="X54" s="13">
        <f t="shared" si="45"/>
        <v>2.66940557950274e-6</v>
      </c>
      <c r="Y54" s="13">
        <f t="shared" si="45"/>
        <v>1.3272761045887e-6</v>
      </c>
      <c r="Z54" s="13">
        <f t="shared" si="45"/>
        <v>2.42923700652968e-6</v>
      </c>
      <c r="AA54" s="13">
        <f t="shared" si="45"/>
        <v>8.75892030328649e-7</v>
      </c>
      <c r="AB54" s="13">
        <f t="shared" ref="AB54" si="46">AB20*AB20</f>
        <v>2.26966764296711e-7</v>
      </c>
      <c r="AC54" s="13">
        <f t="shared" si="25"/>
        <v>1.6667238898334e-6</v>
      </c>
      <c r="AD54" s="13">
        <f t="shared" si="25"/>
        <v>6.63196557019539e-7</v>
      </c>
      <c r="AE54" s="13">
        <f t="shared" si="25"/>
        <v>5.1695346666798e-7</v>
      </c>
      <c r="AF54" s="13">
        <f t="shared" si="25"/>
        <v>6.12293606204239e-7</v>
      </c>
      <c r="AG54" s="13">
        <f t="shared" si="25"/>
        <v>1.25082705343175e-7</v>
      </c>
      <c r="AH54" s="13">
        <f t="shared" si="2"/>
        <v>5.76443029394866e-5</v>
      </c>
      <c r="AI54" s="13">
        <v>5.76443029394866e-5</v>
      </c>
      <c r="AJ54" s="13">
        <v>5.76443029394866e-5</v>
      </c>
      <c r="AK54" s="13">
        <v>5.76443029394866e-5</v>
      </c>
      <c r="AL54" s="13">
        <v>5.76443029394866e-5</v>
      </c>
      <c r="AM54" s="13">
        <v>5.76443029394866e-5</v>
      </c>
      <c r="AN54" s="13">
        <v>5.76443029394866e-5</v>
      </c>
      <c r="AO54" s="13">
        <v>5.76443029394866e-5</v>
      </c>
      <c r="AP54" s="13">
        <v>5.76443029394866e-5</v>
      </c>
      <c r="AQ54" s="13">
        <v>5.76443029394866e-5</v>
      </c>
      <c r="AR54" s="13">
        <v>5.76443029394866e-5</v>
      </c>
      <c r="AS54" s="13">
        <v>5.76443029394866e-5</v>
      </c>
      <c r="AT54" s="13">
        <v>5.76443029394866e-5</v>
      </c>
      <c r="AU54" s="13">
        <v>5.76443029394866e-5</v>
      </c>
      <c r="AV54" s="13">
        <v>5.76443029394866e-5</v>
      </c>
      <c r="AW54" s="13">
        <v>5.76443029394866e-5</v>
      </c>
      <c r="AX54" s="13">
        <v>5.76443029394866e-5</v>
      </c>
      <c r="AY54" s="13">
        <v>5.76443029394866e-5</v>
      </c>
      <c r="AZ54" s="13">
        <v>5.76443029394866e-5</v>
      </c>
      <c r="BA54" s="13">
        <v>5.76443029394866e-5</v>
      </c>
      <c r="BB54" s="13">
        <v>5.76443029394866e-5</v>
      </c>
      <c r="BC54" s="13">
        <v>5.76443029394866e-5</v>
      </c>
      <c r="BD54" s="13">
        <v>5.76443029394866e-5</v>
      </c>
      <c r="BE54" s="13">
        <v>5.76443029394866e-5</v>
      </c>
      <c r="BF54" s="13">
        <v>5.76443029394866e-5</v>
      </c>
      <c r="BG54" s="13">
        <v>5.76443029394866e-5</v>
      </c>
      <c r="BH54" s="13">
        <v>5.76443029394866e-5</v>
      </c>
      <c r="BI54" s="13">
        <v>5.76443029394866e-5</v>
      </c>
      <c r="BJ54" s="13">
        <v>5.76443029394866e-5</v>
      </c>
      <c r="BK54" s="13">
        <v>5.76443029394866e-5</v>
      </c>
      <c r="BL54" s="13">
        <v>5.76443029394866e-5</v>
      </c>
    </row>
    <row r="55" spans="1:64">
      <c r="A55" s="13"/>
      <c r="B55" s="13" t="s">
        <v>18</v>
      </c>
      <c r="C55" s="13">
        <f t="shared" si="0"/>
        <v>2.90091788946168e-7</v>
      </c>
      <c r="D55" s="13">
        <f t="shared" ref="D55:Q55" si="47">D21*D21</f>
        <v>3.03878701732109e-7</v>
      </c>
      <c r="E55" s="13">
        <f t="shared" si="47"/>
        <v>3.59942292353648e-7</v>
      </c>
      <c r="F55" s="13">
        <f t="shared" si="47"/>
        <v>3.85042677955891e-7</v>
      </c>
      <c r="G55" s="13">
        <f t="shared" si="47"/>
        <v>2.64673467994823e-7</v>
      </c>
      <c r="H55" s="13">
        <f t="shared" si="47"/>
        <v>1.96732951380429e-7</v>
      </c>
      <c r="I55" s="13">
        <f t="shared" si="47"/>
        <v>1.55958030182459e-7</v>
      </c>
      <c r="J55" s="13">
        <f t="shared" si="47"/>
        <v>1.31099891494383e-7</v>
      </c>
      <c r="K55" s="13">
        <f t="shared" si="47"/>
        <v>6.87243843567446e-7</v>
      </c>
      <c r="L55" s="13">
        <f t="shared" si="47"/>
        <v>7.89100884066629e-7</v>
      </c>
      <c r="M55" s="13">
        <f t="shared" si="47"/>
        <v>9.09280832622021e-7</v>
      </c>
      <c r="N55" s="13">
        <f t="shared" si="47"/>
        <v>9.60486296747244e-7</v>
      </c>
      <c r="O55" s="13">
        <f t="shared" si="47"/>
        <v>2.07008811483366e-6</v>
      </c>
      <c r="P55" s="13">
        <f t="shared" si="47"/>
        <v>2.44463659243738e-6</v>
      </c>
      <c r="Q55" s="13">
        <f t="shared" si="47"/>
        <v>4.27969821909067e-7</v>
      </c>
      <c r="R55" s="13">
        <f t="shared" ref="R55:AG55" si="48">R21*R21</f>
        <v>6.22861399600292e-7</v>
      </c>
      <c r="S55" s="13">
        <f t="shared" si="48"/>
        <v>1.50278144395994e-6</v>
      </c>
      <c r="T55" s="13">
        <f t="shared" si="48"/>
        <v>3.14634547199275e-6</v>
      </c>
      <c r="U55" s="13">
        <f t="shared" si="48"/>
        <v>0</v>
      </c>
      <c r="V55" s="13">
        <f t="shared" si="48"/>
        <v>3.80874677342037e-6</v>
      </c>
      <c r="W55" s="13">
        <f t="shared" si="48"/>
        <v>4.79240742561566e-6</v>
      </c>
      <c r="X55" s="13">
        <f t="shared" si="48"/>
        <v>1.04399823781247e-6</v>
      </c>
      <c r="Y55" s="13">
        <f t="shared" si="48"/>
        <v>6.75608891190692e-7</v>
      </c>
      <c r="Z55" s="13">
        <f t="shared" si="48"/>
        <v>1.68350290089409e-6</v>
      </c>
      <c r="AA55" s="13">
        <f t="shared" si="48"/>
        <v>8.10215824073853e-7</v>
      </c>
      <c r="AB55" s="13">
        <f t="shared" si="48"/>
        <v>1.88014746539629e-7</v>
      </c>
      <c r="AC55" s="13">
        <f t="shared" si="48"/>
        <v>5.80616365414535e-7</v>
      </c>
      <c r="AD55" s="13">
        <f t="shared" si="48"/>
        <v>3.39772629061881e-7</v>
      </c>
      <c r="AE55" s="13">
        <f t="shared" si="48"/>
        <v>2.89845016282697e-7</v>
      </c>
      <c r="AF55" s="13">
        <f t="shared" si="48"/>
        <v>3.02991788091126e-7</v>
      </c>
      <c r="AG55" s="13">
        <f t="shared" si="48"/>
        <v>9.31944948396593e-8</v>
      </c>
      <c r="AH55" s="13">
        <f t="shared" si="2"/>
        <v>3.0257129597013e-5</v>
      </c>
      <c r="AI55" s="13">
        <v>3.0257129597013e-5</v>
      </c>
      <c r="AJ55" s="13">
        <v>3.0257129597013e-5</v>
      </c>
      <c r="AK55" s="13">
        <v>3.0257129597013e-5</v>
      </c>
      <c r="AL55" s="13">
        <v>3.0257129597013e-5</v>
      </c>
      <c r="AM55" s="13">
        <v>3.0257129597013e-5</v>
      </c>
      <c r="AN55" s="13">
        <v>3.0257129597013e-5</v>
      </c>
      <c r="AO55" s="13">
        <v>3.0257129597013e-5</v>
      </c>
      <c r="AP55" s="13">
        <v>3.0257129597013e-5</v>
      </c>
      <c r="AQ55" s="13">
        <v>3.0257129597013e-5</v>
      </c>
      <c r="AR55" s="13">
        <v>3.0257129597013e-5</v>
      </c>
      <c r="AS55" s="13">
        <v>3.0257129597013e-5</v>
      </c>
      <c r="AT55" s="13">
        <v>3.0257129597013e-5</v>
      </c>
      <c r="AU55" s="13">
        <v>3.0257129597013e-5</v>
      </c>
      <c r="AV55" s="13">
        <v>3.0257129597013e-5</v>
      </c>
      <c r="AW55" s="13">
        <v>3.0257129597013e-5</v>
      </c>
      <c r="AX55" s="13">
        <v>3.0257129597013e-5</v>
      </c>
      <c r="AY55" s="13">
        <v>3.0257129597013e-5</v>
      </c>
      <c r="AZ55" s="13">
        <v>3.0257129597013e-5</v>
      </c>
      <c r="BA55" s="13">
        <v>3.0257129597013e-5</v>
      </c>
      <c r="BB55" s="13">
        <v>3.0257129597013e-5</v>
      </c>
      <c r="BC55" s="13">
        <v>3.0257129597013e-5</v>
      </c>
      <c r="BD55" s="13">
        <v>3.0257129597013e-5</v>
      </c>
      <c r="BE55" s="13">
        <v>3.0257129597013e-5</v>
      </c>
      <c r="BF55" s="13">
        <v>3.0257129597013e-5</v>
      </c>
      <c r="BG55" s="13">
        <v>3.0257129597013e-5</v>
      </c>
      <c r="BH55" s="13">
        <v>3.0257129597013e-5</v>
      </c>
      <c r="BI55" s="13">
        <v>3.0257129597013e-5</v>
      </c>
      <c r="BJ55" s="13">
        <v>3.0257129597013e-5</v>
      </c>
      <c r="BK55" s="13">
        <v>3.0257129597013e-5</v>
      </c>
      <c r="BL55" s="13">
        <v>3.0257129597013e-5</v>
      </c>
    </row>
    <row r="56" spans="1:64">
      <c r="A56" s="13"/>
      <c r="B56" s="13" t="s">
        <v>19</v>
      </c>
      <c r="C56" s="13">
        <f t="shared" si="0"/>
        <v>2.38585523355129e-7</v>
      </c>
      <c r="D56" s="13">
        <f t="shared" ref="D56:Q56" si="49">D22*D22</f>
        <v>2.43358319207468e-7</v>
      </c>
      <c r="E56" s="13">
        <f t="shared" si="49"/>
        <v>2.99987307068984e-7</v>
      </c>
      <c r="F56" s="13">
        <f t="shared" si="49"/>
        <v>3.36924880160943e-7</v>
      </c>
      <c r="G56" s="13">
        <f t="shared" si="49"/>
        <v>2.43492746078129e-7</v>
      </c>
      <c r="H56" s="13">
        <f t="shared" si="49"/>
        <v>1.54988660023485e-7</v>
      </c>
      <c r="I56" s="13">
        <f t="shared" si="49"/>
        <v>1.25874812044144e-7</v>
      </c>
      <c r="J56" s="13">
        <f t="shared" si="49"/>
        <v>1.08106717079238e-7</v>
      </c>
      <c r="K56" s="13">
        <f t="shared" si="49"/>
        <v>3.82238826771303e-7</v>
      </c>
      <c r="L56" s="13">
        <f t="shared" si="49"/>
        <v>4.63336872042965e-7</v>
      </c>
      <c r="M56" s="13">
        <f t="shared" si="49"/>
        <v>4.67617076732402e-7</v>
      </c>
      <c r="N56" s="13">
        <f t="shared" si="49"/>
        <v>5.54692729966667e-7</v>
      </c>
      <c r="O56" s="13">
        <f t="shared" si="49"/>
        <v>7.13976964125039e-7</v>
      </c>
      <c r="P56" s="13">
        <f t="shared" si="49"/>
        <v>1.01961549206598e-6</v>
      </c>
      <c r="Q56" s="13">
        <f t="shared" si="49"/>
        <v>3.20174872387469e-7</v>
      </c>
      <c r="R56" s="13">
        <f t="shared" ref="R56:AA56" si="50">R22*R22</f>
        <v>4.91001135630582e-7</v>
      </c>
      <c r="S56" s="13">
        <f t="shared" si="50"/>
        <v>8.91305072851205e-7</v>
      </c>
      <c r="T56" s="13">
        <f t="shared" si="50"/>
        <v>1.69489012828688e-6</v>
      </c>
      <c r="U56" s="13">
        <f t="shared" si="50"/>
        <v>3.80874677342037e-6</v>
      </c>
      <c r="V56" s="13">
        <f t="shared" si="50"/>
        <v>0</v>
      </c>
      <c r="W56" s="13">
        <f t="shared" si="50"/>
        <v>8.44080792328731e-6</v>
      </c>
      <c r="X56" s="13">
        <f t="shared" si="50"/>
        <v>1.52990957217194e-6</v>
      </c>
      <c r="Y56" s="13">
        <f t="shared" si="50"/>
        <v>1.0549128203529e-6</v>
      </c>
      <c r="Z56" s="13">
        <f t="shared" si="50"/>
        <v>4.59203810932825e-6</v>
      </c>
      <c r="AA56" s="13">
        <f t="shared" si="50"/>
        <v>2.34370092868788e-6</v>
      </c>
      <c r="AB56" s="13">
        <f t="shared" ref="AB56" si="51">AB22*AB22</f>
        <v>2.84784347128953e-7</v>
      </c>
      <c r="AC56" s="13">
        <f t="shared" ref="AC56:AG61" si="52">AC22*AC22</f>
        <v>5.90020143773825e-7</v>
      </c>
      <c r="AD56" s="13">
        <f t="shared" si="52"/>
        <v>4.02692357211412e-7</v>
      </c>
      <c r="AE56" s="13">
        <f t="shared" si="52"/>
        <v>3.55446108083585e-7</v>
      </c>
      <c r="AF56" s="13">
        <f t="shared" si="52"/>
        <v>3.19773746552459e-7</v>
      </c>
      <c r="AG56" s="13">
        <f t="shared" si="52"/>
        <v>1.095836541758e-7</v>
      </c>
      <c r="AH56" s="13">
        <f t="shared" si="2"/>
        <v>3.25825846200527e-5</v>
      </c>
      <c r="AI56" s="13">
        <v>3.25825846200527e-5</v>
      </c>
      <c r="AJ56" s="13">
        <v>3.25825846200527e-5</v>
      </c>
      <c r="AK56" s="13">
        <v>3.25825846200527e-5</v>
      </c>
      <c r="AL56" s="13">
        <v>3.25825846200527e-5</v>
      </c>
      <c r="AM56" s="13">
        <v>3.25825846200527e-5</v>
      </c>
      <c r="AN56" s="13">
        <v>3.25825846200527e-5</v>
      </c>
      <c r="AO56" s="13">
        <v>3.25825846200527e-5</v>
      </c>
      <c r="AP56" s="13">
        <v>3.25825846200527e-5</v>
      </c>
      <c r="AQ56" s="13">
        <v>3.25825846200527e-5</v>
      </c>
      <c r="AR56" s="13">
        <v>3.25825846200527e-5</v>
      </c>
      <c r="AS56" s="13">
        <v>3.25825846200527e-5</v>
      </c>
      <c r="AT56" s="13">
        <v>3.25825846200527e-5</v>
      </c>
      <c r="AU56" s="13">
        <v>3.25825846200527e-5</v>
      </c>
      <c r="AV56" s="13">
        <v>3.25825846200527e-5</v>
      </c>
      <c r="AW56" s="13">
        <v>3.25825846200527e-5</v>
      </c>
      <c r="AX56" s="13">
        <v>3.25825846200527e-5</v>
      </c>
      <c r="AY56" s="13">
        <v>3.25825846200527e-5</v>
      </c>
      <c r="AZ56" s="13">
        <v>3.25825846200527e-5</v>
      </c>
      <c r="BA56" s="13">
        <v>3.25825846200527e-5</v>
      </c>
      <c r="BB56" s="13">
        <v>3.25825846200527e-5</v>
      </c>
      <c r="BC56" s="13">
        <v>3.25825846200527e-5</v>
      </c>
      <c r="BD56" s="13">
        <v>3.25825846200527e-5</v>
      </c>
      <c r="BE56" s="13">
        <v>3.25825846200527e-5</v>
      </c>
      <c r="BF56" s="13">
        <v>3.25825846200527e-5</v>
      </c>
      <c r="BG56" s="13">
        <v>3.25825846200527e-5</v>
      </c>
      <c r="BH56" s="13">
        <v>3.25825846200527e-5</v>
      </c>
      <c r="BI56" s="13">
        <v>3.25825846200527e-5</v>
      </c>
      <c r="BJ56" s="13">
        <v>3.25825846200527e-5</v>
      </c>
      <c r="BK56" s="13">
        <v>3.25825846200527e-5</v>
      </c>
      <c r="BL56" s="13">
        <v>3.25825846200527e-5</v>
      </c>
    </row>
    <row r="57" spans="1:64">
      <c r="A57" s="13"/>
      <c r="B57" s="13" t="s">
        <v>20</v>
      </c>
      <c r="C57" s="13">
        <f t="shared" si="0"/>
        <v>1.97606942126148e-7</v>
      </c>
      <c r="D57" s="13">
        <f t="shared" ref="D57:Q57" si="53">D23*D23</f>
        <v>2.03471066167067e-7</v>
      </c>
      <c r="E57" s="13">
        <f t="shared" si="53"/>
        <v>2.39702455725677e-7</v>
      </c>
      <c r="F57" s="13">
        <f t="shared" si="53"/>
        <v>2.59986149981249e-7</v>
      </c>
      <c r="G57" s="13">
        <f t="shared" si="53"/>
        <v>1.92278265757579e-7</v>
      </c>
      <c r="H57" s="13">
        <f t="shared" si="53"/>
        <v>1.38386925551589e-7</v>
      </c>
      <c r="I57" s="13">
        <f t="shared" si="53"/>
        <v>1.13599070752167e-7</v>
      </c>
      <c r="J57" s="13">
        <f t="shared" si="53"/>
        <v>9.79608332808047e-8</v>
      </c>
      <c r="K57" s="13">
        <f t="shared" si="53"/>
        <v>3.61660833195382e-7</v>
      </c>
      <c r="L57" s="13">
        <f t="shared" si="53"/>
        <v>4.0557042260731e-7</v>
      </c>
      <c r="M57" s="13">
        <f t="shared" si="53"/>
        <v>4.41388544379447e-7</v>
      </c>
      <c r="N57" s="13">
        <f t="shared" si="53"/>
        <v>4.70763618324843e-7</v>
      </c>
      <c r="O57" s="13">
        <f t="shared" si="53"/>
        <v>7.71941879697738e-7</v>
      </c>
      <c r="P57" s="13">
        <f t="shared" si="53"/>
        <v>8.58806034668077e-7</v>
      </c>
      <c r="Q57" s="13">
        <f t="shared" si="53"/>
        <v>2.65668301306124e-7</v>
      </c>
      <c r="R57" s="13">
        <f t="shared" ref="R57:AA57" si="54">R23*R23</f>
        <v>3.72674415973367e-7</v>
      </c>
      <c r="S57" s="13">
        <f t="shared" si="54"/>
        <v>6.74956317207647e-7</v>
      </c>
      <c r="T57" s="13">
        <f t="shared" si="54"/>
        <v>1.14690797677537e-6</v>
      </c>
      <c r="U57" s="13">
        <f t="shared" si="54"/>
        <v>4.79240742561566e-6</v>
      </c>
      <c r="V57" s="13">
        <f t="shared" si="54"/>
        <v>8.44080792328731e-6</v>
      </c>
      <c r="W57" s="13">
        <f t="shared" si="54"/>
        <v>0</v>
      </c>
      <c r="X57" s="13">
        <f t="shared" si="54"/>
        <v>7.86658869743624e-7</v>
      </c>
      <c r="Y57" s="13">
        <f t="shared" si="54"/>
        <v>5.81971687717161e-7</v>
      </c>
      <c r="Z57" s="13">
        <f t="shared" si="54"/>
        <v>1.54817755205465e-6</v>
      </c>
      <c r="AA57" s="13">
        <f t="shared" si="54"/>
        <v>1.05099000512361e-6</v>
      </c>
      <c r="AB57" s="13">
        <f t="shared" ref="AB57" si="55">AB23*AB23</f>
        <v>2.08186272199274e-7</v>
      </c>
      <c r="AC57" s="13">
        <f t="shared" si="52"/>
        <v>3.98872155971836e-7</v>
      </c>
      <c r="AD57" s="13">
        <f t="shared" si="52"/>
        <v>2.77225918574497e-7</v>
      </c>
      <c r="AE57" s="13">
        <f t="shared" si="52"/>
        <v>2.47583499104257e-7</v>
      </c>
      <c r="AF57" s="13">
        <f t="shared" si="52"/>
        <v>2.33691831979171e-7</v>
      </c>
      <c r="AG57" s="13">
        <f t="shared" si="52"/>
        <v>8.83376329900544e-8</v>
      </c>
      <c r="AH57" s="13">
        <f t="shared" si="2"/>
        <v>2.58682408278387e-5</v>
      </c>
      <c r="AI57" s="13">
        <v>2.58682408278387e-5</v>
      </c>
      <c r="AJ57" s="13">
        <v>2.58682408278387e-5</v>
      </c>
      <c r="AK57" s="13">
        <v>2.58682408278387e-5</v>
      </c>
      <c r="AL57" s="13">
        <v>2.58682408278387e-5</v>
      </c>
      <c r="AM57" s="13">
        <v>2.58682408278387e-5</v>
      </c>
      <c r="AN57" s="13">
        <v>2.58682408278387e-5</v>
      </c>
      <c r="AO57" s="13">
        <v>2.58682408278387e-5</v>
      </c>
      <c r="AP57" s="13">
        <v>2.58682408278387e-5</v>
      </c>
      <c r="AQ57" s="13">
        <v>2.58682408278387e-5</v>
      </c>
      <c r="AR57" s="13">
        <v>2.58682408278387e-5</v>
      </c>
      <c r="AS57" s="13">
        <v>2.58682408278387e-5</v>
      </c>
      <c r="AT57" s="13">
        <v>2.58682408278387e-5</v>
      </c>
      <c r="AU57" s="13">
        <v>2.58682408278387e-5</v>
      </c>
      <c r="AV57" s="13">
        <v>2.58682408278387e-5</v>
      </c>
      <c r="AW57" s="13">
        <v>2.58682408278387e-5</v>
      </c>
      <c r="AX57" s="13">
        <v>2.58682408278387e-5</v>
      </c>
      <c r="AY57" s="13">
        <v>2.58682408278387e-5</v>
      </c>
      <c r="AZ57" s="13">
        <v>2.58682408278387e-5</v>
      </c>
      <c r="BA57" s="13">
        <v>2.58682408278387e-5</v>
      </c>
      <c r="BB57" s="13">
        <v>2.58682408278387e-5</v>
      </c>
      <c r="BC57" s="13">
        <v>2.58682408278387e-5</v>
      </c>
      <c r="BD57" s="13">
        <v>2.58682408278387e-5</v>
      </c>
      <c r="BE57" s="13">
        <v>2.58682408278387e-5</v>
      </c>
      <c r="BF57" s="13">
        <v>2.58682408278387e-5</v>
      </c>
      <c r="BG57" s="13">
        <v>2.58682408278387e-5</v>
      </c>
      <c r="BH57" s="13">
        <v>2.58682408278387e-5</v>
      </c>
      <c r="BI57" s="13">
        <v>2.58682408278387e-5</v>
      </c>
      <c r="BJ57" s="13">
        <v>2.58682408278387e-5</v>
      </c>
      <c r="BK57" s="13">
        <v>2.58682408278387e-5</v>
      </c>
      <c r="BL57" s="13">
        <v>2.58682408278387e-5</v>
      </c>
    </row>
    <row r="58" spans="1:64">
      <c r="A58" s="13"/>
      <c r="B58" s="13" t="s">
        <v>21</v>
      </c>
      <c r="C58" s="13">
        <f t="shared" si="0"/>
        <v>4.96406402592566e-7</v>
      </c>
      <c r="D58" s="13">
        <f t="shared" ref="D58:Q58" si="56">D24*D24</f>
        <v>4.89590125308892e-7</v>
      </c>
      <c r="E58" s="13">
        <f t="shared" si="56"/>
        <v>7.17633523895433e-7</v>
      </c>
      <c r="F58" s="13">
        <f t="shared" si="56"/>
        <v>9.34124741697383e-7</v>
      </c>
      <c r="G58" s="13">
        <f t="shared" si="56"/>
        <v>6.00542552743286e-7</v>
      </c>
      <c r="H58" s="13">
        <f t="shared" si="56"/>
        <v>2.4894720733498e-7</v>
      </c>
      <c r="I58" s="13">
        <f t="shared" si="56"/>
        <v>1.94294399265996e-7</v>
      </c>
      <c r="J58" s="13">
        <f t="shared" si="56"/>
        <v>1.63659229741111e-7</v>
      </c>
      <c r="K58" s="13">
        <f t="shared" si="56"/>
        <v>4.91685445438076e-7</v>
      </c>
      <c r="L58" s="13">
        <f t="shared" si="56"/>
        <v>7.29400009505645e-7</v>
      </c>
      <c r="M58" s="13">
        <f t="shared" si="56"/>
        <v>5.83000208462858e-7</v>
      </c>
      <c r="N58" s="13">
        <f t="shared" si="56"/>
        <v>9.22856421775219e-7</v>
      </c>
      <c r="O58" s="13">
        <f t="shared" si="56"/>
        <v>5.87650225859901e-7</v>
      </c>
      <c r="P58" s="13">
        <f t="shared" si="56"/>
        <v>1.27105070575694e-6</v>
      </c>
      <c r="Q58" s="13">
        <f t="shared" si="56"/>
        <v>6.55673962735126e-7</v>
      </c>
      <c r="R58" s="13">
        <f t="shared" ref="R58:AA58" si="57">R24*R24</f>
        <v>1.40370753992436e-6</v>
      </c>
      <c r="S58" s="13">
        <f t="shared" si="57"/>
        <v>1.82365650701104e-6</v>
      </c>
      <c r="T58" s="13">
        <f t="shared" si="57"/>
        <v>2.66940557950274e-6</v>
      </c>
      <c r="U58" s="13">
        <f t="shared" si="57"/>
        <v>1.04399823781247e-6</v>
      </c>
      <c r="V58" s="13">
        <f t="shared" si="57"/>
        <v>1.52990957217194e-6</v>
      </c>
      <c r="W58" s="13">
        <f t="shared" si="57"/>
        <v>7.86658869743624e-7</v>
      </c>
      <c r="X58" s="13">
        <f t="shared" si="57"/>
        <v>0</v>
      </c>
      <c r="Y58" s="13">
        <f t="shared" si="57"/>
        <v>1.51009569366435e-5</v>
      </c>
      <c r="Z58" s="13">
        <f t="shared" si="57"/>
        <v>7.67882481195969e-6</v>
      </c>
      <c r="AA58" s="13">
        <f t="shared" si="57"/>
        <v>2.36722288634759e-6</v>
      </c>
      <c r="AB58" s="13">
        <f t="shared" ref="AB58" si="58">AB24*AB24</f>
        <v>4.47429306630002e-7</v>
      </c>
      <c r="AC58" s="13">
        <f t="shared" si="52"/>
        <v>3.37012664495437e-6</v>
      </c>
      <c r="AD58" s="13">
        <f t="shared" si="52"/>
        <v>1.67866323496002e-6</v>
      </c>
      <c r="AE58" s="13">
        <f t="shared" si="52"/>
        <v>1.25953306454863e-6</v>
      </c>
      <c r="AF58" s="13">
        <f t="shared" si="52"/>
        <v>1.06964455043399e-6</v>
      </c>
      <c r="AG58" s="13">
        <f t="shared" si="52"/>
        <v>1.89504777240322e-7</v>
      </c>
      <c r="AH58" s="13">
        <f t="shared" si="2"/>
        <v>5.15057576819977e-5</v>
      </c>
      <c r="AI58" s="13">
        <v>5.15057576819977e-5</v>
      </c>
      <c r="AJ58" s="13">
        <v>5.15057576819977e-5</v>
      </c>
      <c r="AK58" s="13">
        <v>5.15057576819977e-5</v>
      </c>
      <c r="AL58" s="13">
        <v>5.15057576819977e-5</v>
      </c>
      <c r="AM58" s="13">
        <v>5.15057576819977e-5</v>
      </c>
      <c r="AN58" s="13">
        <v>5.15057576819977e-5</v>
      </c>
      <c r="AO58" s="13">
        <v>5.15057576819977e-5</v>
      </c>
      <c r="AP58" s="13">
        <v>5.15057576819977e-5</v>
      </c>
      <c r="AQ58" s="13">
        <v>5.15057576819977e-5</v>
      </c>
      <c r="AR58" s="13">
        <v>5.15057576819977e-5</v>
      </c>
      <c r="AS58" s="13">
        <v>5.15057576819977e-5</v>
      </c>
      <c r="AT58" s="13">
        <v>5.15057576819977e-5</v>
      </c>
      <c r="AU58" s="13">
        <v>5.15057576819977e-5</v>
      </c>
      <c r="AV58" s="13">
        <v>5.15057576819977e-5</v>
      </c>
      <c r="AW58" s="13">
        <v>5.15057576819977e-5</v>
      </c>
      <c r="AX58" s="13">
        <v>5.15057576819977e-5</v>
      </c>
      <c r="AY58" s="13">
        <v>5.15057576819977e-5</v>
      </c>
      <c r="AZ58" s="13">
        <v>5.15057576819977e-5</v>
      </c>
      <c r="BA58" s="13">
        <v>5.15057576819977e-5</v>
      </c>
      <c r="BB58" s="13">
        <v>5.15057576819977e-5</v>
      </c>
      <c r="BC58" s="13">
        <v>5.15057576819977e-5</v>
      </c>
      <c r="BD58" s="13">
        <v>5.15057576819977e-5</v>
      </c>
      <c r="BE58" s="13">
        <v>5.15057576819977e-5</v>
      </c>
      <c r="BF58" s="13">
        <v>5.15057576819977e-5</v>
      </c>
      <c r="BG58" s="13">
        <v>5.15057576819977e-5</v>
      </c>
      <c r="BH58" s="13">
        <v>5.15057576819977e-5</v>
      </c>
      <c r="BI58" s="13">
        <v>5.15057576819977e-5</v>
      </c>
      <c r="BJ58" s="13">
        <v>5.15057576819977e-5</v>
      </c>
      <c r="BK58" s="13">
        <v>5.15057576819977e-5</v>
      </c>
      <c r="BL58" s="13">
        <v>5.15057576819977e-5</v>
      </c>
    </row>
    <row r="59" spans="1:64">
      <c r="A59" s="13"/>
      <c r="B59" s="13" t="s">
        <v>22</v>
      </c>
      <c r="C59" s="13">
        <f t="shared" si="0"/>
        <v>4.40941650306123e-7</v>
      </c>
      <c r="D59" s="13">
        <f t="shared" ref="D59:Q59" si="59">D25*D25</f>
        <v>4.26461162624737e-7</v>
      </c>
      <c r="E59" s="13">
        <f t="shared" si="59"/>
        <v>6.21966639241931e-7</v>
      </c>
      <c r="F59" s="13">
        <f t="shared" si="59"/>
        <v>8.22777649721731e-7</v>
      </c>
      <c r="G59" s="13">
        <f t="shared" si="59"/>
        <v>5.87264372903247e-7</v>
      </c>
      <c r="H59" s="13">
        <f t="shared" si="59"/>
        <v>2.22959085425158e-7</v>
      </c>
      <c r="I59" s="13">
        <f t="shared" si="59"/>
        <v>1.77891377473e-7</v>
      </c>
      <c r="J59" s="13">
        <f t="shared" si="59"/>
        <v>1.52344627191567e-7</v>
      </c>
      <c r="K59" s="13">
        <f t="shared" si="59"/>
        <v>3.6715353758832e-7</v>
      </c>
      <c r="L59" s="13">
        <f t="shared" si="59"/>
        <v>5.22277494885768e-7</v>
      </c>
      <c r="M59" s="13">
        <f t="shared" si="59"/>
        <v>4.20106648258906e-7</v>
      </c>
      <c r="N59" s="13">
        <f t="shared" si="59"/>
        <v>6.31068770495461e-7</v>
      </c>
      <c r="O59" s="13">
        <f t="shared" si="59"/>
        <v>4.10704104334578e-7</v>
      </c>
      <c r="P59" s="13">
        <f t="shared" si="59"/>
        <v>7.72556200690397e-7</v>
      </c>
      <c r="Q59" s="13">
        <f t="shared" si="59"/>
        <v>5.28575679206593e-7</v>
      </c>
      <c r="R59" s="13">
        <f t="shared" ref="R59:AA59" si="60">R25*R25</f>
        <v>1.02404998185349e-6</v>
      </c>
      <c r="S59" s="13">
        <f t="shared" si="60"/>
        <v>1.05718666782935e-6</v>
      </c>
      <c r="T59" s="13">
        <f t="shared" si="60"/>
        <v>1.3272761045887e-6</v>
      </c>
      <c r="U59" s="13">
        <f t="shared" si="60"/>
        <v>6.75608891190692e-7</v>
      </c>
      <c r="V59" s="13">
        <f t="shared" si="60"/>
        <v>1.0549128203529e-6</v>
      </c>
      <c r="W59" s="13">
        <f t="shared" si="60"/>
        <v>5.81971687717161e-7</v>
      </c>
      <c r="X59" s="13">
        <f t="shared" si="60"/>
        <v>1.51009569366435e-5</v>
      </c>
      <c r="Y59" s="13">
        <f t="shared" si="60"/>
        <v>0</v>
      </c>
      <c r="Z59" s="13">
        <f t="shared" si="60"/>
        <v>3.88257343987251e-6</v>
      </c>
      <c r="AA59" s="13">
        <f t="shared" si="60"/>
        <v>2.62139490345393e-6</v>
      </c>
      <c r="AB59" s="13">
        <f t="shared" ref="AB59" si="61">AB25*AB25</f>
        <v>6.37085836633607e-7</v>
      </c>
      <c r="AC59" s="13">
        <f t="shared" si="52"/>
        <v>2.79557117671297e-6</v>
      </c>
      <c r="AD59" s="13">
        <f t="shared" si="52"/>
        <v>2.52127353066678e-6</v>
      </c>
      <c r="AE59" s="13">
        <f t="shared" si="52"/>
        <v>2.00140821977239e-6</v>
      </c>
      <c r="AF59" s="13">
        <f t="shared" si="52"/>
        <v>1.24166300599827e-6</v>
      </c>
      <c r="AG59" s="13">
        <f t="shared" si="52"/>
        <v>2.33511247008064e-7</v>
      </c>
      <c r="AH59" s="13">
        <f t="shared" si="2"/>
        <v>4.38614934506418e-5</v>
      </c>
      <c r="AI59" s="13">
        <v>4.38614934506418e-5</v>
      </c>
      <c r="AJ59" s="13">
        <v>4.38614934506418e-5</v>
      </c>
      <c r="AK59" s="13">
        <v>4.38614934506418e-5</v>
      </c>
      <c r="AL59" s="13">
        <v>4.38614934506418e-5</v>
      </c>
      <c r="AM59" s="13">
        <v>4.38614934506418e-5</v>
      </c>
      <c r="AN59" s="13">
        <v>4.38614934506418e-5</v>
      </c>
      <c r="AO59" s="13">
        <v>4.38614934506418e-5</v>
      </c>
      <c r="AP59" s="13">
        <v>4.38614934506418e-5</v>
      </c>
      <c r="AQ59" s="13">
        <v>4.38614934506418e-5</v>
      </c>
      <c r="AR59" s="13">
        <v>4.38614934506418e-5</v>
      </c>
      <c r="AS59" s="13">
        <v>4.38614934506418e-5</v>
      </c>
      <c r="AT59" s="13">
        <v>4.38614934506418e-5</v>
      </c>
      <c r="AU59" s="13">
        <v>4.38614934506418e-5</v>
      </c>
      <c r="AV59" s="13">
        <v>4.38614934506418e-5</v>
      </c>
      <c r="AW59" s="13">
        <v>4.38614934506418e-5</v>
      </c>
      <c r="AX59" s="13">
        <v>4.38614934506418e-5</v>
      </c>
      <c r="AY59" s="13">
        <v>4.38614934506418e-5</v>
      </c>
      <c r="AZ59" s="13">
        <v>4.38614934506418e-5</v>
      </c>
      <c r="BA59" s="13">
        <v>4.38614934506418e-5</v>
      </c>
      <c r="BB59" s="13">
        <v>4.38614934506418e-5</v>
      </c>
      <c r="BC59" s="13">
        <v>4.38614934506418e-5</v>
      </c>
      <c r="BD59" s="13">
        <v>4.38614934506418e-5</v>
      </c>
      <c r="BE59" s="13">
        <v>4.38614934506418e-5</v>
      </c>
      <c r="BF59" s="13">
        <v>4.38614934506418e-5</v>
      </c>
      <c r="BG59" s="13">
        <v>4.38614934506418e-5</v>
      </c>
      <c r="BH59" s="13">
        <v>4.38614934506418e-5</v>
      </c>
      <c r="BI59" s="13">
        <v>4.38614934506418e-5</v>
      </c>
      <c r="BJ59" s="13">
        <v>4.38614934506418e-5</v>
      </c>
      <c r="BK59" s="13">
        <v>4.38614934506418e-5</v>
      </c>
      <c r="BL59" s="13">
        <v>4.38614934506418e-5</v>
      </c>
    </row>
    <row r="60" spans="1:64">
      <c r="A60" s="13"/>
      <c r="B60" s="13" t="s">
        <v>23</v>
      </c>
      <c r="C60" s="13">
        <f t="shared" si="0"/>
        <v>3.34261666552873e-7</v>
      </c>
      <c r="D60" s="13">
        <f t="shared" ref="D60:Q60" si="62">D26*D26</f>
        <v>3.35084292634781e-7</v>
      </c>
      <c r="E60" s="13">
        <f t="shared" si="62"/>
        <v>4.4754075363024e-7</v>
      </c>
      <c r="F60" s="13">
        <f t="shared" si="62"/>
        <v>5.37302628214998e-7</v>
      </c>
      <c r="G60" s="13">
        <f t="shared" si="62"/>
        <v>3.7221352354214e-7</v>
      </c>
      <c r="H60" s="13">
        <f t="shared" si="62"/>
        <v>1.91738701040809e-7</v>
      </c>
      <c r="I60" s="13">
        <f t="shared" si="62"/>
        <v>1.53088403318996e-7</v>
      </c>
      <c r="J60" s="13">
        <f t="shared" si="62"/>
        <v>1.30534768078312e-7</v>
      </c>
      <c r="K60" s="13">
        <f t="shared" si="62"/>
        <v>4.19172053148581e-7</v>
      </c>
      <c r="L60" s="13">
        <f t="shared" si="62"/>
        <v>5.66398049376283e-7</v>
      </c>
      <c r="M60" s="13">
        <f t="shared" si="62"/>
        <v>5.06042102534686e-7</v>
      </c>
      <c r="N60" s="13">
        <f t="shared" si="62"/>
        <v>7.01306222875795e-7</v>
      </c>
      <c r="O60" s="13">
        <f t="shared" si="62"/>
        <v>6.15697403619446e-7</v>
      </c>
      <c r="P60" s="13">
        <f t="shared" si="62"/>
        <v>1.15455111726849e-6</v>
      </c>
      <c r="Q60" s="13">
        <f t="shared" si="62"/>
        <v>4.43160995511083e-7</v>
      </c>
      <c r="R60" s="13">
        <f t="shared" ref="R60:AA60" si="63">R26*R26</f>
        <v>7.92076946585634e-7</v>
      </c>
      <c r="S60" s="13">
        <f t="shared" si="63"/>
        <v>1.29179544598417e-6</v>
      </c>
      <c r="T60" s="13">
        <f t="shared" si="63"/>
        <v>2.42923700652968e-6</v>
      </c>
      <c r="U60" s="13">
        <f t="shared" si="63"/>
        <v>1.68350290089409e-6</v>
      </c>
      <c r="V60" s="13">
        <f t="shared" si="63"/>
        <v>4.59203810932825e-6</v>
      </c>
      <c r="W60" s="13">
        <f t="shared" si="63"/>
        <v>1.54817755205465e-6</v>
      </c>
      <c r="X60" s="13">
        <f t="shared" si="63"/>
        <v>7.67882481195969e-6</v>
      </c>
      <c r="Y60" s="13">
        <f t="shared" si="63"/>
        <v>3.88257343987251e-6</v>
      </c>
      <c r="Z60" s="13">
        <f t="shared" si="63"/>
        <v>0</v>
      </c>
      <c r="AA60" s="13">
        <f t="shared" si="63"/>
        <v>5.48714296315299e-6</v>
      </c>
      <c r="AB60" s="13">
        <f t="shared" ref="AB60" si="64">AB26*AB26</f>
        <v>4.19364238466709e-7</v>
      </c>
      <c r="AC60" s="13">
        <f t="shared" si="52"/>
        <v>1.24934634422773e-6</v>
      </c>
      <c r="AD60" s="13">
        <f t="shared" si="52"/>
        <v>8.06462423839268e-7</v>
      </c>
      <c r="AE60" s="13">
        <f t="shared" si="52"/>
        <v>6.82159272557788e-7</v>
      </c>
      <c r="AF60" s="13">
        <f t="shared" si="52"/>
        <v>5.67740784220748e-7</v>
      </c>
      <c r="AG60" s="13">
        <f t="shared" si="52"/>
        <v>1.51814258983528e-7</v>
      </c>
      <c r="AH60" s="13">
        <f t="shared" si="2"/>
        <v>4.0170349180005e-5</v>
      </c>
      <c r="AI60" s="13">
        <v>4.0170349180005e-5</v>
      </c>
      <c r="AJ60" s="13">
        <v>4.0170349180005e-5</v>
      </c>
      <c r="AK60" s="13">
        <v>4.0170349180005e-5</v>
      </c>
      <c r="AL60" s="13">
        <v>4.0170349180005e-5</v>
      </c>
      <c r="AM60" s="13">
        <v>4.0170349180005e-5</v>
      </c>
      <c r="AN60" s="13">
        <v>4.0170349180005e-5</v>
      </c>
      <c r="AO60" s="13">
        <v>4.0170349180005e-5</v>
      </c>
      <c r="AP60" s="13">
        <v>4.0170349180005e-5</v>
      </c>
      <c r="AQ60" s="13">
        <v>4.0170349180005e-5</v>
      </c>
      <c r="AR60" s="13">
        <v>4.0170349180005e-5</v>
      </c>
      <c r="AS60" s="13">
        <v>4.0170349180005e-5</v>
      </c>
      <c r="AT60" s="13">
        <v>4.0170349180005e-5</v>
      </c>
      <c r="AU60" s="13">
        <v>4.0170349180005e-5</v>
      </c>
      <c r="AV60" s="13">
        <v>4.0170349180005e-5</v>
      </c>
      <c r="AW60" s="13">
        <v>4.0170349180005e-5</v>
      </c>
      <c r="AX60" s="13">
        <v>4.0170349180005e-5</v>
      </c>
      <c r="AY60" s="13">
        <v>4.0170349180005e-5</v>
      </c>
      <c r="AZ60" s="13">
        <v>4.0170349180005e-5</v>
      </c>
      <c r="BA60" s="13">
        <v>4.0170349180005e-5</v>
      </c>
      <c r="BB60" s="13">
        <v>4.0170349180005e-5</v>
      </c>
      <c r="BC60" s="13">
        <v>4.0170349180005e-5</v>
      </c>
      <c r="BD60" s="13">
        <v>4.0170349180005e-5</v>
      </c>
      <c r="BE60" s="13">
        <v>4.0170349180005e-5</v>
      </c>
      <c r="BF60" s="13">
        <v>4.0170349180005e-5</v>
      </c>
      <c r="BG60" s="13">
        <v>4.0170349180005e-5</v>
      </c>
      <c r="BH60" s="13">
        <v>4.0170349180005e-5</v>
      </c>
      <c r="BI60" s="13">
        <v>4.0170349180005e-5</v>
      </c>
      <c r="BJ60" s="13">
        <v>4.0170349180005e-5</v>
      </c>
      <c r="BK60" s="13">
        <v>4.0170349180005e-5</v>
      </c>
      <c r="BL60" s="13">
        <v>4.0170349180005e-5</v>
      </c>
    </row>
    <row r="61" spans="1:64">
      <c r="A61" s="13"/>
      <c r="B61" s="13" t="s">
        <v>24</v>
      </c>
      <c r="C61" s="13">
        <f t="shared" si="0"/>
        <v>2.33755388617288e-7</v>
      </c>
      <c r="D61" s="13">
        <f t="shared" ref="D61:Q61" si="65">D27*D27</f>
        <v>2.3133513102613e-7</v>
      </c>
      <c r="E61" s="13">
        <f t="shared" si="65"/>
        <v>2.9889304549584e-7</v>
      </c>
      <c r="F61" s="13">
        <f t="shared" si="65"/>
        <v>3.54990493486631e-7</v>
      </c>
      <c r="G61" s="13">
        <f t="shared" si="65"/>
        <v>2.73789442680335e-7</v>
      </c>
      <c r="H61" s="13">
        <f t="shared" si="65"/>
        <v>1.4210821096945e-7</v>
      </c>
      <c r="I61" s="13">
        <f t="shared" si="65"/>
        <v>1.17418123490832e-7</v>
      </c>
      <c r="J61" s="13">
        <f t="shared" si="65"/>
        <v>1.02610224976897e-7</v>
      </c>
      <c r="K61" s="13">
        <f t="shared" si="65"/>
        <v>2.57569536403616e-7</v>
      </c>
      <c r="L61" s="13">
        <f t="shared" si="65"/>
        <v>3.27141182548908e-7</v>
      </c>
      <c r="M61" s="13">
        <f t="shared" si="65"/>
        <v>2.97786516436965e-7</v>
      </c>
      <c r="N61" s="13">
        <f t="shared" si="65"/>
        <v>3.83952724350648e-7</v>
      </c>
      <c r="O61" s="13">
        <f t="shared" si="65"/>
        <v>3.51814198962127e-7</v>
      </c>
      <c r="P61" s="13">
        <f t="shared" si="65"/>
        <v>5.42885387421686e-7</v>
      </c>
      <c r="Q61" s="13">
        <f t="shared" si="65"/>
        <v>2.83274370293561e-7</v>
      </c>
      <c r="R61" s="13">
        <f t="shared" ref="R61:AA61" si="66">R27*R27</f>
        <v>4.50469349784075e-7</v>
      </c>
      <c r="S61" s="13">
        <f t="shared" si="66"/>
        <v>5.92423754767048e-7</v>
      </c>
      <c r="T61" s="13">
        <f t="shared" si="66"/>
        <v>8.75892030328649e-7</v>
      </c>
      <c r="U61" s="13">
        <f t="shared" si="66"/>
        <v>8.10215824073853e-7</v>
      </c>
      <c r="V61" s="13">
        <f t="shared" si="66"/>
        <v>2.34370092868788e-6</v>
      </c>
      <c r="W61" s="13">
        <f t="shared" si="66"/>
        <v>1.05099000512361e-6</v>
      </c>
      <c r="X61" s="13">
        <f t="shared" si="66"/>
        <v>2.36722288634759e-6</v>
      </c>
      <c r="Y61" s="13">
        <f t="shared" si="66"/>
        <v>2.62139490345393e-6</v>
      </c>
      <c r="Z61" s="13">
        <f t="shared" si="66"/>
        <v>5.48714296315299e-6</v>
      </c>
      <c r="AA61" s="13">
        <f t="shared" si="66"/>
        <v>0</v>
      </c>
      <c r="AB61" s="13">
        <f t="shared" ref="AB61" si="67">AB27*AB27</f>
        <v>6.70993909535159e-7</v>
      </c>
      <c r="AC61" s="13">
        <f t="shared" si="52"/>
        <v>7.21637316243822e-7</v>
      </c>
      <c r="AD61" s="13">
        <f t="shared" si="52"/>
        <v>6.62112231110873e-7</v>
      </c>
      <c r="AE61" s="13">
        <f t="shared" si="52"/>
        <v>6.24363396924176e-7</v>
      </c>
      <c r="AF61" s="13">
        <f t="shared" si="52"/>
        <v>4.36025631735037e-7</v>
      </c>
      <c r="AG61" s="13">
        <f t="shared" si="52"/>
        <v>1.64544037570809e-7</v>
      </c>
      <c r="AH61" s="13">
        <f t="shared" si="2"/>
        <v>2.40784531460004e-5</v>
      </c>
      <c r="AI61" s="13">
        <v>2.40784531460004e-5</v>
      </c>
      <c r="AJ61" s="13">
        <v>2.40784531460004e-5</v>
      </c>
      <c r="AK61" s="13">
        <v>2.40784531460004e-5</v>
      </c>
      <c r="AL61" s="13">
        <v>2.40784531460004e-5</v>
      </c>
      <c r="AM61" s="13">
        <v>2.40784531460004e-5</v>
      </c>
      <c r="AN61" s="13">
        <v>2.40784531460004e-5</v>
      </c>
      <c r="AO61" s="13">
        <v>2.40784531460004e-5</v>
      </c>
      <c r="AP61" s="13">
        <v>2.40784531460004e-5</v>
      </c>
      <c r="AQ61" s="13">
        <v>2.40784531460004e-5</v>
      </c>
      <c r="AR61" s="13">
        <v>2.40784531460004e-5</v>
      </c>
      <c r="AS61" s="13">
        <v>2.40784531460004e-5</v>
      </c>
      <c r="AT61" s="13">
        <v>2.40784531460004e-5</v>
      </c>
      <c r="AU61" s="13">
        <v>2.40784531460004e-5</v>
      </c>
      <c r="AV61" s="13">
        <v>2.40784531460004e-5</v>
      </c>
      <c r="AW61" s="13">
        <v>2.40784531460004e-5</v>
      </c>
      <c r="AX61" s="13">
        <v>2.40784531460004e-5</v>
      </c>
      <c r="AY61" s="13">
        <v>2.40784531460004e-5</v>
      </c>
      <c r="AZ61" s="13">
        <v>2.40784531460004e-5</v>
      </c>
      <c r="BA61" s="13">
        <v>2.40784531460004e-5</v>
      </c>
      <c r="BB61" s="13">
        <v>2.40784531460004e-5</v>
      </c>
      <c r="BC61" s="13">
        <v>2.40784531460004e-5</v>
      </c>
      <c r="BD61" s="13">
        <v>2.40784531460004e-5</v>
      </c>
      <c r="BE61" s="13">
        <v>2.40784531460004e-5</v>
      </c>
      <c r="BF61" s="13">
        <v>2.40784531460004e-5</v>
      </c>
      <c r="BG61" s="13">
        <v>2.40784531460004e-5</v>
      </c>
      <c r="BH61" s="13">
        <v>2.40784531460004e-5</v>
      </c>
      <c r="BI61" s="13">
        <v>2.40784531460004e-5</v>
      </c>
      <c r="BJ61" s="13">
        <v>2.40784531460004e-5</v>
      </c>
      <c r="BK61" s="13">
        <v>2.40784531460004e-5</v>
      </c>
      <c r="BL61" s="13">
        <v>2.40784531460004e-5</v>
      </c>
    </row>
    <row r="62" spans="1:64">
      <c r="A62" s="13"/>
      <c r="B62" s="13" t="s">
        <v>25</v>
      </c>
      <c r="C62" s="13">
        <f t="shared" si="0"/>
        <v>1.53025581675741e-7</v>
      </c>
      <c r="D62" s="13">
        <f t="shared" ref="D62:AG62" si="68">D28*D28</f>
        <v>1.46671500450601e-7</v>
      </c>
      <c r="E62" s="13">
        <f t="shared" si="68"/>
        <v>1.82025928656095e-7</v>
      </c>
      <c r="F62" s="13">
        <f t="shared" si="68"/>
        <v>2.13837619487792e-7</v>
      </c>
      <c r="G62" s="13">
        <f t="shared" si="68"/>
        <v>2.03460596967471e-7</v>
      </c>
      <c r="H62" s="13">
        <f t="shared" si="68"/>
        <v>9.85167995621365e-8</v>
      </c>
      <c r="I62" s="13">
        <f t="shared" si="68"/>
        <v>8.64906896372577e-8</v>
      </c>
      <c r="J62" s="13">
        <f t="shared" si="68"/>
        <v>7.93040584387907e-8</v>
      </c>
      <c r="K62" s="13">
        <f t="shared" si="68"/>
        <v>1.18915621037853e-7</v>
      </c>
      <c r="L62" s="13">
        <f t="shared" si="68"/>
        <v>1.44848349853704e-7</v>
      </c>
      <c r="M62" s="13">
        <f t="shared" si="68"/>
        <v>1.27960802573179e-7</v>
      </c>
      <c r="N62" s="13">
        <f t="shared" si="68"/>
        <v>1.59162652891152e-7</v>
      </c>
      <c r="O62" s="13">
        <f t="shared" si="68"/>
        <v>1.28903884102155e-7</v>
      </c>
      <c r="P62" s="13">
        <f t="shared" si="68"/>
        <v>1.76388517346131e-7</v>
      </c>
      <c r="Q62" s="13">
        <f t="shared" si="68"/>
        <v>1.55792233925529e-7</v>
      </c>
      <c r="R62" s="13">
        <f t="shared" si="68"/>
        <v>2.11315090504178e-7</v>
      </c>
      <c r="S62" s="13">
        <f t="shared" si="68"/>
        <v>2.01919240084195e-7</v>
      </c>
      <c r="T62" s="13">
        <f t="shared" si="68"/>
        <v>2.26966764296711e-7</v>
      </c>
      <c r="U62" s="13">
        <f t="shared" si="68"/>
        <v>1.88014746539629e-7</v>
      </c>
      <c r="V62" s="13">
        <f t="shared" si="68"/>
        <v>2.84784347128953e-7</v>
      </c>
      <c r="W62" s="13">
        <f t="shared" si="68"/>
        <v>2.08186272199274e-7</v>
      </c>
      <c r="X62" s="13">
        <f t="shared" si="68"/>
        <v>4.47429306630002e-7</v>
      </c>
      <c r="Y62" s="13">
        <f t="shared" si="68"/>
        <v>6.37085836633607e-7</v>
      </c>
      <c r="Z62" s="13">
        <f t="shared" si="68"/>
        <v>4.19364238466709e-7</v>
      </c>
      <c r="AA62" s="13">
        <f t="shared" si="68"/>
        <v>6.70993909535159e-7</v>
      </c>
      <c r="AB62" s="13">
        <f t="shared" si="68"/>
        <v>0</v>
      </c>
      <c r="AC62" s="13">
        <f t="shared" si="68"/>
        <v>3.32892433173869e-7</v>
      </c>
      <c r="AD62" s="13">
        <f t="shared" si="68"/>
        <v>5.2895068714059e-7</v>
      </c>
      <c r="AE62" s="13">
        <f t="shared" si="68"/>
        <v>6.49344213366102e-7</v>
      </c>
      <c r="AF62" s="13">
        <f t="shared" si="68"/>
        <v>3.44919071387712e-7</v>
      </c>
      <c r="AG62" s="13">
        <f t="shared" si="68"/>
        <v>3.91619719333683e-7</v>
      </c>
      <c r="AH62" s="13">
        <f t="shared" si="2"/>
        <v>7.91909071302596e-6</v>
      </c>
      <c r="AI62" s="13">
        <v>7.91909071302596e-6</v>
      </c>
      <c r="AJ62" s="13">
        <v>7.91909071302596e-6</v>
      </c>
      <c r="AK62" s="13">
        <v>7.91909071302596e-6</v>
      </c>
      <c r="AL62" s="13">
        <v>7.91909071302596e-6</v>
      </c>
      <c r="AM62" s="13">
        <v>7.91909071302596e-6</v>
      </c>
      <c r="AN62" s="13">
        <v>7.91909071302596e-6</v>
      </c>
      <c r="AO62" s="13">
        <v>7.91909071302596e-6</v>
      </c>
      <c r="AP62" s="13">
        <v>7.91909071302596e-6</v>
      </c>
      <c r="AQ62" s="13">
        <v>7.91909071302596e-6</v>
      </c>
      <c r="AR62" s="13">
        <v>7.91909071302596e-6</v>
      </c>
      <c r="AS62" s="13">
        <v>7.91909071302596e-6</v>
      </c>
      <c r="AT62" s="13">
        <v>7.91909071302596e-6</v>
      </c>
      <c r="AU62" s="13">
        <v>7.91909071302596e-6</v>
      </c>
      <c r="AV62" s="13">
        <v>7.91909071302596e-6</v>
      </c>
      <c r="AW62" s="13">
        <v>7.91909071302596e-6</v>
      </c>
      <c r="AX62" s="13">
        <v>7.91909071302596e-6</v>
      </c>
      <c r="AY62" s="13">
        <v>7.91909071302596e-6</v>
      </c>
      <c r="AZ62" s="13">
        <v>7.91909071302596e-6</v>
      </c>
      <c r="BA62" s="13">
        <v>7.91909071302596e-6</v>
      </c>
      <c r="BB62" s="13">
        <v>7.91909071302596e-6</v>
      </c>
      <c r="BC62" s="13">
        <v>7.91909071302596e-6</v>
      </c>
      <c r="BD62" s="13">
        <v>7.91909071302596e-6</v>
      </c>
      <c r="BE62" s="13">
        <v>7.91909071302596e-6</v>
      </c>
      <c r="BF62" s="13">
        <v>7.91909071302596e-6</v>
      </c>
      <c r="BG62" s="13">
        <v>7.91909071302596e-6</v>
      </c>
      <c r="BH62" s="13">
        <v>7.91909071302596e-6</v>
      </c>
      <c r="BI62" s="13">
        <v>7.91909071302596e-6</v>
      </c>
      <c r="BJ62" s="13">
        <v>7.91909071302596e-6</v>
      </c>
      <c r="BK62" s="13">
        <v>7.91909071302596e-6</v>
      </c>
      <c r="BL62" s="13">
        <v>7.91909071302596e-6</v>
      </c>
    </row>
    <row r="63" spans="1:64">
      <c r="A63" s="13"/>
      <c r="B63" s="13" t="s">
        <v>26</v>
      </c>
      <c r="C63" s="13">
        <f t="shared" si="0"/>
        <v>1.21328254225336e-6</v>
      </c>
      <c r="D63" s="13">
        <f t="shared" ref="D63:AA63" si="69">D29*D29</f>
        <v>1.14399153053766e-6</v>
      </c>
      <c r="E63" s="13">
        <f t="shared" si="69"/>
        <v>2.22712749825906e-6</v>
      </c>
      <c r="F63" s="13">
        <f t="shared" si="69"/>
        <v>3.91040917092359e-6</v>
      </c>
      <c r="G63" s="13">
        <f t="shared" si="69"/>
        <v>1.79714977102702e-6</v>
      </c>
      <c r="H63" s="13">
        <f t="shared" si="69"/>
        <v>4.31290159583325e-7</v>
      </c>
      <c r="I63" s="13">
        <f t="shared" si="69"/>
        <v>3.18022645870874e-7</v>
      </c>
      <c r="J63" s="13">
        <f t="shared" si="69"/>
        <v>2.59208932451823e-7</v>
      </c>
      <c r="K63" s="13">
        <f t="shared" si="69"/>
        <v>6.52479246050502e-7</v>
      </c>
      <c r="L63" s="13">
        <f t="shared" si="69"/>
        <v>1.10311442523447e-6</v>
      </c>
      <c r="M63" s="13">
        <f t="shared" si="69"/>
        <v>7.2588559010641e-7</v>
      </c>
      <c r="N63" s="13">
        <f t="shared" si="69"/>
        <v>1.36364313664281e-6</v>
      </c>
      <c r="O63" s="13">
        <f t="shared" si="69"/>
        <v>5.38573949435405e-7</v>
      </c>
      <c r="P63" s="13">
        <f t="shared" si="69"/>
        <v>1.17290442658038e-6</v>
      </c>
      <c r="Q63" s="13">
        <f t="shared" si="69"/>
        <v>1.54346813877918e-6</v>
      </c>
      <c r="R63" s="13">
        <f t="shared" si="69"/>
        <v>5.04476657751267e-6</v>
      </c>
      <c r="S63" s="13">
        <f t="shared" si="69"/>
        <v>2.18127963642499e-6</v>
      </c>
      <c r="T63" s="13">
        <f t="shared" si="69"/>
        <v>1.6667238898334e-6</v>
      </c>
      <c r="U63" s="13">
        <f t="shared" si="69"/>
        <v>5.80616365414535e-7</v>
      </c>
      <c r="V63" s="13">
        <f t="shared" si="69"/>
        <v>5.90020143773825e-7</v>
      </c>
      <c r="W63" s="13">
        <f t="shared" si="69"/>
        <v>3.98872155971836e-7</v>
      </c>
      <c r="X63" s="13">
        <f t="shared" si="69"/>
        <v>3.37012664495437e-6</v>
      </c>
      <c r="Y63" s="13">
        <f t="shared" si="69"/>
        <v>2.79557117671297e-6</v>
      </c>
      <c r="Z63" s="13">
        <f t="shared" si="69"/>
        <v>1.24934634422773e-6</v>
      </c>
      <c r="AA63" s="13">
        <f t="shared" si="69"/>
        <v>7.21637316243822e-7</v>
      </c>
      <c r="AB63" s="13">
        <f t="shared" ref="AB63" si="70">AB29*AB29</f>
        <v>3.32892433173869e-7</v>
      </c>
      <c r="AC63" s="13">
        <f t="shared" ref="AC63:AF64" si="71">AC29*AC29</f>
        <v>0</v>
      </c>
      <c r="AD63" s="13">
        <f t="shared" si="71"/>
        <v>3.91239405981167e-6</v>
      </c>
      <c r="AE63" s="13">
        <f t="shared" si="71"/>
        <v>2.10348549103743e-6</v>
      </c>
      <c r="AF63" s="13">
        <f t="shared" si="71"/>
        <v>3.91995469770223e-6</v>
      </c>
      <c r="AG63" s="13">
        <f>AG29*AG29</f>
        <v>2.26493450283299e-7</v>
      </c>
      <c r="AH63" s="13">
        <f t="shared" si="2"/>
        <v>4.74947315468145e-5</v>
      </c>
      <c r="AI63" s="13">
        <v>4.74947315468145e-5</v>
      </c>
      <c r="AJ63" s="13">
        <v>4.74947315468145e-5</v>
      </c>
      <c r="AK63" s="13">
        <v>4.74947315468145e-5</v>
      </c>
      <c r="AL63" s="13">
        <v>4.74947315468145e-5</v>
      </c>
      <c r="AM63" s="13">
        <v>4.74947315468145e-5</v>
      </c>
      <c r="AN63" s="13">
        <v>4.74947315468145e-5</v>
      </c>
      <c r="AO63" s="13">
        <v>4.74947315468145e-5</v>
      </c>
      <c r="AP63" s="13">
        <v>4.74947315468145e-5</v>
      </c>
      <c r="AQ63" s="13">
        <v>4.74947315468145e-5</v>
      </c>
      <c r="AR63" s="13">
        <v>4.74947315468145e-5</v>
      </c>
      <c r="AS63" s="13">
        <v>4.74947315468145e-5</v>
      </c>
      <c r="AT63" s="13">
        <v>4.74947315468145e-5</v>
      </c>
      <c r="AU63" s="13">
        <v>4.74947315468145e-5</v>
      </c>
      <c r="AV63" s="13">
        <v>4.74947315468145e-5</v>
      </c>
      <c r="AW63" s="13">
        <v>4.74947315468145e-5</v>
      </c>
      <c r="AX63" s="13">
        <v>4.74947315468145e-5</v>
      </c>
      <c r="AY63" s="13">
        <v>4.74947315468145e-5</v>
      </c>
      <c r="AZ63" s="13">
        <v>4.74947315468145e-5</v>
      </c>
      <c r="BA63" s="13">
        <v>4.74947315468145e-5</v>
      </c>
      <c r="BB63" s="13">
        <v>4.74947315468145e-5</v>
      </c>
      <c r="BC63" s="13">
        <v>4.74947315468145e-5</v>
      </c>
      <c r="BD63" s="13">
        <v>4.74947315468145e-5</v>
      </c>
      <c r="BE63" s="13">
        <v>4.74947315468145e-5</v>
      </c>
      <c r="BF63" s="13">
        <v>4.74947315468145e-5</v>
      </c>
      <c r="BG63" s="13">
        <v>4.74947315468145e-5</v>
      </c>
      <c r="BH63" s="13">
        <v>4.74947315468145e-5</v>
      </c>
      <c r="BI63" s="13">
        <v>4.74947315468145e-5</v>
      </c>
      <c r="BJ63" s="13">
        <v>4.74947315468145e-5</v>
      </c>
      <c r="BK63" s="13">
        <v>4.74947315468145e-5</v>
      </c>
      <c r="BL63" s="13">
        <v>4.74947315468145e-5</v>
      </c>
    </row>
    <row r="64" spans="1:64">
      <c r="A64" s="13"/>
      <c r="B64" s="13" t="s">
        <v>27</v>
      </c>
      <c r="C64" s="13">
        <f t="shared" si="0"/>
        <v>7.12446975393955e-7</v>
      </c>
      <c r="D64" s="13">
        <f t="shared" ref="D64:AA64" si="72">D30*D30</f>
        <v>6.45063395910909e-7</v>
      </c>
      <c r="E64" s="13">
        <f t="shared" si="72"/>
        <v>1.03429725205303e-6</v>
      </c>
      <c r="F64" s="13">
        <f t="shared" si="72"/>
        <v>1.54890968731718e-6</v>
      </c>
      <c r="G64" s="13">
        <f t="shared" si="72"/>
        <v>1.38856987965857e-6</v>
      </c>
      <c r="H64" s="13">
        <f t="shared" si="72"/>
        <v>3.04414385083519e-7</v>
      </c>
      <c r="I64" s="13">
        <f t="shared" si="72"/>
        <v>2.43661551030617e-7</v>
      </c>
      <c r="J64" s="13">
        <f t="shared" si="72"/>
        <v>2.10022650133013e-7</v>
      </c>
      <c r="K64" s="13">
        <f t="shared" si="72"/>
        <v>3.32731258029431e-7</v>
      </c>
      <c r="L64" s="13">
        <f t="shared" si="72"/>
        <v>4.77078329407596e-7</v>
      </c>
      <c r="M64" s="13">
        <f t="shared" si="72"/>
        <v>3.55594303634762e-7</v>
      </c>
      <c r="N64" s="13">
        <f t="shared" si="72"/>
        <v>5.41597316831352e-7</v>
      </c>
      <c r="O64" s="13">
        <f t="shared" si="72"/>
        <v>2.894514269539e-7</v>
      </c>
      <c r="P64" s="13">
        <f t="shared" si="72"/>
        <v>4.99116962748448e-7</v>
      </c>
      <c r="Q64" s="13">
        <f t="shared" si="72"/>
        <v>6.81669511027226e-7</v>
      </c>
      <c r="R64" s="13">
        <f t="shared" si="72"/>
        <v>1.19260360430739e-6</v>
      </c>
      <c r="S64" s="13">
        <f t="shared" si="72"/>
        <v>7.22226646761503e-7</v>
      </c>
      <c r="T64" s="13">
        <f t="shared" si="72"/>
        <v>6.63196557019539e-7</v>
      </c>
      <c r="U64" s="13">
        <f t="shared" si="72"/>
        <v>3.39772629061881e-7</v>
      </c>
      <c r="V64" s="13">
        <f t="shared" si="72"/>
        <v>4.02692357211412e-7</v>
      </c>
      <c r="W64" s="13">
        <f t="shared" si="72"/>
        <v>2.77225918574497e-7</v>
      </c>
      <c r="X64" s="13">
        <f t="shared" si="72"/>
        <v>1.67866323496002e-6</v>
      </c>
      <c r="Y64" s="13">
        <f t="shared" si="72"/>
        <v>2.52127353066678e-6</v>
      </c>
      <c r="Z64" s="13">
        <f t="shared" si="72"/>
        <v>8.06462423839268e-7</v>
      </c>
      <c r="AA64" s="13">
        <f t="shared" si="72"/>
        <v>6.62112231110873e-7</v>
      </c>
      <c r="AB64" s="13">
        <f t="shared" ref="AB64" si="73">AB30*AB30</f>
        <v>5.2895068714059e-7</v>
      </c>
      <c r="AC64" s="13">
        <f t="shared" si="71"/>
        <v>3.91239405981167e-6</v>
      </c>
      <c r="AD64" s="13">
        <f t="shared" si="71"/>
        <v>0</v>
      </c>
      <c r="AE64" s="13">
        <f t="shared" si="71"/>
        <v>2.88376800752723e-5</v>
      </c>
      <c r="AF64" s="13">
        <f t="shared" si="71"/>
        <v>8.55560301686601e-6</v>
      </c>
      <c r="AG64" s="13">
        <f>AG30*AG30</f>
        <v>3.87908760037366e-7</v>
      </c>
      <c r="AH64" s="13">
        <f t="shared" si="2"/>
        <v>6.07533906178546e-5</v>
      </c>
      <c r="AI64" s="13">
        <v>6.07533906178546e-5</v>
      </c>
      <c r="AJ64" s="13">
        <v>6.07533906178546e-5</v>
      </c>
      <c r="AK64" s="13">
        <v>6.07533906178546e-5</v>
      </c>
      <c r="AL64" s="13">
        <v>6.07533906178546e-5</v>
      </c>
      <c r="AM64" s="13">
        <v>6.07533906178546e-5</v>
      </c>
      <c r="AN64" s="13">
        <v>6.07533906178546e-5</v>
      </c>
      <c r="AO64" s="13">
        <v>6.07533906178546e-5</v>
      </c>
      <c r="AP64" s="13">
        <v>6.07533906178546e-5</v>
      </c>
      <c r="AQ64" s="13">
        <v>6.07533906178546e-5</v>
      </c>
      <c r="AR64" s="13">
        <v>6.07533906178546e-5</v>
      </c>
      <c r="AS64" s="13">
        <v>6.07533906178546e-5</v>
      </c>
      <c r="AT64" s="13">
        <v>6.07533906178546e-5</v>
      </c>
      <c r="AU64" s="13">
        <v>6.07533906178546e-5</v>
      </c>
      <c r="AV64" s="13">
        <v>6.07533906178546e-5</v>
      </c>
      <c r="AW64" s="13">
        <v>6.07533906178546e-5</v>
      </c>
      <c r="AX64" s="13">
        <v>6.07533906178546e-5</v>
      </c>
      <c r="AY64" s="13">
        <v>6.07533906178546e-5</v>
      </c>
      <c r="AZ64" s="13">
        <v>6.07533906178546e-5</v>
      </c>
      <c r="BA64" s="13">
        <v>6.07533906178546e-5</v>
      </c>
      <c r="BB64" s="13">
        <v>6.07533906178546e-5</v>
      </c>
      <c r="BC64" s="13">
        <v>6.07533906178546e-5</v>
      </c>
      <c r="BD64" s="13">
        <v>6.07533906178546e-5</v>
      </c>
      <c r="BE64" s="13">
        <v>6.07533906178546e-5</v>
      </c>
      <c r="BF64" s="13">
        <v>6.07533906178546e-5</v>
      </c>
      <c r="BG64" s="13">
        <v>6.07533906178546e-5</v>
      </c>
      <c r="BH64" s="13">
        <v>6.07533906178546e-5</v>
      </c>
      <c r="BI64" s="13">
        <v>6.07533906178546e-5</v>
      </c>
      <c r="BJ64" s="13">
        <v>6.07533906178546e-5</v>
      </c>
      <c r="BK64" s="13">
        <v>6.07533906178546e-5</v>
      </c>
      <c r="BL64" s="13">
        <v>6.07533906178546e-5</v>
      </c>
    </row>
    <row r="65" spans="1:64">
      <c r="A65" s="13"/>
      <c r="B65" s="13" t="s">
        <v>28</v>
      </c>
      <c r="C65" s="13">
        <f t="shared" si="0"/>
        <v>5.5622472884721e-7</v>
      </c>
      <c r="D65" s="13">
        <f t="shared" ref="D65:Q65" si="74">D31*D31</f>
        <v>5.05385442667835e-7</v>
      </c>
      <c r="E65" s="13">
        <f t="shared" si="74"/>
        <v>7.55676164782226e-7</v>
      </c>
      <c r="F65" s="13">
        <f t="shared" si="74"/>
        <v>1.05592020296434e-6</v>
      </c>
      <c r="G65" s="13">
        <f t="shared" si="74"/>
        <v>1.04545087286379e-6</v>
      </c>
      <c r="H65" s="13">
        <f t="shared" si="74"/>
        <v>2.59572333268543e-7</v>
      </c>
      <c r="I65" s="13">
        <f t="shared" si="74"/>
        <v>2.13340285568614e-7</v>
      </c>
      <c r="J65" s="13">
        <f t="shared" si="74"/>
        <v>1.87303564660159e-7</v>
      </c>
      <c r="K65" s="13">
        <f t="shared" si="74"/>
        <v>2.71319882326177e-7</v>
      </c>
      <c r="L65" s="13">
        <f t="shared" si="74"/>
        <v>3.74555106117752e-7</v>
      </c>
      <c r="M65" s="13">
        <f t="shared" si="74"/>
        <v>2.88341047966706e-7</v>
      </c>
      <c r="N65" s="13">
        <f t="shared" si="74"/>
        <v>4.19317397709827e-7</v>
      </c>
      <c r="O65" s="13">
        <f t="shared" si="74"/>
        <v>2.4156466593424e-7</v>
      </c>
      <c r="P65" s="13">
        <f t="shared" si="74"/>
        <v>3.95314234455899e-7</v>
      </c>
      <c r="Q65" s="13">
        <f t="shared" si="74"/>
        <v>5.18101544275423e-7</v>
      </c>
      <c r="R65" s="13">
        <f t="shared" ref="R65:AG65" si="75">R31*R31</f>
        <v>8.24182608186336e-7</v>
      </c>
      <c r="S65" s="13">
        <f t="shared" si="75"/>
        <v>5.44097464803951e-7</v>
      </c>
      <c r="T65" s="13">
        <f t="shared" si="75"/>
        <v>5.1695346666798e-7</v>
      </c>
      <c r="U65" s="13">
        <f t="shared" si="75"/>
        <v>2.89845016282697e-7</v>
      </c>
      <c r="V65" s="13">
        <f t="shared" si="75"/>
        <v>3.55446108083585e-7</v>
      </c>
      <c r="W65" s="13">
        <f t="shared" si="75"/>
        <v>2.47583499104257e-7</v>
      </c>
      <c r="X65" s="13">
        <f t="shared" si="75"/>
        <v>1.25953306454863e-6</v>
      </c>
      <c r="Y65" s="13">
        <f t="shared" si="75"/>
        <v>2.00140821977239e-6</v>
      </c>
      <c r="Z65" s="13">
        <f t="shared" si="75"/>
        <v>6.82159272557788e-7</v>
      </c>
      <c r="AA65" s="13">
        <f t="shared" si="75"/>
        <v>6.24363396924176e-7</v>
      </c>
      <c r="AB65" s="13">
        <f t="shared" si="75"/>
        <v>6.49344213366102e-7</v>
      </c>
      <c r="AC65" s="13">
        <f t="shared" si="75"/>
        <v>2.10348549103743e-6</v>
      </c>
      <c r="AD65" s="13">
        <f t="shared" si="75"/>
        <v>2.88376800752723e-5</v>
      </c>
      <c r="AE65" s="13">
        <f t="shared" si="75"/>
        <v>0</v>
      </c>
      <c r="AF65" s="13">
        <f t="shared" si="75"/>
        <v>4.6334177916481e-6</v>
      </c>
      <c r="AG65" s="13">
        <f t="shared" si="75"/>
        <v>4.84462448395712e-7</v>
      </c>
      <c r="AH65" s="13">
        <f t="shared" si="2"/>
        <v>5.11413496110602e-5</v>
      </c>
      <c r="AI65" s="13">
        <v>5.11413496110602e-5</v>
      </c>
      <c r="AJ65" s="13">
        <v>5.11413496110602e-5</v>
      </c>
      <c r="AK65" s="13">
        <v>5.11413496110602e-5</v>
      </c>
      <c r="AL65" s="13">
        <v>5.11413496110602e-5</v>
      </c>
      <c r="AM65" s="13">
        <v>5.11413496110602e-5</v>
      </c>
      <c r="AN65" s="13">
        <v>5.11413496110602e-5</v>
      </c>
      <c r="AO65" s="13">
        <v>5.11413496110602e-5</v>
      </c>
      <c r="AP65" s="13">
        <v>5.11413496110602e-5</v>
      </c>
      <c r="AQ65" s="13">
        <v>5.11413496110602e-5</v>
      </c>
      <c r="AR65" s="13">
        <v>5.11413496110602e-5</v>
      </c>
      <c r="AS65" s="13">
        <v>5.11413496110602e-5</v>
      </c>
      <c r="AT65" s="13">
        <v>5.11413496110602e-5</v>
      </c>
      <c r="AU65" s="13">
        <v>5.11413496110602e-5</v>
      </c>
      <c r="AV65" s="13">
        <v>5.11413496110602e-5</v>
      </c>
      <c r="AW65" s="13">
        <v>5.11413496110602e-5</v>
      </c>
      <c r="AX65" s="13">
        <v>5.11413496110602e-5</v>
      </c>
      <c r="AY65" s="13">
        <v>5.11413496110602e-5</v>
      </c>
      <c r="AZ65" s="13">
        <v>5.11413496110602e-5</v>
      </c>
      <c r="BA65" s="13">
        <v>5.11413496110602e-5</v>
      </c>
      <c r="BB65" s="13">
        <v>5.11413496110602e-5</v>
      </c>
      <c r="BC65" s="13">
        <v>5.11413496110602e-5</v>
      </c>
      <c r="BD65" s="13">
        <v>5.11413496110602e-5</v>
      </c>
      <c r="BE65" s="13">
        <v>5.11413496110602e-5</v>
      </c>
      <c r="BF65" s="13">
        <v>5.11413496110602e-5</v>
      </c>
      <c r="BG65" s="13">
        <v>5.11413496110602e-5</v>
      </c>
      <c r="BH65" s="13">
        <v>5.11413496110602e-5</v>
      </c>
      <c r="BI65" s="13">
        <v>5.11413496110602e-5</v>
      </c>
      <c r="BJ65" s="13">
        <v>5.11413496110602e-5</v>
      </c>
      <c r="BK65" s="13">
        <v>5.11413496110602e-5</v>
      </c>
      <c r="BL65" s="13">
        <v>5.11413496110602e-5</v>
      </c>
    </row>
    <row r="66" spans="1:64">
      <c r="A66" s="13"/>
      <c r="B66" s="13" t="s">
        <v>29</v>
      </c>
      <c r="C66" s="13">
        <f t="shared" si="0"/>
        <v>1.27905303583493e-6</v>
      </c>
      <c r="D66" s="13">
        <f t="shared" ref="D66:Q66" si="76">D32*D32</f>
        <v>1.09421522815172e-6</v>
      </c>
      <c r="E66" s="13">
        <f t="shared" si="76"/>
        <v>1.96732690885785e-6</v>
      </c>
      <c r="F66" s="13">
        <f t="shared" si="76"/>
        <v>3.33123692033683e-6</v>
      </c>
      <c r="G66" s="13">
        <f t="shared" si="76"/>
        <v>3.78086245827417e-6</v>
      </c>
      <c r="H66" s="13">
        <f t="shared" si="76"/>
        <v>4.44215316586644e-7</v>
      </c>
      <c r="I66" s="13">
        <f t="shared" si="76"/>
        <v>3.45821487542397e-7</v>
      </c>
      <c r="J66" s="13">
        <f t="shared" si="76"/>
        <v>2.92666504490587e-7</v>
      </c>
      <c r="K66" s="13">
        <f t="shared" si="76"/>
        <v>3.94083069302129e-7</v>
      </c>
      <c r="L66" s="13">
        <f t="shared" si="76"/>
        <v>5.77616680640703e-7</v>
      </c>
      <c r="M66" s="13">
        <f t="shared" si="76"/>
        <v>4.07726291565116e-7</v>
      </c>
      <c r="N66" s="13">
        <f t="shared" si="76"/>
        <v>6.36417029932847e-7</v>
      </c>
      <c r="O66" s="13">
        <f t="shared" si="76"/>
        <v>2.99248302586617e-7</v>
      </c>
      <c r="P66" s="13">
        <f t="shared" si="76"/>
        <v>5.08894416485322e-7</v>
      </c>
      <c r="Q66" s="13">
        <f t="shared" si="76"/>
        <v>1.03878008036423e-6</v>
      </c>
      <c r="R66" s="13">
        <f t="shared" ref="R66:AA66" si="77">R32*R32</f>
        <v>1.66530640564317e-6</v>
      </c>
      <c r="S66" s="13">
        <f t="shared" si="77"/>
        <v>7.59048461945022e-7</v>
      </c>
      <c r="T66" s="13">
        <f t="shared" si="77"/>
        <v>6.12293606204239e-7</v>
      </c>
      <c r="U66" s="13">
        <f t="shared" si="77"/>
        <v>3.02991788091126e-7</v>
      </c>
      <c r="V66" s="13">
        <f t="shared" si="77"/>
        <v>3.19773746552459e-7</v>
      </c>
      <c r="W66" s="13">
        <f t="shared" si="77"/>
        <v>2.33691831979171e-7</v>
      </c>
      <c r="X66" s="13">
        <f t="shared" si="77"/>
        <v>1.06964455043399e-6</v>
      </c>
      <c r="Y66" s="13">
        <f t="shared" si="77"/>
        <v>1.24166300599827e-6</v>
      </c>
      <c r="Z66" s="13">
        <f t="shared" si="77"/>
        <v>5.67740784220748e-7</v>
      </c>
      <c r="AA66" s="13">
        <f t="shared" si="77"/>
        <v>4.36025631735037e-7</v>
      </c>
      <c r="AB66" s="13">
        <f t="shared" ref="AB66" si="78">AB32*AB32</f>
        <v>3.44919071387712e-7</v>
      </c>
      <c r="AC66" s="13">
        <f t="shared" ref="AC66:AG67" si="79">AC32*AC32</f>
        <v>3.91995469770223e-6</v>
      </c>
      <c r="AD66" s="13">
        <f t="shared" si="79"/>
        <v>8.55560301686601e-6</v>
      </c>
      <c r="AE66" s="13">
        <f t="shared" si="79"/>
        <v>4.6334177916481e-6</v>
      </c>
      <c r="AF66" s="13">
        <f t="shared" si="79"/>
        <v>0</v>
      </c>
      <c r="AG66" s="13">
        <f t="shared" si="79"/>
        <v>3.54276945989343e-7</v>
      </c>
      <c r="AH66" s="13">
        <f t="shared" si="2"/>
        <v>4.14145150673487e-5</v>
      </c>
      <c r="AI66" s="13">
        <v>4.14145150673487e-5</v>
      </c>
      <c r="AJ66" s="13">
        <v>4.14145150673487e-5</v>
      </c>
      <c r="AK66" s="13">
        <v>4.14145150673487e-5</v>
      </c>
      <c r="AL66" s="13">
        <v>4.14145150673487e-5</v>
      </c>
      <c r="AM66" s="13">
        <v>4.14145150673487e-5</v>
      </c>
      <c r="AN66" s="13">
        <v>4.14145150673487e-5</v>
      </c>
      <c r="AO66" s="13">
        <v>4.14145150673487e-5</v>
      </c>
      <c r="AP66" s="13">
        <v>4.14145150673487e-5</v>
      </c>
      <c r="AQ66" s="13">
        <v>4.14145150673487e-5</v>
      </c>
      <c r="AR66" s="13">
        <v>4.14145150673487e-5</v>
      </c>
      <c r="AS66" s="13">
        <v>4.14145150673487e-5</v>
      </c>
      <c r="AT66" s="13">
        <v>4.14145150673487e-5</v>
      </c>
      <c r="AU66" s="13">
        <v>4.14145150673487e-5</v>
      </c>
      <c r="AV66" s="13">
        <v>4.14145150673487e-5</v>
      </c>
      <c r="AW66" s="13">
        <v>4.14145150673487e-5</v>
      </c>
      <c r="AX66" s="13">
        <v>4.14145150673487e-5</v>
      </c>
      <c r="AY66" s="13">
        <v>4.14145150673487e-5</v>
      </c>
      <c r="AZ66" s="13">
        <v>4.14145150673487e-5</v>
      </c>
      <c r="BA66" s="13">
        <v>4.14145150673487e-5</v>
      </c>
      <c r="BB66" s="13">
        <v>4.14145150673487e-5</v>
      </c>
      <c r="BC66" s="13">
        <v>4.14145150673487e-5</v>
      </c>
      <c r="BD66" s="13">
        <v>4.14145150673487e-5</v>
      </c>
      <c r="BE66" s="13">
        <v>4.14145150673487e-5</v>
      </c>
      <c r="BF66" s="13">
        <v>4.14145150673487e-5</v>
      </c>
      <c r="BG66" s="13">
        <v>4.14145150673487e-5</v>
      </c>
      <c r="BH66" s="13">
        <v>4.14145150673487e-5</v>
      </c>
      <c r="BI66" s="13">
        <v>4.14145150673487e-5</v>
      </c>
      <c r="BJ66" s="13">
        <v>4.14145150673487e-5</v>
      </c>
      <c r="BK66" s="13">
        <v>4.14145150673487e-5</v>
      </c>
      <c r="BL66" s="13">
        <v>4.14145150673487e-5</v>
      </c>
    </row>
    <row r="67" spans="1:64">
      <c r="A67" s="13"/>
      <c r="B67" s="13" t="s">
        <v>30</v>
      </c>
      <c r="C67" s="13">
        <f t="shared" si="0"/>
        <v>1.68797671044487e-7</v>
      </c>
      <c r="D67" s="13">
        <f t="shared" ref="D67:Q67" si="80">D33*D33</f>
        <v>1.56778006186745e-7</v>
      </c>
      <c r="E67" s="13">
        <f t="shared" si="80"/>
        <v>1.82616392868482e-7</v>
      </c>
      <c r="F67" s="13">
        <f t="shared" si="80"/>
        <v>2.0582721243735e-7</v>
      </c>
      <c r="G67" s="13">
        <f t="shared" si="80"/>
        <v>2.47347155313588e-7</v>
      </c>
      <c r="H67" s="13">
        <f t="shared" si="80"/>
        <v>1.16277173682389e-7</v>
      </c>
      <c r="I67" s="13">
        <f t="shared" si="80"/>
        <v>1.09052963049143e-7</v>
      </c>
      <c r="J67" s="13">
        <f t="shared" si="80"/>
        <v>1.05625191312212e-7</v>
      </c>
      <c r="K67" s="13">
        <f t="shared" si="80"/>
        <v>9.3349993076043e-8</v>
      </c>
      <c r="L67" s="13">
        <f t="shared" si="80"/>
        <v>1.11457756890555e-7</v>
      </c>
      <c r="M67" s="13">
        <f t="shared" si="80"/>
        <v>9.50830895439727e-8</v>
      </c>
      <c r="N67" s="13">
        <f t="shared" si="80"/>
        <v>1.16693686288433e-7</v>
      </c>
      <c r="O67" s="13">
        <f t="shared" si="80"/>
        <v>8.34012063493931e-8</v>
      </c>
      <c r="P67" s="13">
        <f t="shared" si="80"/>
        <v>1.09612875736757e-7</v>
      </c>
      <c r="Q67" s="13">
        <f t="shared" si="80"/>
        <v>1.44215054196627e-7</v>
      </c>
      <c r="R67" s="13">
        <f t="shared" ref="R67:AA67" si="81">R33*R33</f>
        <v>1.66190947381492e-7</v>
      </c>
      <c r="S67" s="13">
        <f t="shared" si="81"/>
        <v>1.2957032396122e-7</v>
      </c>
      <c r="T67" s="13">
        <f t="shared" si="81"/>
        <v>1.25082705343175e-7</v>
      </c>
      <c r="U67" s="13">
        <f t="shared" si="81"/>
        <v>9.31944948396593e-8</v>
      </c>
      <c r="V67" s="13">
        <f t="shared" si="81"/>
        <v>1.095836541758e-7</v>
      </c>
      <c r="W67" s="13">
        <f t="shared" si="81"/>
        <v>8.83376329900544e-8</v>
      </c>
      <c r="X67" s="13">
        <f t="shared" si="81"/>
        <v>1.89504777240322e-7</v>
      </c>
      <c r="Y67" s="13">
        <f t="shared" si="81"/>
        <v>2.33511247008064e-7</v>
      </c>
      <c r="Z67" s="13">
        <f t="shared" si="81"/>
        <v>1.51814258983528e-7</v>
      </c>
      <c r="AA67" s="13">
        <f t="shared" si="81"/>
        <v>1.64544037570809e-7</v>
      </c>
      <c r="AB67" s="13">
        <f t="shared" ref="AB67" si="82">AB33*AB33</f>
        <v>3.91619719333683e-7</v>
      </c>
      <c r="AC67" s="13">
        <f t="shared" si="79"/>
        <v>2.26493450283299e-7</v>
      </c>
      <c r="AD67" s="13">
        <f t="shared" si="79"/>
        <v>3.87908760037366e-7</v>
      </c>
      <c r="AE67" s="13">
        <f t="shared" si="79"/>
        <v>4.84462448395712e-7</v>
      </c>
      <c r="AF67" s="13">
        <f t="shared" si="79"/>
        <v>3.54276945989343e-7</v>
      </c>
      <c r="AG67" s="13">
        <f t="shared" si="79"/>
        <v>0</v>
      </c>
      <c r="AH67" s="13">
        <f t="shared" si="2"/>
        <v>5.3422308315097e-6</v>
      </c>
      <c r="AI67" s="13">
        <v>5.3422308315097e-6</v>
      </c>
      <c r="AJ67" s="13">
        <v>5.3422308315097e-6</v>
      </c>
      <c r="AK67" s="13">
        <v>5.3422308315097e-6</v>
      </c>
      <c r="AL67" s="13">
        <v>5.3422308315097e-6</v>
      </c>
      <c r="AM67" s="13">
        <v>5.3422308315097e-6</v>
      </c>
      <c r="AN67" s="13">
        <v>5.3422308315097e-6</v>
      </c>
      <c r="AO67" s="13">
        <v>5.3422308315097e-6</v>
      </c>
      <c r="AP67" s="13">
        <v>5.3422308315097e-6</v>
      </c>
      <c r="AQ67" s="13">
        <v>5.3422308315097e-6</v>
      </c>
      <c r="AR67" s="13">
        <v>5.3422308315097e-6</v>
      </c>
      <c r="AS67" s="13">
        <v>5.3422308315097e-6</v>
      </c>
      <c r="AT67" s="13">
        <v>5.3422308315097e-6</v>
      </c>
      <c r="AU67" s="13">
        <v>5.3422308315097e-6</v>
      </c>
      <c r="AV67" s="13">
        <v>5.3422308315097e-6</v>
      </c>
      <c r="AW67" s="13">
        <v>5.3422308315097e-6</v>
      </c>
      <c r="AX67" s="13">
        <v>5.3422308315097e-6</v>
      </c>
      <c r="AY67" s="13">
        <v>5.3422308315097e-6</v>
      </c>
      <c r="AZ67" s="13">
        <v>5.3422308315097e-6</v>
      </c>
      <c r="BA67" s="13">
        <v>5.3422308315097e-6</v>
      </c>
      <c r="BB67" s="13">
        <v>5.3422308315097e-6</v>
      </c>
      <c r="BC67" s="13">
        <v>5.3422308315097e-6</v>
      </c>
      <c r="BD67" s="13">
        <v>5.3422308315097e-6</v>
      </c>
      <c r="BE67" s="13">
        <v>5.3422308315097e-6</v>
      </c>
      <c r="BF67" s="13">
        <v>5.3422308315097e-6</v>
      </c>
      <c r="BG67" s="13">
        <v>5.3422308315097e-6</v>
      </c>
      <c r="BH67" s="13">
        <v>5.3422308315097e-6</v>
      </c>
      <c r="BI67" s="13">
        <v>5.3422308315097e-6</v>
      </c>
      <c r="BJ67" s="13">
        <v>5.3422308315097e-6</v>
      </c>
      <c r="BK67" s="13">
        <v>5.3422308315097e-6</v>
      </c>
      <c r="BL67" s="13">
        <v>5.3422308315097e-6</v>
      </c>
    </row>
    <row r="68" spans="1:33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</row>
    <row r="69" spans="1:33">
      <c r="A69" s="13" t="s">
        <v>58</v>
      </c>
      <c r="B69" s="13"/>
      <c r="C69" s="13" t="s">
        <v>0</v>
      </c>
      <c r="D69" s="13" t="s">
        <v>1</v>
      </c>
      <c r="E69" s="13" t="s">
        <v>2</v>
      </c>
      <c r="F69" s="13" t="s">
        <v>3</v>
      </c>
      <c r="G69" s="13" t="s">
        <v>4</v>
      </c>
      <c r="H69" s="13" t="s">
        <v>5</v>
      </c>
      <c r="I69" s="13" t="s">
        <v>6</v>
      </c>
      <c r="J69" s="13" t="s">
        <v>7</v>
      </c>
      <c r="K69" s="13" t="s">
        <v>8</v>
      </c>
      <c r="L69" s="13" t="s">
        <v>9</v>
      </c>
      <c r="M69" s="13" t="s">
        <v>10</v>
      </c>
      <c r="N69" s="13" t="s">
        <v>11</v>
      </c>
      <c r="O69" s="13" t="s">
        <v>12</v>
      </c>
      <c r="P69" s="13" t="s">
        <v>13</v>
      </c>
      <c r="Q69" s="13" t="s">
        <v>14</v>
      </c>
      <c r="R69" s="13" t="s">
        <v>15</v>
      </c>
      <c r="S69" s="13" t="s">
        <v>16</v>
      </c>
      <c r="T69" s="13" t="s">
        <v>17</v>
      </c>
      <c r="U69" s="13" t="s">
        <v>18</v>
      </c>
      <c r="V69" s="13" t="s">
        <v>19</v>
      </c>
      <c r="W69" s="13" t="s">
        <v>20</v>
      </c>
      <c r="X69" s="13" t="s">
        <v>21</v>
      </c>
      <c r="Y69" s="13" t="s">
        <v>22</v>
      </c>
      <c r="Z69" s="13" t="s">
        <v>23</v>
      </c>
      <c r="AA69" s="13" t="s">
        <v>24</v>
      </c>
      <c r="AB69" s="13" t="s">
        <v>25</v>
      </c>
      <c r="AC69" s="13" t="s">
        <v>26</v>
      </c>
      <c r="AD69" s="13" t="s">
        <v>27</v>
      </c>
      <c r="AE69" s="13" t="s">
        <v>28</v>
      </c>
      <c r="AF69" s="13" t="s">
        <v>29</v>
      </c>
      <c r="AG69" s="13" t="s">
        <v>30</v>
      </c>
    </row>
    <row r="70" spans="1:33">
      <c r="A70" s="13"/>
      <c r="B70" s="13" t="s">
        <v>0</v>
      </c>
      <c r="C70" s="13">
        <f t="shared" ref="C70:AB70" si="83">C37/AH37</f>
        <v>0</v>
      </c>
      <c r="D70" s="13">
        <f t="shared" si="83"/>
        <v>0.653579505545721</v>
      </c>
      <c r="E70" s="13">
        <f t="shared" si="83"/>
        <v>0.105202030000878</v>
      </c>
      <c r="F70" s="13">
        <f t="shared" si="83"/>
        <v>0.0363613264233741</v>
      </c>
      <c r="G70" s="13">
        <f t="shared" si="83"/>
        <v>0.0334694114124214</v>
      </c>
      <c r="H70" s="13">
        <f t="shared" si="83"/>
        <v>0.0151639473041218</v>
      </c>
      <c r="I70" s="13">
        <f t="shared" si="83"/>
        <v>0.00802120224185569</v>
      </c>
      <c r="J70" s="13">
        <f t="shared" si="83"/>
        <v>0.00540091549863009</v>
      </c>
      <c r="K70" s="13">
        <f t="shared" si="83"/>
        <v>0.00555605615725641</v>
      </c>
      <c r="L70" s="13">
        <f t="shared" si="83"/>
        <v>0.00814299517097864</v>
      </c>
      <c r="M70" s="13">
        <f t="shared" si="83"/>
        <v>0.00495979263142431</v>
      </c>
      <c r="N70" s="13">
        <f t="shared" si="83"/>
        <v>0.00748329523782905</v>
      </c>
      <c r="O70" s="13">
        <f t="shared" si="83"/>
        <v>0.00258531926281</v>
      </c>
      <c r="P70" s="13">
        <f t="shared" si="83"/>
        <v>0.00390539661297011</v>
      </c>
      <c r="Q70" s="13">
        <f t="shared" si="83"/>
        <v>0.0473485578502104</v>
      </c>
      <c r="R70" s="13">
        <f t="shared" si="83"/>
        <v>0.0156817672281606</v>
      </c>
      <c r="S70" s="13">
        <f t="shared" si="83"/>
        <v>0.00556319055887659</v>
      </c>
      <c r="T70" s="13">
        <f t="shared" si="83"/>
        <v>0.00348299042203522</v>
      </c>
      <c r="U70" s="13">
        <f t="shared" si="83"/>
        <v>0.00174998792602677</v>
      </c>
      <c r="V70" s="13">
        <f t="shared" si="83"/>
        <v>0.0014392747437389</v>
      </c>
      <c r="W70" s="13">
        <f t="shared" si="83"/>
        <v>0.00119207015157537</v>
      </c>
      <c r="X70" s="13">
        <f t="shared" si="83"/>
        <v>0.00299458738248045</v>
      </c>
      <c r="Y70" s="13">
        <f t="shared" si="83"/>
        <v>0.00265999450353704</v>
      </c>
      <c r="Z70" s="13">
        <f t="shared" si="83"/>
        <v>0.00201644411489932</v>
      </c>
      <c r="AA70" s="13">
        <f t="shared" si="83"/>
        <v>0.00141013680259616</v>
      </c>
      <c r="AB70" s="13">
        <f t="shared" si="83"/>
        <v>0.00092313167938533</v>
      </c>
      <c r="AC70" s="13">
        <f t="shared" ref="AC70:AC93" si="84">AC37/BG37</f>
        <v>0.00731916545282314</v>
      </c>
      <c r="AD70" s="13">
        <f t="shared" ref="AD70:AD93" si="85">AD37/BH37</f>
        <v>0.0042978589962954</v>
      </c>
      <c r="AE70" s="13">
        <f t="shared" ref="AE70:AE93" si="86">AE37/BI37</f>
        <v>0.00335544333459491</v>
      </c>
      <c r="AF70" s="13">
        <f t="shared" ref="AF70:AF93" si="87">AF37/BJ37</f>
        <v>0.00771592804329384</v>
      </c>
      <c r="AG70" s="13">
        <f t="shared" ref="AG70:AG93" si="88">AG37/BK37</f>
        <v>0.0010182773092006</v>
      </c>
    </row>
    <row r="71" spans="1:33">
      <c r="A71" s="13"/>
      <c r="B71" s="13" t="s">
        <v>1</v>
      </c>
      <c r="C71" s="13">
        <f t="shared" ref="C71:C94" si="89">C38/AH38</f>
        <v>0.659438803060258</v>
      </c>
      <c r="D71" s="13">
        <f t="shared" ref="D71:D94" si="90">D38/AI38</f>
        <v>0</v>
      </c>
      <c r="E71" s="13">
        <f t="shared" ref="E71:E94" si="91">E38/AJ38</f>
        <v>0.0837130896551365</v>
      </c>
      <c r="F71" s="13">
        <f t="shared" ref="F71:F94" si="92">F38/AK38</f>
        <v>0.0300893500920896</v>
      </c>
      <c r="G71" s="13">
        <f t="shared" ref="G71:G94" si="93">G38/AL38</f>
        <v>0.0229571445459474</v>
      </c>
      <c r="H71" s="13">
        <f t="shared" ref="H71:H94" si="94">H38/AM38</f>
        <v>0.0175906732620087</v>
      </c>
      <c r="I71" s="13">
        <f t="shared" ref="I71:I94" si="95">I38/AN38</f>
        <v>0.00859883251776493</v>
      </c>
      <c r="J71" s="13">
        <f t="shared" ref="J71:J94" si="96">J38/AO38</f>
        <v>0.00559343860592127</v>
      </c>
      <c r="K71" s="13">
        <f t="shared" ref="K71:K94" si="97">K38/AP38</f>
        <v>0.00666502499667767</v>
      </c>
      <c r="L71" s="13">
        <f t="shared" ref="L71:L94" si="98">L38/AQ38</f>
        <v>0.00981426779664124</v>
      </c>
      <c r="M71" s="13">
        <f t="shared" ref="M71:M94" si="99">M38/AR38</f>
        <v>0.00581336407199975</v>
      </c>
      <c r="N71" s="13">
        <f t="shared" ref="N71:N94" si="100">N38/AS38</f>
        <v>0.00873150969823126</v>
      </c>
      <c r="O71" s="13">
        <f t="shared" ref="O71:O94" si="101">O38/AT38</f>
        <v>0.00286879762476407</v>
      </c>
      <c r="P71" s="13">
        <f t="shared" ref="P71:P94" si="102">P38/AU38</f>
        <v>0.00429042492426359</v>
      </c>
      <c r="Q71" s="13">
        <f t="shared" ref="Q71:Q94" si="103">Q38/AV38</f>
        <v>0.0714582799981778</v>
      </c>
      <c r="R71" s="13">
        <f t="shared" ref="R71:R94" si="104">R38/AW38</f>
        <v>0.0165560455638067</v>
      </c>
      <c r="S71" s="13">
        <f t="shared" ref="S71:S94" si="105">S38/AX38</f>
        <v>0.00606182533962039</v>
      </c>
      <c r="T71" s="13">
        <f t="shared" ref="T71:T94" si="106">T38/AY38</f>
        <v>0.00369421822623127</v>
      </c>
      <c r="U71" s="13">
        <f t="shared" ref="U71:U94" si="107">U38/AZ38</f>
        <v>0.0018495920558813</v>
      </c>
      <c r="V71" s="13">
        <f t="shared" ref="V71:V94" si="108">V38/BA38</f>
        <v>0.00148122790894232</v>
      </c>
      <c r="W71" s="13">
        <f t="shared" ref="W71:W94" si="109">W38/BB38</f>
        <v>0.00123844963611855</v>
      </c>
      <c r="X71" s="13">
        <f t="shared" ref="X71:X94" si="110">X38/BC38</f>
        <v>0.00297994562056395</v>
      </c>
      <c r="Y71" s="13">
        <f t="shared" ref="Y71:Y94" si="111">Y38/BD38</f>
        <v>0.00259570405571886</v>
      </c>
      <c r="Z71" s="13">
        <f t="shared" ref="Z71:Z94" si="112">Z38/BE38</f>
        <v>0.00203952841109038</v>
      </c>
      <c r="AA71" s="13">
        <f t="shared" ref="AA71:AA94" si="113">AA38/BF38</f>
        <v>0.0014080474154763</v>
      </c>
      <c r="AB71" s="13">
        <f t="shared" ref="AB71:AB100" si="114">AB38/BG38</f>
        <v>0.00089273266112864</v>
      </c>
      <c r="AC71" s="13">
        <f t="shared" si="84"/>
        <v>0.00696303371976129</v>
      </c>
      <c r="AD71" s="13">
        <f t="shared" si="85"/>
        <v>0.00392625125030461</v>
      </c>
      <c r="AE71" s="13">
        <f t="shared" si="86"/>
        <v>0.0030760856045138</v>
      </c>
      <c r="AF71" s="13">
        <f t="shared" si="87"/>
        <v>0.00666006463064969</v>
      </c>
      <c r="AG71" s="13">
        <f t="shared" si="88"/>
        <v>0.000954247050310052</v>
      </c>
    </row>
    <row r="72" spans="1:33">
      <c r="A72" s="13"/>
      <c r="B72" s="13" t="s">
        <v>2</v>
      </c>
      <c r="C72" s="13">
        <f t="shared" si="89"/>
        <v>0.162770506588966</v>
      </c>
      <c r="D72" s="13">
        <f t="shared" si="90"/>
        <v>0.128371581886659</v>
      </c>
      <c r="E72" s="13">
        <f t="shared" si="91"/>
        <v>0</v>
      </c>
      <c r="F72" s="13">
        <f t="shared" si="92"/>
        <v>0.283726983759432</v>
      </c>
      <c r="G72" s="13">
        <f t="shared" si="93"/>
        <v>0.0681151724018183</v>
      </c>
      <c r="H72" s="13">
        <f t="shared" si="94"/>
        <v>0.012714529139029</v>
      </c>
      <c r="I72" s="13">
        <f t="shared" si="95"/>
        <v>0.00766894676423056</v>
      </c>
      <c r="J72" s="13">
        <f t="shared" si="96"/>
        <v>0.00555671880109445</v>
      </c>
      <c r="K72" s="13">
        <f t="shared" si="97"/>
        <v>0.00937426038953154</v>
      </c>
      <c r="L72" s="13">
        <f t="shared" si="98"/>
        <v>0.0158707095864552</v>
      </c>
      <c r="M72" s="13">
        <f t="shared" si="99"/>
        <v>0.00888613782621307</v>
      </c>
      <c r="N72" s="13">
        <f t="shared" si="100"/>
        <v>0.0157592308889965</v>
      </c>
      <c r="O72" s="13">
        <f t="shared" si="101"/>
        <v>0.00469986493055319</v>
      </c>
      <c r="P72" s="13">
        <f t="shared" si="102"/>
        <v>0.00804404739735521</v>
      </c>
      <c r="Q72" s="13">
        <f t="shared" si="103"/>
        <v>0.103926898434334</v>
      </c>
      <c r="R72" s="13">
        <f t="shared" si="104"/>
        <v>0.0570589587223476</v>
      </c>
      <c r="S72" s="13">
        <f t="shared" si="105"/>
        <v>0.0128004258796262</v>
      </c>
      <c r="T72" s="13">
        <f t="shared" si="106"/>
        <v>0.00752792666819617</v>
      </c>
      <c r="U72" s="13">
        <f t="shared" si="107"/>
        <v>0.00335957305375874</v>
      </c>
      <c r="V72" s="13">
        <f t="shared" si="108"/>
        <v>0.00279997459233938</v>
      </c>
      <c r="W72" s="13">
        <f t="shared" si="109"/>
        <v>0.0022372972787109</v>
      </c>
      <c r="X72" s="13">
        <f t="shared" si="110"/>
        <v>0.00669813550830043</v>
      </c>
      <c r="Y72" s="13">
        <f t="shared" si="111"/>
        <v>0.00580521490784158</v>
      </c>
      <c r="Z72" s="13">
        <f t="shared" si="112"/>
        <v>0.00417718586644377</v>
      </c>
      <c r="AA72" s="13">
        <f t="shared" si="113"/>
        <v>0.00278976114487017</v>
      </c>
      <c r="AB72" s="13">
        <f t="shared" si="114"/>
        <v>0.00169896513410431</v>
      </c>
      <c r="AC72" s="13">
        <f t="shared" si="84"/>
        <v>0.0207872141990052</v>
      </c>
      <c r="AD72" s="13">
        <f t="shared" si="85"/>
        <v>0.00965376187069461</v>
      </c>
      <c r="AE72" s="13">
        <f t="shared" si="86"/>
        <v>0.00705321195786507</v>
      </c>
      <c r="AF72" s="13">
        <f t="shared" si="87"/>
        <v>0.0183623281046383</v>
      </c>
      <c r="AG72" s="13">
        <f t="shared" si="88"/>
        <v>0.00170447631658906</v>
      </c>
    </row>
    <row r="73" spans="1:33">
      <c r="A73" s="13"/>
      <c r="B73" s="13" t="s">
        <v>3</v>
      </c>
      <c r="C73" s="13">
        <f t="shared" si="89"/>
        <v>0.068688705590543</v>
      </c>
      <c r="D73" s="13">
        <f t="shared" si="90"/>
        <v>0.0563355254253335</v>
      </c>
      <c r="E73" s="13">
        <f t="shared" si="91"/>
        <v>0.34641338245698</v>
      </c>
      <c r="F73" s="13">
        <f t="shared" si="92"/>
        <v>0</v>
      </c>
      <c r="G73" s="13">
        <f t="shared" si="93"/>
        <v>0.100454358103587</v>
      </c>
      <c r="H73" s="13">
        <f t="shared" si="94"/>
        <v>0.0106519295986628</v>
      </c>
      <c r="I73" s="13">
        <f t="shared" si="95"/>
        <v>0.00701642416551303</v>
      </c>
      <c r="J73" s="13">
        <f t="shared" si="96"/>
        <v>0.0053455236135319</v>
      </c>
      <c r="K73" s="13">
        <f t="shared" si="97"/>
        <v>0.00962691881869882</v>
      </c>
      <c r="L73" s="13">
        <f t="shared" si="98"/>
        <v>0.0165241768480343</v>
      </c>
      <c r="M73" s="13">
        <f t="shared" si="99"/>
        <v>0.00958404966398524</v>
      </c>
      <c r="N73" s="13">
        <f t="shared" si="100"/>
        <v>0.0176502164366356</v>
      </c>
      <c r="O73" s="13">
        <f t="shared" si="101"/>
        <v>0.00555105592861173</v>
      </c>
      <c r="P73" s="13">
        <f t="shared" si="102"/>
        <v>0.0101274496354755</v>
      </c>
      <c r="Q73" s="13">
        <f t="shared" si="103"/>
        <v>0.0604330611311251</v>
      </c>
      <c r="R73" s="13">
        <f t="shared" si="104"/>
        <v>0.0898451834886047</v>
      </c>
      <c r="S73" s="13">
        <f t="shared" si="105"/>
        <v>0.0170235287283954</v>
      </c>
      <c r="T73" s="13">
        <f t="shared" si="106"/>
        <v>0.0103576222314435</v>
      </c>
      <c r="U73" s="13">
        <f t="shared" si="107"/>
        <v>0.00438787351530362</v>
      </c>
      <c r="V73" s="13">
        <f t="shared" si="108"/>
        <v>0.00383953219459586</v>
      </c>
      <c r="W73" s="13">
        <f t="shared" si="109"/>
        <v>0.00296275298079857</v>
      </c>
      <c r="X73" s="13">
        <f t="shared" si="110"/>
        <v>0.0106451088379178</v>
      </c>
      <c r="Y73" s="13">
        <f t="shared" si="111"/>
        <v>0.00937621844249515</v>
      </c>
      <c r="Z73" s="13">
        <f t="shared" si="112"/>
        <v>0.00612299910379726</v>
      </c>
      <c r="AA73" s="13">
        <f t="shared" si="113"/>
        <v>0.00404540450638822</v>
      </c>
      <c r="AB73" s="13">
        <f t="shared" si="114"/>
        <v>0.00243685305771103</v>
      </c>
      <c r="AC73" s="13">
        <f t="shared" si="84"/>
        <v>0.0445622831375114</v>
      </c>
      <c r="AD73" s="13">
        <f t="shared" si="85"/>
        <v>0.0176510817726934</v>
      </c>
      <c r="AE73" s="13">
        <f t="shared" si="86"/>
        <v>0.0120330668731533</v>
      </c>
      <c r="AF73" s="13">
        <f t="shared" si="87"/>
        <v>0.0379621457380941</v>
      </c>
      <c r="AG73" s="13">
        <f t="shared" si="88"/>
        <v>0.00234556797437941</v>
      </c>
    </row>
    <row r="74" spans="1:33">
      <c r="A74" s="13"/>
      <c r="B74" s="13" t="s">
        <v>4</v>
      </c>
      <c r="C74" s="13">
        <f t="shared" si="89"/>
        <v>0.116145316882203</v>
      </c>
      <c r="D74" s="13">
        <f t="shared" si="90"/>
        <v>0.0789578699478635</v>
      </c>
      <c r="E74" s="13">
        <f t="shared" si="91"/>
        <v>0.152772748995198</v>
      </c>
      <c r="F74" s="13">
        <f t="shared" si="92"/>
        <v>0.184534170172557</v>
      </c>
      <c r="G74" s="13">
        <f t="shared" si="93"/>
        <v>0</v>
      </c>
      <c r="H74" s="13">
        <f t="shared" si="94"/>
        <v>0.020915458017629</v>
      </c>
      <c r="I74" s="13">
        <f t="shared" si="95"/>
        <v>0.0148329996354981</v>
      </c>
      <c r="J74" s="13">
        <f t="shared" si="96"/>
        <v>0.0117541163047981</v>
      </c>
      <c r="K74" s="13">
        <f t="shared" si="97"/>
        <v>0.0111863213954967</v>
      </c>
      <c r="L74" s="13">
        <f t="shared" si="98"/>
        <v>0.0163129088362058</v>
      </c>
      <c r="M74" s="13">
        <f t="shared" si="99"/>
        <v>0.010800779802945</v>
      </c>
      <c r="N74" s="13">
        <f t="shared" si="100"/>
        <v>0.0165817832878037</v>
      </c>
      <c r="O74" s="13">
        <f t="shared" si="101"/>
        <v>0.00675980180572632</v>
      </c>
      <c r="P74" s="13">
        <f t="shared" si="102"/>
        <v>0.0107270937469557</v>
      </c>
      <c r="Q74" s="13">
        <f t="shared" si="103"/>
        <v>0.0472029106576549</v>
      </c>
      <c r="R74" s="13">
        <f t="shared" si="104"/>
        <v>0.0436185949330378</v>
      </c>
      <c r="S74" s="13">
        <f t="shared" si="105"/>
        <v>0.0156934011129678</v>
      </c>
      <c r="T74" s="13">
        <f t="shared" si="106"/>
        <v>0.0109899924853234</v>
      </c>
      <c r="U74" s="13">
        <f t="shared" si="107"/>
        <v>0.00554068744854761</v>
      </c>
      <c r="V74" s="13">
        <f t="shared" si="108"/>
        <v>0.00509728917004204</v>
      </c>
      <c r="W74" s="13">
        <f t="shared" si="109"/>
        <v>0.00402516271004677</v>
      </c>
      <c r="X74" s="13">
        <f t="shared" si="110"/>
        <v>0.0125717874538469</v>
      </c>
      <c r="Y74" s="13">
        <f t="shared" si="111"/>
        <v>0.0122938213814006</v>
      </c>
      <c r="Z74" s="13">
        <f t="shared" si="112"/>
        <v>0.00779193628169012</v>
      </c>
      <c r="AA74" s="13">
        <f t="shared" si="113"/>
        <v>0.00573152171275984</v>
      </c>
      <c r="AB74" s="13">
        <f t="shared" si="114"/>
        <v>0.00425925418377682</v>
      </c>
      <c r="AC74" s="13">
        <f t="shared" si="84"/>
        <v>0.0376216220497189</v>
      </c>
      <c r="AD74" s="13">
        <f t="shared" si="85"/>
        <v>0.029068390428186</v>
      </c>
      <c r="AE74" s="13">
        <f t="shared" si="86"/>
        <v>0.0218855201967688</v>
      </c>
      <c r="AF74" s="13">
        <f t="shared" si="87"/>
        <v>0.0791487614000444</v>
      </c>
      <c r="AG74" s="13">
        <f t="shared" si="88"/>
        <v>0.00517797756330739</v>
      </c>
    </row>
    <row r="75" spans="1:33">
      <c r="A75" s="13"/>
      <c r="B75" s="13" t="s">
        <v>5</v>
      </c>
      <c r="C75" s="13">
        <f t="shared" si="89"/>
        <v>0.0718400485012874</v>
      </c>
      <c r="D75" s="13">
        <f t="shared" si="90"/>
        <v>0.0825963277824252</v>
      </c>
      <c r="E75" s="13">
        <f t="shared" si="91"/>
        <v>0.0389316702956662</v>
      </c>
      <c r="F75" s="13">
        <f t="shared" si="92"/>
        <v>0.0267138832015077</v>
      </c>
      <c r="G75" s="13">
        <f t="shared" si="93"/>
        <v>0.0285540753693828</v>
      </c>
      <c r="H75" s="13">
        <f t="shared" si="94"/>
        <v>0</v>
      </c>
      <c r="I75" s="13">
        <f t="shared" si="95"/>
        <v>0.36677354638729</v>
      </c>
      <c r="J75" s="13">
        <f t="shared" si="96"/>
        <v>0.111039864329765</v>
      </c>
      <c r="K75" s="13">
        <f t="shared" si="97"/>
        <v>0.02108221356992</v>
      </c>
      <c r="L75" s="13">
        <f t="shared" si="98"/>
        <v>0.0221884512996679</v>
      </c>
      <c r="M75" s="13">
        <f t="shared" si="99"/>
        <v>0.0171325273488148</v>
      </c>
      <c r="N75" s="13">
        <f t="shared" si="100"/>
        <v>0.0187618152216856</v>
      </c>
      <c r="O75" s="13">
        <f t="shared" si="101"/>
        <v>0.00924827782427214</v>
      </c>
      <c r="P75" s="13">
        <f t="shared" si="102"/>
        <v>0.0109569354068951</v>
      </c>
      <c r="Q75" s="13">
        <f t="shared" si="103"/>
        <v>0.0467006080688076</v>
      </c>
      <c r="R75" s="13">
        <f t="shared" si="104"/>
        <v>0.0210986485847202</v>
      </c>
      <c r="S75" s="13">
        <f t="shared" si="105"/>
        <v>0.0129945157463466</v>
      </c>
      <c r="T75" s="13">
        <f t="shared" si="106"/>
        <v>0.00907296704620405</v>
      </c>
      <c r="U75" s="13">
        <f t="shared" si="107"/>
        <v>0.00562252083725919</v>
      </c>
      <c r="V75" s="13">
        <f t="shared" si="108"/>
        <v>0.00442949167593088</v>
      </c>
      <c r="W75" s="13">
        <f t="shared" si="109"/>
        <v>0.00395502312682453</v>
      </c>
      <c r="X75" s="13">
        <f t="shared" si="110"/>
        <v>0.00711477589695557</v>
      </c>
      <c r="Y75" s="13">
        <f t="shared" si="111"/>
        <v>0.00637204949584215</v>
      </c>
      <c r="Z75" s="13">
        <f t="shared" si="112"/>
        <v>0.00547978787664444</v>
      </c>
      <c r="AA75" s="13">
        <f t="shared" si="113"/>
        <v>0.00406137544175958</v>
      </c>
      <c r="AB75" s="13">
        <f t="shared" si="114"/>
        <v>0.00281555659319663</v>
      </c>
      <c r="AC75" s="13">
        <f t="shared" si="84"/>
        <v>0.0123260383791676</v>
      </c>
      <c r="AD75" s="13">
        <f t="shared" si="85"/>
        <v>0.00869999769374575</v>
      </c>
      <c r="AE75" s="13">
        <f t="shared" si="86"/>
        <v>0.0074184362219839</v>
      </c>
      <c r="AF75" s="13">
        <f t="shared" si="87"/>
        <v>0.0126954323422332</v>
      </c>
      <c r="AG75" s="13">
        <f t="shared" si="88"/>
        <v>0.0033231384337981</v>
      </c>
    </row>
    <row r="76" spans="1:33">
      <c r="A76" s="13"/>
      <c r="B76" s="13" t="s">
        <v>6</v>
      </c>
      <c r="C76" s="13">
        <f t="shared" si="89"/>
        <v>0.0308313369639115</v>
      </c>
      <c r="D76" s="13">
        <f t="shared" si="90"/>
        <v>0.0327579192723691</v>
      </c>
      <c r="E76" s="13">
        <f t="shared" si="91"/>
        <v>0.0190518441108519</v>
      </c>
      <c r="F76" s="13">
        <f t="shared" si="92"/>
        <v>0.0142765447844473</v>
      </c>
      <c r="G76" s="13">
        <f t="shared" si="93"/>
        <v>0.0164296476287537</v>
      </c>
      <c r="H76" s="13">
        <f t="shared" si="94"/>
        <v>0.29757507074037</v>
      </c>
      <c r="I76" s="13">
        <f t="shared" si="95"/>
        <v>0</v>
      </c>
      <c r="J76" s="13">
        <f t="shared" si="96"/>
        <v>0.434500018677937</v>
      </c>
      <c r="K76" s="13">
        <f t="shared" si="97"/>
        <v>0.0114603042717778</v>
      </c>
      <c r="L76" s="13">
        <f t="shared" si="98"/>
        <v>0.0116587612516792</v>
      </c>
      <c r="M76" s="13">
        <f t="shared" si="99"/>
        <v>0.00957548855325453</v>
      </c>
      <c r="N76" s="13">
        <f t="shared" si="100"/>
        <v>0.0101418384858201</v>
      </c>
      <c r="O76" s="13">
        <f t="shared" si="101"/>
        <v>0.00567374825098462</v>
      </c>
      <c r="P76" s="13">
        <f t="shared" si="102"/>
        <v>0.00647173568503664</v>
      </c>
      <c r="Q76" s="13">
        <f t="shared" si="103"/>
        <v>0.020746476263948</v>
      </c>
      <c r="R76" s="13">
        <f t="shared" si="104"/>
        <v>0.0112881952301942</v>
      </c>
      <c r="S76" s="13">
        <f t="shared" si="105"/>
        <v>0.00746859696425557</v>
      </c>
      <c r="T76" s="13">
        <f t="shared" si="106"/>
        <v>0.00549736168193546</v>
      </c>
      <c r="U76" s="13">
        <f t="shared" si="107"/>
        <v>0.00361626500373767</v>
      </c>
      <c r="V76" s="13">
        <f t="shared" si="108"/>
        <v>0.00291871266336687</v>
      </c>
      <c r="W76" s="13">
        <f t="shared" si="109"/>
        <v>0.00263406984262095</v>
      </c>
      <c r="X76" s="13">
        <f t="shared" si="110"/>
        <v>0.00450518665608846</v>
      </c>
      <c r="Y76" s="13">
        <f t="shared" si="111"/>
        <v>0.00412484283155977</v>
      </c>
      <c r="Z76" s="13">
        <f t="shared" si="112"/>
        <v>0.00354972574834964</v>
      </c>
      <c r="AA76" s="13">
        <f t="shared" si="113"/>
        <v>0.0027226238385268</v>
      </c>
      <c r="AB76" s="13">
        <f t="shared" si="114"/>
        <v>0.00200549631024726</v>
      </c>
      <c r="AC76" s="13">
        <f t="shared" si="84"/>
        <v>0.00737412599603512</v>
      </c>
      <c r="AD76" s="13">
        <f t="shared" si="85"/>
        <v>0.00564988374575898</v>
      </c>
      <c r="AE76" s="13">
        <f t="shared" si="86"/>
        <v>0.00494681170111337</v>
      </c>
      <c r="AF76" s="13">
        <f t="shared" si="87"/>
        <v>0.0080187095302306</v>
      </c>
      <c r="AG76" s="13">
        <f t="shared" si="88"/>
        <v>0.00252865731483745</v>
      </c>
    </row>
    <row r="77" spans="1:33">
      <c r="A77" s="13"/>
      <c r="B77" s="13" t="s">
        <v>7</v>
      </c>
      <c r="C77" s="13">
        <f t="shared" si="89"/>
        <v>0.0285900244556951</v>
      </c>
      <c r="D77" s="13">
        <f t="shared" si="90"/>
        <v>0.0293460698466784</v>
      </c>
      <c r="E77" s="13">
        <f t="shared" si="91"/>
        <v>0.0190113942943346</v>
      </c>
      <c r="F77" s="13">
        <f t="shared" si="92"/>
        <v>0.0149793090736519</v>
      </c>
      <c r="G77" s="13">
        <f t="shared" si="93"/>
        <v>0.0179301325370082</v>
      </c>
      <c r="H77" s="13">
        <f t="shared" si="94"/>
        <v>0.124071409653231</v>
      </c>
      <c r="I77" s="13">
        <f t="shared" si="95"/>
        <v>0.598389621590014</v>
      </c>
      <c r="J77" s="13">
        <f t="shared" si="96"/>
        <v>0</v>
      </c>
      <c r="K77" s="13">
        <f t="shared" si="97"/>
        <v>0.0117086316695236</v>
      </c>
      <c r="L77" s="13">
        <f t="shared" si="98"/>
        <v>0.0118603219382553</v>
      </c>
      <c r="M77" s="13">
        <f t="shared" si="99"/>
        <v>0.0100062755172575</v>
      </c>
      <c r="N77" s="13">
        <f t="shared" si="100"/>
        <v>0.0105291071739902</v>
      </c>
      <c r="O77" s="13">
        <f t="shared" si="101"/>
        <v>0.00629918648053031</v>
      </c>
      <c r="P77" s="13">
        <f t="shared" si="102"/>
        <v>0.00708948888538274</v>
      </c>
      <c r="Q77" s="13">
        <f t="shared" si="103"/>
        <v>0.0196173063723555</v>
      </c>
      <c r="R77" s="13">
        <f t="shared" si="104"/>
        <v>0.0118122173225099</v>
      </c>
      <c r="S77" s="13">
        <f t="shared" si="105"/>
        <v>0.00808819150563562</v>
      </c>
      <c r="T77" s="13">
        <f t="shared" si="106"/>
        <v>0.00615132567147257</v>
      </c>
      <c r="U77" s="13">
        <f t="shared" si="107"/>
        <v>0.0041864806926817</v>
      </c>
      <c r="V77" s="13">
        <f t="shared" si="108"/>
        <v>0.00345222775276532</v>
      </c>
      <c r="W77" s="13">
        <f t="shared" si="109"/>
        <v>0.00312823399389824</v>
      </c>
      <c r="X77" s="13">
        <f t="shared" si="110"/>
        <v>0.00522621489369941</v>
      </c>
      <c r="Y77" s="13">
        <f t="shared" si="111"/>
        <v>0.00486489983402172</v>
      </c>
      <c r="Z77" s="13">
        <f t="shared" si="112"/>
        <v>0.0041684343141272</v>
      </c>
      <c r="AA77" s="13">
        <f t="shared" si="113"/>
        <v>0.00327670542546489</v>
      </c>
      <c r="AB77" s="13">
        <f t="shared" si="114"/>
        <v>0.00253245754608061</v>
      </c>
      <c r="AC77" s="13">
        <f t="shared" si="84"/>
        <v>0.0082774530070964</v>
      </c>
      <c r="AD77" s="13">
        <f t="shared" si="85"/>
        <v>0.00670676199488215</v>
      </c>
      <c r="AE77" s="13">
        <f t="shared" si="86"/>
        <v>0.005981261679029</v>
      </c>
      <c r="AF77" s="13">
        <f t="shared" si="87"/>
        <v>0.00934587097272298</v>
      </c>
      <c r="AG77" s="13">
        <f t="shared" si="88"/>
        <v>0.00337298390600371</v>
      </c>
    </row>
    <row r="78" spans="1:33">
      <c r="A78" s="13"/>
      <c r="B78" s="13" t="s">
        <v>8</v>
      </c>
      <c r="C78" s="13">
        <f t="shared" si="89"/>
        <v>0.0112701583410932</v>
      </c>
      <c r="D78" s="13">
        <f t="shared" si="90"/>
        <v>0.0133995156574278</v>
      </c>
      <c r="E78" s="13">
        <f t="shared" si="91"/>
        <v>0.0122899130091041</v>
      </c>
      <c r="F78" s="13">
        <f t="shared" si="92"/>
        <v>0.0103372515747582</v>
      </c>
      <c r="G78" s="13">
        <f t="shared" si="93"/>
        <v>0.00653878497150168</v>
      </c>
      <c r="H78" s="13">
        <f t="shared" si="94"/>
        <v>0.00902662185575398</v>
      </c>
      <c r="I78" s="13">
        <f t="shared" si="95"/>
        <v>0.00604792849914023</v>
      </c>
      <c r="J78" s="13">
        <f t="shared" si="96"/>
        <v>0.00448665205559699</v>
      </c>
      <c r="K78" s="13">
        <f t="shared" si="97"/>
        <v>0</v>
      </c>
      <c r="L78" s="13">
        <f t="shared" si="98"/>
        <v>0.149536341874707</v>
      </c>
      <c r="M78" s="13">
        <f t="shared" si="99"/>
        <v>0.49165406408879</v>
      </c>
      <c r="N78" s="13">
        <f t="shared" si="100"/>
        <v>0.0788190339129109</v>
      </c>
      <c r="O78" s="13">
        <f t="shared" si="101"/>
        <v>0.0336597832510654</v>
      </c>
      <c r="P78" s="13">
        <f t="shared" si="102"/>
        <v>0.0305538916291933</v>
      </c>
      <c r="Q78" s="13">
        <f t="shared" si="103"/>
        <v>0.0244644104837768</v>
      </c>
      <c r="R78" s="13">
        <f t="shared" si="104"/>
        <v>0.0179670039740822</v>
      </c>
      <c r="S78" s="13">
        <f t="shared" si="105"/>
        <v>0.0259471047311337</v>
      </c>
      <c r="T78" s="13">
        <f t="shared" si="106"/>
        <v>0.0149033129542015</v>
      </c>
      <c r="U78" s="13">
        <f t="shared" si="107"/>
        <v>0.00840957145702334</v>
      </c>
      <c r="V78" s="13">
        <f t="shared" si="108"/>
        <v>0.00467732778906527</v>
      </c>
      <c r="W78" s="13">
        <f t="shared" si="109"/>
        <v>0.00442552181213491</v>
      </c>
      <c r="X78" s="13">
        <f t="shared" si="110"/>
        <v>0.00601658920118658</v>
      </c>
      <c r="Y78" s="13">
        <f t="shared" si="111"/>
        <v>0.00449273418590451</v>
      </c>
      <c r="Z78" s="13">
        <f t="shared" si="112"/>
        <v>0.00512926724151037</v>
      </c>
      <c r="AA78" s="13">
        <f t="shared" si="113"/>
        <v>0.00315179167018032</v>
      </c>
      <c r="AB78" s="13">
        <f t="shared" si="114"/>
        <v>0.00145513040507287</v>
      </c>
      <c r="AC78" s="13">
        <f t="shared" si="84"/>
        <v>0.00798416878557009</v>
      </c>
      <c r="AD78" s="13">
        <f t="shared" si="85"/>
        <v>0.00407152034401478</v>
      </c>
      <c r="AE78" s="13">
        <f t="shared" si="86"/>
        <v>0.00332005002225855</v>
      </c>
      <c r="AF78" s="13">
        <f t="shared" si="87"/>
        <v>0.004822261795895</v>
      </c>
      <c r="AG78" s="13">
        <f t="shared" si="88"/>
        <v>0.00114229242594674</v>
      </c>
    </row>
    <row r="79" spans="1:33">
      <c r="A79" s="13"/>
      <c r="B79" s="13" t="s">
        <v>9</v>
      </c>
      <c r="C79" s="13">
        <f t="shared" si="89"/>
        <v>0.0114505083812883</v>
      </c>
      <c r="D79" s="13">
        <f t="shared" si="90"/>
        <v>0.0136779944380759</v>
      </c>
      <c r="E79" s="13">
        <f t="shared" si="91"/>
        <v>0.0144239876351059</v>
      </c>
      <c r="F79" s="13">
        <f t="shared" si="92"/>
        <v>0.0123002747158206</v>
      </c>
      <c r="G79" s="13">
        <f t="shared" si="93"/>
        <v>0.00661025742509634</v>
      </c>
      <c r="H79" s="13">
        <f t="shared" si="94"/>
        <v>0.00658587118549127</v>
      </c>
      <c r="I79" s="13">
        <f t="shared" si="95"/>
        <v>0.00426520696134532</v>
      </c>
      <c r="J79" s="13">
        <f t="shared" si="96"/>
        <v>0.00315057574398907</v>
      </c>
      <c r="K79" s="13">
        <f t="shared" si="97"/>
        <v>0.103663042907189</v>
      </c>
      <c r="L79" s="13">
        <f t="shared" si="98"/>
        <v>0</v>
      </c>
      <c r="M79" s="13">
        <f t="shared" si="99"/>
        <v>0.125171346218096</v>
      </c>
      <c r="N79" s="13">
        <f t="shared" si="100"/>
        <v>0.467978283576358</v>
      </c>
      <c r="O79" s="13">
        <f t="shared" si="101"/>
        <v>0.0189325616731874</v>
      </c>
      <c r="P79" s="13">
        <f t="shared" si="102"/>
        <v>0.035111428586327</v>
      </c>
      <c r="Q79" s="13">
        <f t="shared" si="103"/>
        <v>0.0333056468588905</v>
      </c>
      <c r="R79" s="13">
        <f t="shared" si="104"/>
        <v>0.0287569451856878</v>
      </c>
      <c r="S79" s="13">
        <f t="shared" si="105"/>
        <v>0.0420292816094597</v>
      </c>
      <c r="T79" s="13">
        <f t="shared" si="106"/>
        <v>0.0166689290278574</v>
      </c>
      <c r="U79" s="13">
        <f t="shared" si="107"/>
        <v>0.00669380008496879</v>
      </c>
      <c r="V79" s="13">
        <f t="shared" si="108"/>
        <v>0.00393040288773582</v>
      </c>
      <c r="W79" s="13">
        <f t="shared" si="109"/>
        <v>0.00344038054465088</v>
      </c>
      <c r="X79" s="13">
        <f t="shared" si="110"/>
        <v>0.00618736836340037</v>
      </c>
      <c r="Y79" s="13">
        <f t="shared" si="111"/>
        <v>0.00443038553147591</v>
      </c>
      <c r="Z79" s="13">
        <f t="shared" si="112"/>
        <v>0.00480465221569944</v>
      </c>
      <c r="AA79" s="13">
        <f t="shared" si="113"/>
        <v>0.00277507948572742</v>
      </c>
      <c r="AB79" s="13">
        <f t="shared" si="114"/>
        <v>0.00122872235494346</v>
      </c>
      <c r="AC79" s="13">
        <f t="shared" si="84"/>
        <v>0.00935752016308895</v>
      </c>
      <c r="AD79" s="13">
        <f t="shared" si="85"/>
        <v>0.00404696918531862</v>
      </c>
      <c r="AE79" s="13">
        <f t="shared" si="86"/>
        <v>0.00317728322421294</v>
      </c>
      <c r="AF79" s="13">
        <f t="shared" si="87"/>
        <v>0.00489981783574539</v>
      </c>
      <c r="AG79" s="13">
        <f t="shared" si="88"/>
        <v>0.00094547599376588</v>
      </c>
    </row>
    <row r="80" spans="1:33">
      <c r="A80" s="13"/>
      <c r="B80" s="13" t="s">
        <v>10</v>
      </c>
      <c r="C80" s="13">
        <f t="shared" si="89"/>
        <v>0.00885299457762524</v>
      </c>
      <c r="D80" s="13">
        <f t="shared" si="90"/>
        <v>0.0102843803128269</v>
      </c>
      <c r="E80" s="13">
        <f t="shared" si="91"/>
        <v>0.0102515168330231</v>
      </c>
      <c r="F80" s="13">
        <f t="shared" si="92"/>
        <v>0.00905586875623595</v>
      </c>
      <c r="G80" s="13">
        <f t="shared" si="93"/>
        <v>0.00555556410317628</v>
      </c>
      <c r="H80" s="13">
        <f t="shared" si="94"/>
        <v>0.00645496308013177</v>
      </c>
      <c r="I80" s="13">
        <f t="shared" si="95"/>
        <v>0.00444666824841273</v>
      </c>
      <c r="J80" s="13">
        <f t="shared" si="96"/>
        <v>0.00337405370938172</v>
      </c>
      <c r="K80" s="13">
        <f t="shared" si="97"/>
        <v>0.43263626592471</v>
      </c>
      <c r="L80" s="13">
        <f t="shared" si="98"/>
        <v>0.158887967855401</v>
      </c>
      <c r="M80" s="13">
        <f t="shared" si="99"/>
        <v>0</v>
      </c>
      <c r="N80" s="13">
        <f t="shared" si="100"/>
        <v>0.10625772153687</v>
      </c>
      <c r="O80" s="13">
        <f t="shared" si="101"/>
        <v>0.0495102154995123</v>
      </c>
      <c r="P80" s="13">
        <f t="shared" si="102"/>
        <v>0.0461114117992609</v>
      </c>
      <c r="Q80" s="13">
        <f t="shared" si="103"/>
        <v>0.0190390950155558</v>
      </c>
      <c r="R80" s="13">
        <f t="shared" si="104"/>
        <v>0.0172021393798421</v>
      </c>
      <c r="S80" s="13">
        <f t="shared" si="105"/>
        <v>0.0330788235323206</v>
      </c>
      <c r="T80" s="13">
        <f t="shared" si="106"/>
        <v>0.0184228156003238</v>
      </c>
      <c r="U80" s="13">
        <f t="shared" si="107"/>
        <v>0.0097909387018427</v>
      </c>
      <c r="V80" s="13">
        <f t="shared" si="108"/>
        <v>0.00503519921454786</v>
      </c>
      <c r="W80" s="13">
        <f t="shared" si="109"/>
        <v>0.00475277606947115</v>
      </c>
      <c r="X80" s="13">
        <f t="shared" si="110"/>
        <v>0.00627761974016467</v>
      </c>
      <c r="Y80" s="13">
        <f t="shared" si="111"/>
        <v>0.00452361722998001</v>
      </c>
      <c r="Z80" s="13">
        <f t="shared" si="112"/>
        <v>0.00544895155458347</v>
      </c>
      <c r="AA80" s="13">
        <f t="shared" si="113"/>
        <v>0.00320650059262999</v>
      </c>
      <c r="AB80" s="13">
        <f t="shared" si="114"/>
        <v>0.00137785415603651</v>
      </c>
      <c r="AC80" s="13">
        <f t="shared" si="84"/>
        <v>0.00781617852516323</v>
      </c>
      <c r="AD80" s="13">
        <f t="shared" si="85"/>
        <v>0.00382896230152875</v>
      </c>
      <c r="AE80" s="13">
        <f t="shared" si="86"/>
        <v>0.00310479383770388</v>
      </c>
      <c r="AF80" s="13">
        <f t="shared" si="87"/>
        <v>0.00439030823550104</v>
      </c>
      <c r="AG80" s="13">
        <f t="shared" si="88"/>
        <v>0.00102383407623621</v>
      </c>
    </row>
    <row r="81" spans="1:33">
      <c r="A81" s="13"/>
      <c r="B81" s="13" t="s">
        <v>11</v>
      </c>
      <c r="C81" s="13">
        <f t="shared" si="89"/>
        <v>0.0105507715517616</v>
      </c>
      <c r="D81" s="13">
        <f t="shared" si="90"/>
        <v>0.0122012579161983</v>
      </c>
      <c r="E81" s="13">
        <f t="shared" si="91"/>
        <v>0.0143606720132841</v>
      </c>
      <c r="F81" s="13">
        <f t="shared" si="92"/>
        <v>0.0131733357337808</v>
      </c>
      <c r="G81" s="13">
        <f t="shared" si="93"/>
        <v>0.00673703721890029</v>
      </c>
      <c r="H81" s="13">
        <f t="shared" si="94"/>
        <v>0.00558356844293009</v>
      </c>
      <c r="I81" s="13">
        <f t="shared" si="95"/>
        <v>0.00372010449060829</v>
      </c>
      <c r="J81" s="13">
        <f t="shared" si="96"/>
        <v>0.00280437277216972</v>
      </c>
      <c r="K81" s="13">
        <f t="shared" si="97"/>
        <v>0.0547846707912645</v>
      </c>
      <c r="L81" s="13">
        <f t="shared" si="98"/>
        <v>0.469219927863269</v>
      </c>
      <c r="M81" s="13">
        <f t="shared" si="99"/>
        <v>0.0839315338535241</v>
      </c>
      <c r="N81" s="13">
        <f t="shared" si="100"/>
        <v>0</v>
      </c>
      <c r="O81" s="13">
        <f t="shared" si="101"/>
        <v>0.0207858215850254</v>
      </c>
      <c r="P81" s="13">
        <f t="shared" si="102"/>
        <v>0.058645178674216</v>
      </c>
      <c r="Q81" s="13">
        <f t="shared" si="103"/>
        <v>0.0287964135850733</v>
      </c>
      <c r="R81" s="13">
        <f t="shared" si="104"/>
        <v>0.0368273284310287</v>
      </c>
      <c r="S81" s="13">
        <f t="shared" si="105"/>
        <v>0.0859037251865225</v>
      </c>
      <c r="T81" s="13">
        <f t="shared" si="106"/>
        <v>0.0251057653457329</v>
      </c>
      <c r="U81" s="13">
        <f t="shared" si="107"/>
        <v>0.00816924891541802</v>
      </c>
      <c r="V81" s="13">
        <f t="shared" si="108"/>
        <v>0.00471784240755589</v>
      </c>
      <c r="W81" s="13">
        <f t="shared" si="109"/>
        <v>0.00400399796586637</v>
      </c>
      <c r="X81" s="13">
        <f t="shared" si="110"/>
        <v>0.00784919456759068</v>
      </c>
      <c r="Y81" s="13">
        <f t="shared" si="111"/>
        <v>0.00536744551836213</v>
      </c>
      <c r="Z81" s="13">
        <f t="shared" si="112"/>
        <v>0.00596483793678906</v>
      </c>
      <c r="AA81" s="13">
        <f t="shared" si="113"/>
        <v>0.0032656430264499</v>
      </c>
      <c r="AB81" s="13">
        <f t="shared" si="114"/>
        <v>0.00135373022385583</v>
      </c>
      <c r="AC81" s="13">
        <f t="shared" si="84"/>
        <v>0.011598229201981</v>
      </c>
      <c r="AD81" s="13">
        <f t="shared" si="85"/>
        <v>0.00460646165187523</v>
      </c>
      <c r="AE81" s="13">
        <f t="shared" si="86"/>
        <v>0.0035664310964744</v>
      </c>
      <c r="AF81" s="13">
        <f t="shared" si="87"/>
        <v>0.00541293420753572</v>
      </c>
      <c r="AG81" s="13">
        <f t="shared" si="88"/>
        <v>0.000992517824956308</v>
      </c>
    </row>
    <row r="82" spans="1:33">
      <c r="A82" s="13"/>
      <c r="B82" s="13" t="s">
        <v>12</v>
      </c>
      <c r="C82" s="13">
        <f t="shared" si="89"/>
        <v>0.0130046389088138</v>
      </c>
      <c r="D82" s="13">
        <f t="shared" si="90"/>
        <v>0.0143023682362145</v>
      </c>
      <c r="E82" s="13">
        <f t="shared" si="91"/>
        <v>0.0152798080245487</v>
      </c>
      <c r="F82" s="13">
        <f t="shared" si="92"/>
        <v>0.0147813501163407</v>
      </c>
      <c r="G82" s="13">
        <f t="shared" si="93"/>
        <v>0.00979860950479713</v>
      </c>
      <c r="H82" s="13">
        <f t="shared" si="94"/>
        <v>0.00981952846294635</v>
      </c>
      <c r="I82" s="13">
        <f t="shared" si="95"/>
        <v>0.00742508255162315</v>
      </c>
      <c r="J82" s="13">
        <f t="shared" si="96"/>
        <v>0.0059857894551522</v>
      </c>
      <c r="K82" s="13">
        <f t="shared" si="97"/>
        <v>0.0834703125797473</v>
      </c>
      <c r="L82" s="13">
        <f t="shared" si="98"/>
        <v>0.0677256067226927</v>
      </c>
      <c r="M82" s="13">
        <f t="shared" si="99"/>
        <v>0.139525071377031</v>
      </c>
      <c r="N82" s="13">
        <f t="shared" si="100"/>
        <v>0.0741583351134386</v>
      </c>
      <c r="O82" s="13">
        <f t="shared" si="101"/>
        <v>0</v>
      </c>
      <c r="P82" s="13">
        <f t="shared" si="102"/>
        <v>0.153636057022284</v>
      </c>
      <c r="Q82" s="13">
        <f t="shared" si="103"/>
        <v>0.0221444581952606</v>
      </c>
      <c r="R82" s="13">
        <f t="shared" si="104"/>
        <v>0.0256247353961885</v>
      </c>
      <c r="S82" s="13">
        <f t="shared" si="105"/>
        <v>0.06449791902468</v>
      </c>
      <c r="T82" s="13">
        <f t="shared" si="106"/>
        <v>0.0632809912119695</v>
      </c>
      <c r="U82" s="13">
        <f t="shared" si="107"/>
        <v>0.0628163306325359</v>
      </c>
      <c r="V82" s="13">
        <f t="shared" si="108"/>
        <v>0.0216654608666726</v>
      </c>
      <c r="W82" s="13">
        <f t="shared" si="109"/>
        <v>0.0234243924192042</v>
      </c>
      <c r="X82" s="13">
        <f t="shared" si="110"/>
        <v>0.0178321060921922</v>
      </c>
      <c r="Y82" s="13">
        <f t="shared" si="111"/>
        <v>0.012462718193082</v>
      </c>
      <c r="Z82" s="13">
        <f t="shared" si="112"/>
        <v>0.0186831910188812</v>
      </c>
      <c r="AA82" s="13">
        <f t="shared" si="113"/>
        <v>0.0106757180454618</v>
      </c>
      <c r="AB82" s="13">
        <f t="shared" si="114"/>
        <v>0.00391155765088275</v>
      </c>
      <c r="AC82" s="13">
        <f t="shared" si="84"/>
        <v>0.0163428981768361</v>
      </c>
      <c r="AD82" s="13">
        <f t="shared" si="85"/>
        <v>0.00878333458721226</v>
      </c>
      <c r="AE82" s="13">
        <f t="shared" si="86"/>
        <v>0.00733022223340603</v>
      </c>
      <c r="AF82" s="13">
        <f t="shared" si="87"/>
        <v>0.00908061844411709</v>
      </c>
      <c r="AG82" s="13">
        <f t="shared" si="88"/>
        <v>0.00253078973578707</v>
      </c>
    </row>
    <row r="83" spans="1:33">
      <c r="A83" s="13"/>
      <c r="B83" s="13" t="s">
        <v>13</v>
      </c>
      <c r="C83" s="13">
        <f t="shared" si="89"/>
        <v>0.00942892687291183</v>
      </c>
      <c r="D83" s="13">
        <f t="shared" si="90"/>
        <v>0.0102664750502307</v>
      </c>
      <c r="E83" s="13">
        <f t="shared" si="91"/>
        <v>0.0125522086043912</v>
      </c>
      <c r="F83" s="13">
        <f t="shared" si="92"/>
        <v>0.0129434961668522</v>
      </c>
      <c r="G83" s="13">
        <f t="shared" si="93"/>
        <v>0.00746320842081523</v>
      </c>
      <c r="H83" s="13">
        <f t="shared" si="94"/>
        <v>0.00558382595841381</v>
      </c>
      <c r="I83" s="13">
        <f t="shared" si="95"/>
        <v>0.00406504167857039</v>
      </c>
      <c r="J83" s="13">
        <f t="shared" si="96"/>
        <v>0.00323344072446114</v>
      </c>
      <c r="K83" s="13">
        <f t="shared" si="97"/>
        <v>0.0363663961306262</v>
      </c>
      <c r="L83" s="13">
        <f t="shared" si="98"/>
        <v>0.0602844121839521</v>
      </c>
      <c r="M83" s="13">
        <f t="shared" si="99"/>
        <v>0.0623704478290496</v>
      </c>
      <c r="N83" s="13">
        <f t="shared" si="100"/>
        <v>0.100424134185239</v>
      </c>
      <c r="O83" s="13">
        <f t="shared" si="101"/>
        <v>0.0737405137670025</v>
      </c>
      <c r="P83" s="13">
        <f t="shared" si="102"/>
        <v>0</v>
      </c>
      <c r="Q83" s="13">
        <f t="shared" si="103"/>
        <v>0.0179451834949828</v>
      </c>
      <c r="R83" s="13">
        <f t="shared" si="104"/>
        <v>0.0293218937898269</v>
      </c>
      <c r="S83" s="13">
        <f t="shared" si="105"/>
        <v>0.223933931313251</v>
      </c>
      <c r="T83" s="13">
        <f t="shared" si="106"/>
        <v>0.170939462903795</v>
      </c>
      <c r="U83" s="13">
        <f t="shared" si="107"/>
        <v>0.0356050046220765</v>
      </c>
      <c r="V83" s="13">
        <f t="shared" si="108"/>
        <v>0.0148502294451686</v>
      </c>
      <c r="W83" s="13">
        <f t="shared" si="109"/>
        <v>0.012508113855621</v>
      </c>
      <c r="X83" s="13">
        <f t="shared" si="110"/>
        <v>0.0185122673829602</v>
      </c>
      <c r="Y83" s="13">
        <f t="shared" si="111"/>
        <v>0.0112519247979391</v>
      </c>
      <c r="Z83" s="13">
        <f t="shared" si="112"/>
        <v>0.0168155046005355</v>
      </c>
      <c r="AA83" s="13">
        <f t="shared" si="113"/>
        <v>0.00790687531562099</v>
      </c>
      <c r="AB83" s="13">
        <f t="shared" si="114"/>
        <v>0.00256901741339335</v>
      </c>
      <c r="AC83" s="13">
        <f t="shared" si="84"/>
        <v>0.0170828120870149</v>
      </c>
      <c r="AD83" s="13">
        <f t="shared" si="85"/>
        <v>0.00726940839411103</v>
      </c>
      <c r="AE83" s="13">
        <f t="shared" si="86"/>
        <v>0.00575756952526901</v>
      </c>
      <c r="AF83" s="13">
        <f t="shared" si="87"/>
        <v>0.00741181249890538</v>
      </c>
      <c r="AG83" s="13">
        <f t="shared" si="88"/>
        <v>0.00159646098701122</v>
      </c>
    </row>
    <row r="84" spans="1:33">
      <c r="A84" s="13"/>
      <c r="B84" s="13" t="s">
        <v>14</v>
      </c>
      <c r="C84" s="13">
        <f t="shared" si="89"/>
        <v>0.110717303243172</v>
      </c>
      <c r="D84" s="13">
        <f t="shared" si="90"/>
        <v>0.165609493437532</v>
      </c>
      <c r="E84" s="13">
        <f t="shared" si="91"/>
        <v>0.157067060079132</v>
      </c>
      <c r="F84" s="13">
        <f t="shared" si="92"/>
        <v>0.0748062219822847</v>
      </c>
      <c r="G84" s="13">
        <f t="shared" si="93"/>
        <v>0.0318070868208495</v>
      </c>
      <c r="H84" s="13">
        <f t="shared" si="94"/>
        <v>0.0230503183789459</v>
      </c>
      <c r="I84" s="13">
        <f t="shared" si="95"/>
        <v>0.0126211868292343</v>
      </c>
      <c r="J84" s="13">
        <f t="shared" si="96"/>
        <v>0.00866564659774127</v>
      </c>
      <c r="K84" s="13">
        <f t="shared" si="97"/>
        <v>0.028202012928133</v>
      </c>
      <c r="L84" s="13">
        <f t="shared" si="98"/>
        <v>0.055384217548434</v>
      </c>
      <c r="M84" s="13">
        <f t="shared" si="99"/>
        <v>0.0249418329058705</v>
      </c>
      <c r="N84" s="13">
        <f t="shared" si="100"/>
        <v>0.0477590639022671</v>
      </c>
      <c r="O84" s="13">
        <f t="shared" si="101"/>
        <v>0.0102941308994026</v>
      </c>
      <c r="P84" s="13">
        <f t="shared" si="102"/>
        <v>0.0173803902872252</v>
      </c>
      <c r="Q84" s="13">
        <f t="shared" si="103"/>
        <v>0</v>
      </c>
      <c r="R84" s="13">
        <f t="shared" si="104"/>
        <v>0.0920566916399153</v>
      </c>
      <c r="S84" s="13">
        <f t="shared" si="105"/>
        <v>0.0269897150093733</v>
      </c>
      <c r="T84" s="13">
        <f t="shared" si="106"/>
        <v>0.0138125724783157</v>
      </c>
      <c r="U84" s="13">
        <f t="shared" si="107"/>
        <v>0.00603700458088013</v>
      </c>
      <c r="V84" s="13">
        <f t="shared" si="108"/>
        <v>0.00451643333790145</v>
      </c>
      <c r="W84" s="13">
        <f t="shared" si="109"/>
        <v>0.00374755571508612</v>
      </c>
      <c r="X84" s="13">
        <f t="shared" si="110"/>
        <v>0.00924903232414556</v>
      </c>
      <c r="Y84" s="13">
        <f t="shared" si="111"/>
        <v>0.00745616544287564</v>
      </c>
      <c r="Z84" s="13">
        <f t="shared" si="112"/>
        <v>0.00625129348614738</v>
      </c>
      <c r="AA84" s="13">
        <f t="shared" si="113"/>
        <v>0.0039959094860467</v>
      </c>
      <c r="AB84" s="13">
        <f t="shared" si="114"/>
        <v>0.00219762792076915</v>
      </c>
      <c r="AC84" s="13">
        <f t="shared" si="84"/>
        <v>0.0217723861525738</v>
      </c>
      <c r="AD84" s="13">
        <f t="shared" si="85"/>
        <v>0.00961572931091404</v>
      </c>
      <c r="AE84" s="13">
        <f t="shared" si="86"/>
        <v>0.00730841577146618</v>
      </c>
      <c r="AF84" s="13">
        <f t="shared" si="87"/>
        <v>0.0146531829644248</v>
      </c>
      <c r="AG84" s="13">
        <f t="shared" si="88"/>
        <v>0.00203431853894104</v>
      </c>
    </row>
    <row r="85" spans="1:33">
      <c r="A85" s="13"/>
      <c r="B85" s="13" t="s">
        <v>15</v>
      </c>
      <c r="C85" s="13">
        <f t="shared" si="89"/>
        <v>0.0405728372621026</v>
      </c>
      <c r="D85" s="13">
        <f t="shared" si="90"/>
        <v>0.0424542248513167</v>
      </c>
      <c r="E85" s="13">
        <f t="shared" si="91"/>
        <v>0.0954141142007516</v>
      </c>
      <c r="F85" s="13">
        <f t="shared" si="92"/>
        <v>0.123052250510106</v>
      </c>
      <c r="G85" s="13">
        <f t="shared" si="93"/>
        <v>0.0325205902451049</v>
      </c>
      <c r="H85" s="13">
        <f t="shared" si="94"/>
        <v>0.0115223394173882</v>
      </c>
      <c r="I85" s="13">
        <f t="shared" si="95"/>
        <v>0.00759822231912205</v>
      </c>
      <c r="J85" s="13">
        <f t="shared" si="96"/>
        <v>0.0057733071066267</v>
      </c>
      <c r="K85" s="13">
        <f t="shared" si="97"/>
        <v>0.0229167300350491</v>
      </c>
      <c r="L85" s="13">
        <f t="shared" si="98"/>
        <v>0.0529105814027818</v>
      </c>
      <c r="M85" s="13">
        <f t="shared" si="99"/>
        <v>0.0249342413512538</v>
      </c>
      <c r="N85" s="13">
        <f t="shared" si="100"/>
        <v>0.0675801654814346</v>
      </c>
      <c r="O85" s="13">
        <f t="shared" si="101"/>
        <v>0.0131800072613818</v>
      </c>
      <c r="P85" s="13">
        <f t="shared" si="102"/>
        <v>0.031422104595817</v>
      </c>
      <c r="Q85" s="13">
        <f t="shared" si="103"/>
        <v>0.101856088804347</v>
      </c>
      <c r="R85" s="13">
        <f t="shared" si="104"/>
        <v>0</v>
      </c>
      <c r="S85" s="13">
        <f t="shared" si="105"/>
        <v>0.0727417037728695</v>
      </c>
      <c r="T85" s="13">
        <f t="shared" si="106"/>
        <v>0.0309653113130244</v>
      </c>
      <c r="U85" s="13">
        <f t="shared" si="107"/>
        <v>0.00972145811233072</v>
      </c>
      <c r="V85" s="13">
        <f t="shared" si="108"/>
        <v>0.0076634175375174</v>
      </c>
      <c r="W85" s="13">
        <f t="shared" si="109"/>
        <v>0.0058166049890832</v>
      </c>
      <c r="X85" s="13">
        <f t="shared" si="110"/>
        <v>0.0219087008122425</v>
      </c>
      <c r="Y85" s="13">
        <f t="shared" si="111"/>
        <v>0.0159831047644151</v>
      </c>
      <c r="Z85" s="13">
        <f t="shared" si="112"/>
        <v>0.012362530191976</v>
      </c>
      <c r="AA85" s="13">
        <f t="shared" si="113"/>
        <v>0.00703080800580195</v>
      </c>
      <c r="AB85" s="13">
        <f t="shared" si="114"/>
        <v>0.00329815076381043</v>
      </c>
      <c r="AC85" s="13">
        <f t="shared" si="84"/>
        <v>0.0787373996867479</v>
      </c>
      <c r="AD85" s="13">
        <f t="shared" si="85"/>
        <v>0.0186138456987847</v>
      </c>
      <c r="AE85" s="13">
        <f t="shared" si="86"/>
        <v>0.012863626976301</v>
      </c>
      <c r="AF85" s="13">
        <f t="shared" si="87"/>
        <v>0.0259916676118397</v>
      </c>
      <c r="AG85" s="13">
        <f t="shared" si="88"/>
        <v>0.00259386491867134</v>
      </c>
    </row>
    <row r="86" spans="1:33">
      <c r="A86" s="13"/>
      <c r="B86" s="13" t="s">
        <v>16</v>
      </c>
      <c r="C86" s="13">
        <f t="shared" si="89"/>
        <v>0.012296382798819</v>
      </c>
      <c r="D86" s="13">
        <f t="shared" si="90"/>
        <v>0.0132794712837444</v>
      </c>
      <c r="E86" s="13">
        <f t="shared" si="91"/>
        <v>0.0182863177770447</v>
      </c>
      <c r="F86" s="13">
        <f t="shared" si="92"/>
        <v>0.0199185358437034</v>
      </c>
      <c r="G86" s="13">
        <f t="shared" si="93"/>
        <v>0.00999578451839418</v>
      </c>
      <c r="H86" s="13">
        <f t="shared" si="94"/>
        <v>0.00606260380610944</v>
      </c>
      <c r="I86" s="13">
        <f t="shared" si="95"/>
        <v>0.00429476663900346</v>
      </c>
      <c r="J86" s="13">
        <f t="shared" si="96"/>
        <v>0.00337720730205018</v>
      </c>
      <c r="K86" s="13">
        <f t="shared" si="97"/>
        <v>0.028273459548087</v>
      </c>
      <c r="L86" s="13">
        <f t="shared" si="98"/>
        <v>0.0660639920893586</v>
      </c>
      <c r="M86" s="13">
        <f t="shared" si="99"/>
        <v>0.0409615907757482</v>
      </c>
      <c r="N86" s="13">
        <f t="shared" si="100"/>
        <v>0.134671003341324</v>
      </c>
      <c r="O86" s="13">
        <f t="shared" si="101"/>
        <v>0.0283409905476753</v>
      </c>
      <c r="P86" s="13">
        <f t="shared" si="102"/>
        <v>0.205010554675592</v>
      </c>
      <c r="Q86" s="13">
        <f t="shared" si="103"/>
        <v>0.0255119111568719</v>
      </c>
      <c r="R86" s="13">
        <f t="shared" si="104"/>
        <v>0.0621436176054481</v>
      </c>
      <c r="S86" s="13">
        <f t="shared" si="105"/>
        <v>0</v>
      </c>
      <c r="T86" s="13">
        <f t="shared" si="106"/>
        <v>0.156543078567958</v>
      </c>
      <c r="U86" s="13">
        <f t="shared" si="107"/>
        <v>0.0200377465140993</v>
      </c>
      <c r="V86" s="13">
        <f t="shared" si="108"/>
        <v>0.0118844594390662</v>
      </c>
      <c r="W86" s="13">
        <f t="shared" si="109"/>
        <v>0.00899971426094971</v>
      </c>
      <c r="X86" s="13">
        <f t="shared" si="110"/>
        <v>0.0243162217387941</v>
      </c>
      <c r="Y86" s="13">
        <f t="shared" si="111"/>
        <v>0.0140962869572234</v>
      </c>
      <c r="Z86" s="13">
        <f t="shared" si="112"/>
        <v>0.0172245071289214</v>
      </c>
      <c r="AA86" s="13">
        <f t="shared" si="113"/>
        <v>0.00789924381530327</v>
      </c>
      <c r="AB86" s="13">
        <f t="shared" si="114"/>
        <v>0.0026923452943797</v>
      </c>
      <c r="AC86" s="13">
        <f t="shared" si="84"/>
        <v>0.0290846873354232</v>
      </c>
      <c r="AD86" s="13">
        <f t="shared" si="85"/>
        <v>0.00963000610082111</v>
      </c>
      <c r="AE86" s="13">
        <f t="shared" si="86"/>
        <v>0.0072548720391282</v>
      </c>
      <c r="AF86" s="13">
        <f t="shared" si="87"/>
        <v>0.0101209798227831</v>
      </c>
      <c r="AG86" s="13">
        <f t="shared" si="88"/>
        <v>0.00172766127617548</v>
      </c>
    </row>
    <row r="87" spans="1:33">
      <c r="A87" s="13"/>
      <c r="B87" s="13" t="s">
        <v>17</v>
      </c>
      <c r="C87" s="13">
        <f t="shared" si="89"/>
        <v>0.0100160451201797</v>
      </c>
      <c r="D87" s="13">
        <f t="shared" si="90"/>
        <v>0.0105290809744956</v>
      </c>
      <c r="E87" s="13">
        <f t="shared" si="91"/>
        <v>0.0139916127629675</v>
      </c>
      <c r="F87" s="13">
        <f t="shared" si="92"/>
        <v>0.0157673404241829</v>
      </c>
      <c r="G87" s="13">
        <f t="shared" si="93"/>
        <v>0.00910726050452115</v>
      </c>
      <c r="H87" s="13">
        <f t="shared" si="94"/>
        <v>0.00550730305295455</v>
      </c>
      <c r="I87" s="13">
        <f t="shared" si="95"/>
        <v>0.00411287406547398</v>
      </c>
      <c r="J87" s="13">
        <f t="shared" si="96"/>
        <v>0.00334168545475422</v>
      </c>
      <c r="K87" s="13">
        <f t="shared" si="97"/>
        <v>0.0211282449057016</v>
      </c>
      <c r="L87" s="13">
        <f t="shared" si="98"/>
        <v>0.0340887516844152</v>
      </c>
      <c r="M87" s="13">
        <f t="shared" si="99"/>
        <v>0.0296806438758695</v>
      </c>
      <c r="N87" s="13">
        <f t="shared" si="100"/>
        <v>0.0512066208511601</v>
      </c>
      <c r="O87" s="13">
        <f t="shared" si="101"/>
        <v>0.0361770499408162</v>
      </c>
      <c r="P87" s="13">
        <f t="shared" si="102"/>
        <v>0.203605359105398</v>
      </c>
      <c r="Q87" s="13">
        <f t="shared" si="103"/>
        <v>0.0169867313618054</v>
      </c>
      <c r="R87" s="13">
        <f t="shared" si="104"/>
        <v>0.0344174798480052</v>
      </c>
      <c r="S87" s="13">
        <f t="shared" si="105"/>
        <v>0.203668762240803</v>
      </c>
      <c r="T87" s="13">
        <f t="shared" si="106"/>
        <v>0</v>
      </c>
      <c r="U87" s="13">
        <f t="shared" si="107"/>
        <v>0.0545820716280618</v>
      </c>
      <c r="V87" s="13">
        <f t="shared" si="108"/>
        <v>0.0294025609098982</v>
      </c>
      <c r="W87" s="13">
        <f t="shared" si="109"/>
        <v>0.0198962936194989</v>
      </c>
      <c r="X87" s="13">
        <f t="shared" si="110"/>
        <v>0.0463082289728615</v>
      </c>
      <c r="Y87" s="13">
        <f t="shared" si="111"/>
        <v>0.0230252780744359</v>
      </c>
      <c r="Z87" s="13">
        <f t="shared" si="112"/>
        <v>0.0421418402626852</v>
      </c>
      <c r="AA87" s="13">
        <f t="shared" si="113"/>
        <v>0.0151947718276364</v>
      </c>
      <c r="AB87" s="13">
        <f t="shared" si="114"/>
        <v>0.00393736679468524</v>
      </c>
      <c r="AC87" s="13">
        <f t="shared" si="84"/>
        <v>0.0289139395368017</v>
      </c>
      <c r="AD87" s="13">
        <f t="shared" si="85"/>
        <v>0.0115049800795708</v>
      </c>
      <c r="AE87" s="13">
        <f t="shared" si="86"/>
        <v>0.0089679888611137</v>
      </c>
      <c r="AF87" s="13">
        <f t="shared" si="87"/>
        <v>0.010621927492939</v>
      </c>
      <c r="AG87" s="13">
        <f t="shared" si="88"/>
        <v>0.00216990576630761</v>
      </c>
    </row>
    <row r="88" spans="1:33">
      <c r="A88" s="13"/>
      <c r="B88" s="13" t="s">
        <v>18</v>
      </c>
      <c r="C88" s="13">
        <f t="shared" si="89"/>
        <v>0.00958755152289151</v>
      </c>
      <c r="D88" s="13">
        <f t="shared" si="90"/>
        <v>0.0100432098410983</v>
      </c>
      <c r="E88" s="13">
        <f t="shared" si="91"/>
        <v>0.0118961149701782</v>
      </c>
      <c r="F88" s="13">
        <f t="shared" si="92"/>
        <v>0.0127256842629878</v>
      </c>
      <c r="G88" s="13">
        <f t="shared" si="93"/>
        <v>0.00874747444717796</v>
      </c>
      <c r="H88" s="13">
        <f t="shared" si="94"/>
        <v>0.00650203618124605</v>
      </c>
      <c r="I88" s="13">
        <f t="shared" si="95"/>
        <v>0.00515442251990272</v>
      </c>
      <c r="J88" s="13">
        <f t="shared" si="96"/>
        <v>0.00433285950255259</v>
      </c>
      <c r="K88" s="13">
        <f t="shared" si="97"/>
        <v>0.0227134514318004</v>
      </c>
      <c r="L88" s="13">
        <f t="shared" si="98"/>
        <v>0.0260798329047224</v>
      </c>
      <c r="M88" s="13">
        <f t="shared" si="99"/>
        <v>0.0300517876193975</v>
      </c>
      <c r="N88" s="13">
        <f t="shared" si="100"/>
        <v>0.0317441313680351</v>
      </c>
      <c r="O88" s="13">
        <f t="shared" si="101"/>
        <v>0.06841653991653</v>
      </c>
      <c r="P88" s="13">
        <f t="shared" si="102"/>
        <v>0.0807953902104023</v>
      </c>
      <c r="Q88" s="13">
        <f t="shared" si="103"/>
        <v>0.0141444290191796</v>
      </c>
      <c r="R88" s="13">
        <f t="shared" si="104"/>
        <v>0.0205856076863875</v>
      </c>
      <c r="S88" s="13">
        <f t="shared" si="105"/>
        <v>0.0496670194421976</v>
      </c>
      <c r="T88" s="13">
        <f t="shared" si="106"/>
        <v>0.103986911974074</v>
      </c>
      <c r="U88" s="13">
        <f t="shared" si="107"/>
        <v>0</v>
      </c>
      <c r="V88" s="13">
        <f t="shared" si="108"/>
        <v>0.125879315855407</v>
      </c>
      <c r="W88" s="13">
        <f t="shared" si="109"/>
        <v>0.158389361100822</v>
      </c>
      <c r="X88" s="13">
        <f t="shared" si="110"/>
        <v>0.0345042061728002</v>
      </c>
      <c r="Y88" s="13">
        <f t="shared" si="111"/>
        <v>0.0223289155378899</v>
      </c>
      <c r="Z88" s="13">
        <f t="shared" si="112"/>
        <v>0.0556398747441096</v>
      </c>
      <c r="AA88" s="13">
        <f t="shared" si="113"/>
        <v>0.0267776829747207</v>
      </c>
      <c r="AB88" s="13">
        <f t="shared" si="114"/>
        <v>0.00621389897335766</v>
      </c>
      <c r="AC88" s="13">
        <f t="shared" si="84"/>
        <v>0.0191894067000941</v>
      </c>
      <c r="AD88" s="13">
        <f t="shared" si="85"/>
        <v>0.0112295063539478</v>
      </c>
      <c r="AE88" s="13">
        <f t="shared" si="86"/>
        <v>0.00957939567113832</v>
      </c>
      <c r="AF88" s="13">
        <f t="shared" si="87"/>
        <v>0.0100138972905426</v>
      </c>
      <c r="AG88" s="13">
        <f t="shared" si="88"/>
        <v>0.00308008380440885</v>
      </c>
    </row>
    <row r="89" spans="1:33">
      <c r="A89" s="13"/>
      <c r="B89" s="13" t="s">
        <v>19</v>
      </c>
      <c r="C89" s="13">
        <f t="shared" si="89"/>
        <v>0.00732248611143923</v>
      </c>
      <c r="D89" s="13">
        <f t="shared" si="90"/>
        <v>0.00746896914548929</v>
      </c>
      <c r="E89" s="13">
        <f t="shared" si="91"/>
        <v>0.00920698313430786</v>
      </c>
      <c r="F89" s="13">
        <f t="shared" si="92"/>
        <v>0.0103406431408018</v>
      </c>
      <c r="G89" s="13">
        <f t="shared" si="93"/>
        <v>0.00747309487315115</v>
      </c>
      <c r="H89" s="13">
        <f t="shared" si="94"/>
        <v>0.00475679452169975</v>
      </c>
      <c r="I89" s="13">
        <f t="shared" si="95"/>
        <v>0.00386325435848559</v>
      </c>
      <c r="J89" s="13">
        <f t="shared" si="96"/>
        <v>0.00331792945034521</v>
      </c>
      <c r="K89" s="13">
        <f t="shared" si="97"/>
        <v>0.0117313844567155</v>
      </c>
      <c r="L89" s="13">
        <f t="shared" si="98"/>
        <v>0.0142203842158614</v>
      </c>
      <c r="M89" s="13">
        <f t="shared" si="99"/>
        <v>0.0143517490151659</v>
      </c>
      <c r="N89" s="13">
        <f t="shared" si="100"/>
        <v>0.0170242089887886</v>
      </c>
      <c r="O89" s="13">
        <f t="shared" si="101"/>
        <v>0.0219128400171676</v>
      </c>
      <c r="P89" s="13">
        <f t="shared" si="102"/>
        <v>0.031293266140663</v>
      </c>
      <c r="Q89" s="13">
        <f t="shared" si="103"/>
        <v>0.00982656459335701</v>
      </c>
      <c r="R89" s="13">
        <f t="shared" si="104"/>
        <v>0.0150694348332452</v>
      </c>
      <c r="S89" s="13">
        <f t="shared" si="105"/>
        <v>0.0273552599723061</v>
      </c>
      <c r="T89" s="13">
        <f t="shared" si="106"/>
        <v>0.0520182836337597</v>
      </c>
      <c r="U89" s="13">
        <f t="shared" si="107"/>
        <v>0.116895170160206</v>
      </c>
      <c r="V89" s="13">
        <f t="shared" si="108"/>
        <v>0</v>
      </c>
      <c r="W89" s="13">
        <f t="shared" si="109"/>
        <v>0.259058881353829</v>
      </c>
      <c r="X89" s="13">
        <f t="shared" si="110"/>
        <v>0.0469548254078766</v>
      </c>
      <c r="Y89" s="13">
        <f t="shared" si="111"/>
        <v>0.0323765849963805</v>
      </c>
      <c r="Z89" s="13">
        <f t="shared" si="112"/>
        <v>0.140935354358049</v>
      </c>
      <c r="AA89" s="13">
        <f t="shared" si="113"/>
        <v>0.0719310931289799</v>
      </c>
      <c r="AB89" s="13">
        <f t="shared" si="114"/>
        <v>0.00874038540680057</v>
      </c>
      <c r="AC89" s="13">
        <f t="shared" si="84"/>
        <v>0.0181084512064983</v>
      </c>
      <c r="AD89" s="13">
        <f t="shared" si="85"/>
        <v>0.0123591287157612</v>
      </c>
      <c r="AE89" s="13">
        <f t="shared" si="86"/>
        <v>0.0109090826350476</v>
      </c>
      <c r="AF89" s="13">
        <f t="shared" si="87"/>
        <v>0.00981425354315376</v>
      </c>
      <c r="AG89" s="13">
        <f t="shared" si="88"/>
        <v>0.00336325848466785</v>
      </c>
    </row>
    <row r="90" spans="1:33">
      <c r="A90" s="13"/>
      <c r="B90" s="13" t="s">
        <v>20</v>
      </c>
      <c r="C90" s="13">
        <f t="shared" si="89"/>
        <v>0.00763897875550503</v>
      </c>
      <c r="D90" s="13">
        <f t="shared" si="90"/>
        <v>0.00786567078608984</v>
      </c>
      <c r="E90" s="13">
        <f t="shared" si="91"/>
        <v>0.00926628359929738</v>
      </c>
      <c r="F90" s="13">
        <f t="shared" si="92"/>
        <v>0.0100503993182814</v>
      </c>
      <c r="G90" s="13">
        <f t="shared" si="93"/>
        <v>0.00743298576185569</v>
      </c>
      <c r="H90" s="13">
        <f t="shared" si="94"/>
        <v>0.00534968444404849</v>
      </c>
      <c r="I90" s="13">
        <f t="shared" si="95"/>
        <v>0.00439144940346756</v>
      </c>
      <c r="J90" s="13">
        <f t="shared" si="96"/>
        <v>0.00378691515719082</v>
      </c>
      <c r="K90" s="13">
        <f t="shared" si="97"/>
        <v>0.013980882411075</v>
      </c>
      <c r="L90" s="13">
        <f t="shared" si="98"/>
        <v>0.0156783147840052</v>
      </c>
      <c r="M90" s="13">
        <f t="shared" si="99"/>
        <v>0.0170629517220373</v>
      </c>
      <c r="N90" s="13">
        <f t="shared" si="100"/>
        <v>0.0181985169172471</v>
      </c>
      <c r="O90" s="13">
        <f t="shared" si="101"/>
        <v>0.029841297861546</v>
      </c>
      <c r="P90" s="13">
        <f t="shared" si="102"/>
        <v>0.0331992438288983</v>
      </c>
      <c r="Q90" s="13">
        <f t="shared" si="103"/>
        <v>0.0102700567492869</v>
      </c>
      <c r="R90" s="13">
        <f t="shared" si="104"/>
        <v>0.0144066393402487</v>
      </c>
      <c r="S90" s="13">
        <f t="shared" si="105"/>
        <v>0.0260920841776483</v>
      </c>
      <c r="T90" s="13">
        <f t="shared" si="106"/>
        <v>0.0443365277294426</v>
      </c>
      <c r="U90" s="13">
        <f t="shared" si="107"/>
        <v>0.18526220849383</v>
      </c>
      <c r="V90" s="13">
        <f t="shared" si="108"/>
        <v>0.326300036382974</v>
      </c>
      <c r="W90" s="13">
        <f t="shared" si="109"/>
        <v>0</v>
      </c>
      <c r="X90" s="13">
        <f t="shared" si="110"/>
        <v>0.0304102190395971</v>
      </c>
      <c r="Y90" s="13">
        <f t="shared" si="111"/>
        <v>0.0224975363261215</v>
      </c>
      <c r="Z90" s="13">
        <f t="shared" si="112"/>
        <v>0.0598485827605465</v>
      </c>
      <c r="AA90" s="13">
        <f t="shared" si="113"/>
        <v>0.0406285843756549</v>
      </c>
      <c r="AB90" s="13">
        <f t="shared" si="114"/>
        <v>0.0080479485862537</v>
      </c>
      <c r="AC90" s="13">
        <f t="shared" si="84"/>
        <v>0.0154193769350787</v>
      </c>
      <c r="AD90" s="13">
        <f t="shared" si="85"/>
        <v>0.0107168446598098</v>
      </c>
      <c r="AE90" s="13">
        <f t="shared" si="86"/>
        <v>0.00957094457068044</v>
      </c>
      <c r="AF90" s="13">
        <f t="shared" si="87"/>
        <v>0.009033928264951</v>
      </c>
      <c r="AG90" s="13">
        <f t="shared" si="88"/>
        <v>0.00341490685733016</v>
      </c>
    </row>
    <row r="91" spans="1:33">
      <c r="A91" s="13"/>
      <c r="B91" s="13" t="s">
        <v>21</v>
      </c>
      <c r="C91" s="13">
        <f t="shared" si="89"/>
        <v>0.00963788176183009</v>
      </c>
      <c r="D91" s="13">
        <f t="shared" si="90"/>
        <v>0.00950554165869524</v>
      </c>
      <c r="E91" s="13">
        <f t="shared" si="91"/>
        <v>0.0139330738191676</v>
      </c>
      <c r="F91" s="13">
        <f t="shared" si="92"/>
        <v>0.0181363168650925</v>
      </c>
      <c r="G91" s="13">
        <f t="shared" si="93"/>
        <v>0.0116597168893447</v>
      </c>
      <c r="H91" s="13">
        <f t="shared" si="94"/>
        <v>0.00483338598515545</v>
      </c>
      <c r="I91" s="13">
        <f t="shared" si="95"/>
        <v>0.00377228504171497</v>
      </c>
      <c r="J91" s="13">
        <f t="shared" si="96"/>
        <v>0.00317749387848173</v>
      </c>
      <c r="K91" s="13">
        <f t="shared" si="97"/>
        <v>0.00954622293829357</v>
      </c>
      <c r="L91" s="13">
        <f t="shared" si="98"/>
        <v>0.0141615237272897</v>
      </c>
      <c r="M91" s="13">
        <f t="shared" si="99"/>
        <v>0.0113191269229038</v>
      </c>
      <c r="N91" s="13">
        <f t="shared" si="100"/>
        <v>0.0179175389957961</v>
      </c>
      <c r="O91" s="13">
        <f t="shared" si="101"/>
        <v>0.0114094084294055</v>
      </c>
      <c r="P91" s="13">
        <f t="shared" si="102"/>
        <v>0.0246778372547114</v>
      </c>
      <c r="Q91" s="13">
        <f t="shared" si="103"/>
        <v>0.0127301100351407</v>
      </c>
      <c r="R91" s="13">
        <f t="shared" si="104"/>
        <v>0.0272534101641802</v>
      </c>
      <c r="S91" s="13">
        <f t="shared" si="105"/>
        <v>0.035406847488207</v>
      </c>
      <c r="T91" s="13">
        <f t="shared" si="106"/>
        <v>0.051827323771916</v>
      </c>
      <c r="U91" s="13">
        <f t="shared" si="107"/>
        <v>0.0202695443149916</v>
      </c>
      <c r="V91" s="13">
        <f t="shared" si="108"/>
        <v>0.0297036611249906</v>
      </c>
      <c r="W91" s="13">
        <f t="shared" si="109"/>
        <v>0.0152732219687077</v>
      </c>
      <c r="X91" s="13">
        <f t="shared" si="110"/>
        <v>0</v>
      </c>
      <c r="Y91" s="13">
        <f t="shared" si="111"/>
        <v>0.293189686284754</v>
      </c>
      <c r="Z91" s="13">
        <f t="shared" si="112"/>
        <v>0.149086726563069</v>
      </c>
      <c r="AA91" s="13">
        <f t="shared" si="113"/>
        <v>0.0459603545872111</v>
      </c>
      <c r="AB91" s="13">
        <f t="shared" si="114"/>
        <v>0.00868697650061728</v>
      </c>
      <c r="AC91" s="13">
        <f t="shared" si="84"/>
        <v>0.0654320370503413</v>
      </c>
      <c r="AD91" s="13">
        <f t="shared" si="85"/>
        <v>0.0325917588733337</v>
      </c>
      <c r="AE91" s="13">
        <f t="shared" si="86"/>
        <v>0.0244542187365756</v>
      </c>
      <c r="AF91" s="13">
        <f t="shared" si="87"/>
        <v>0.0207674752993267</v>
      </c>
      <c r="AG91" s="13">
        <f t="shared" si="88"/>
        <v>0.00367929306875448</v>
      </c>
    </row>
    <row r="92" spans="1:33">
      <c r="A92" s="13"/>
      <c r="B92" s="13" t="s">
        <v>22</v>
      </c>
      <c r="C92" s="13">
        <f t="shared" si="89"/>
        <v>0.0100530468895758</v>
      </c>
      <c r="D92" s="13">
        <f t="shared" si="90"/>
        <v>0.00972290565310191</v>
      </c>
      <c r="E92" s="13">
        <f t="shared" si="91"/>
        <v>0.0141802430859278</v>
      </c>
      <c r="F92" s="13">
        <f t="shared" si="92"/>
        <v>0.0187585416043259</v>
      </c>
      <c r="G92" s="13">
        <f t="shared" si="93"/>
        <v>0.0133890646829914</v>
      </c>
      <c r="H92" s="13">
        <f t="shared" si="94"/>
        <v>0.00508325339345908</v>
      </c>
      <c r="I92" s="13">
        <f t="shared" si="95"/>
        <v>0.00405575285924052</v>
      </c>
      <c r="J92" s="13">
        <f t="shared" si="96"/>
        <v>0.00347331144487827</v>
      </c>
      <c r="K92" s="13">
        <f t="shared" si="97"/>
        <v>0.0083707486613853</v>
      </c>
      <c r="L92" s="13">
        <f t="shared" si="98"/>
        <v>0.011907426168092</v>
      </c>
      <c r="M92" s="13">
        <f t="shared" si="99"/>
        <v>0.00957802881772962</v>
      </c>
      <c r="N92" s="13">
        <f t="shared" si="100"/>
        <v>0.0143877629521579</v>
      </c>
      <c r="O92" s="13">
        <f t="shared" si="101"/>
        <v>0.00936365983061547</v>
      </c>
      <c r="P92" s="13">
        <f t="shared" si="102"/>
        <v>0.0176135407144713</v>
      </c>
      <c r="Q92" s="13">
        <f t="shared" si="103"/>
        <v>0.0120510187324426</v>
      </c>
      <c r="R92" s="13">
        <f t="shared" si="104"/>
        <v>0.0233473578141125</v>
      </c>
      <c r="S92" s="13">
        <f t="shared" si="105"/>
        <v>0.0241028424857221</v>
      </c>
      <c r="T92" s="13">
        <f t="shared" si="106"/>
        <v>0.0302606227050228</v>
      </c>
      <c r="U92" s="13">
        <f t="shared" si="107"/>
        <v>0.0154032350027244</v>
      </c>
      <c r="V92" s="13">
        <f t="shared" si="108"/>
        <v>0.0240510009432308</v>
      </c>
      <c r="W92" s="13">
        <f t="shared" si="109"/>
        <v>0.0132683965349257</v>
      </c>
      <c r="X92" s="13">
        <f t="shared" si="110"/>
        <v>0.34428734064053</v>
      </c>
      <c r="Y92" s="13">
        <f t="shared" si="111"/>
        <v>0</v>
      </c>
      <c r="Z92" s="13">
        <f t="shared" si="112"/>
        <v>0.0885189521474376</v>
      </c>
      <c r="AA92" s="13">
        <f t="shared" si="113"/>
        <v>0.059765290627959</v>
      </c>
      <c r="AB92" s="13">
        <f t="shared" si="114"/>
        <v>0.0145249462914557</v>
      </c>
      <c r="AC92" s="13">
        <f t="shared" si="84"/>
        <v>0.0637363426728476</v>
      </c>
      <c r="AD92" s="13">
        <f t="shared" si="85"/>
        <v>0.0574826193162808</v>
      </c>
      <c r="AE92" s="13">
        <f t="shared" si="86"/>
        <v>0.045630188630595</v>
      </c>
      <c r="AF92" s="13">
        <f t="shared" si="87"/>
        <v>0.0283087261357285</v>
      </c>
      <c r="AG92" s="13">
        <f t="shared" si="88"/>
        <v>0.00532383256103304</v>
      </c>
    </row>
    <row r="93" spans="1:33">
      <c r="A93" s="13"/>
      <c r="B93" s="13" t="s">
        <v>23</v>
      </c>
      <c r="C93" s="13">
        <f t="shared" si="89"/>
        <v>0.00832110433133237</v>
      </c>
      <c r="D93" s="13">
        <f t="shared" si="90"/>
        <v>0.00834158277124391</v>
      </c>
      <c r="E93" s="13">
        <f t="shared" si="91"/>
        <v>0.0111410720286446</v>
      </c>
      <c r="F93" s="13">
        <f t="shared" si="92"/>
        <v>0.0133756026318647</v>
      </c>
      <c r="G93" s="13">
        <f t="shared" si="93"/>
        <v>0.00926587722387564</v>
      </c>
      <c r="H93" s="13">
        <f t="shared" si="94"/>
        <v>0.00477314001383507</v>
      </c>
      <c r="I93" s="13">
        <f t="shared" si="95"/>
        <v>0.00381098014938832</v>
      </c>
      <c r="J93" s="13">
        <f t="shared" si="96"/>
        <v>0.00324953033127446</v>
      </c>
      <c r="K93" s="13">
        <f t="shared" si="97"/>
        <v>0.0104348620737712</v>
      </c>
      <c r="L93" s="13">
        <f t="shared" si="98"/>
        <v>0.0140999035591707</v>
      </c>
      <c r="M93" s="13">
        <f t="shared" si="99"/>
        <v>0.0125974036289078</v>
      </c>
      <c r="N93" s="13">
        <f t="shared" si="100"/>
        <v>0.0174583053717859</v>
      </c>
      <c r="O93" s="13">
        <f t="shared" si="101"/>
        <v>0.0153271608583854</v>
      </c>
      <c r="P93" s="13">
        <f t="shared" si="102"/>
        <v>0.0287413761850787</v>
      </c>
      <c r="Q93" s="13">
        <f t="shared" si="103"/>
        <v>0.0110320424033473</v>
      </c>
      <c r="R93" s="13">
        <f t="shared" si="104"/>
        <v>0.0197179502482367</v>
      </c>
      <c r="S93" s="13">
        <f t="shared" si="105"/>
        <v>0.0321579342065358</v>
      </c>
      <c r="T93" s="13">
        <f t="shared" si="106"/>
        <v>0.0604733853729818</v>
      </c>
      <c r="U93" s="13">
        <f t="shared" si="107"/>
        <v>0.0419090930315355</v>
      </c>
      <c r="V93" s="13">
        <f t="shared" si="108"/>
        <v>0.114314119818853</v>
      </c>
      <c r="W93" s="13">
        <f t="shared" si="109"/>
        <v>0.038540306062992</v>
      </c>
      <c r="X93" s="13">
        <f t="shared" si="110"/>
        <v>0.191156536318631</v>
      </c>
      <c r="Y93" s="13">
        <f t="shared" si="111"/>
        <v>0.0966527182144855</v>
      </c>
      <c r="Z93" s="13">
        <f t="shared" si="112"/>
        <v>0</v>
      </c>
      <c r="AA93" s="13">
        <f t="shared" si="113"/>
        <v>0.136596845065122</v>
      </c>
      <c r="AB93" s="13">
        <f t="shared" si="114"/>
        <v>0.0104396463318634</v>
      </c>
      <c r="AC93" s="13">
        <f t="shared" si="84"/>
        <v>0.0311012069780464</v>
      </c>
      <c r="AD93" s="13">
        <f t="shared" si="85"/>
        <v>0.0200760620781631</v>
      </c>
      <c r="AE93" s="13">
        <f t="shared" si="86"/>
        <v>0.0169816615111062</v>
      </c>
      <c r="AF93" s="13">
        <f t="shared" si="87"/>
        <v>0.0141333295779103</v>
      </c>
      <c r="AG93" s="13">
        <f t="shared" si="88"/>
        <v>0.00377926162163146</v>
      </c>
    </row>
    <row r="94" spans="1:33">
      <c r="A94" s="13"/>
      <c r="B94" s="13" t="s">
        <v>24</v>
      </c>
      <c r="C94" s="13">
        <f t="shared" si="89"/>
        <v>0.00970807332181619</v>
      </c>
      <c r="D94" s="13">
        <f t="shared" si="90"/>
        <v>0.00960755782871194</v>
      </c>
      <c r="E94" s="13">
        <f t="shared" si="91"/>
        <v>0.012413299296408</v>
      </c>
      <c r="F94" s="13">
        <f t="shared" si="92"/>
        <v>0.0147430771957873</v>
      </c>
      <c r="G94" s="13">
        <f t="shared" si="93"/>
        <v>0.0113707239007508</v>
      </c>
      <c r="H94" s="13">
        <f t="shared" si="94"/>
        <v>0.00590188290368042</v>
      </c>
      <c r="I94" s="13">
        <f t="shared" si="95"/>
        <v>0.00487648117505157</v>
      </c>
      <c r="J94" s="13">
        <f t="shared" si="96"/>
        <v>0.00426149571796479</v>
      </c>
      <c r="K94" s="13">
        <f t="shared" si="97"/>
        <v>0.0106970964804855</v>
      </c>
      <c r="L94" s="13">
        <f t="shared" si="98"/>
        <v>0.0135864700512644</v>
      </c>
      <c r="M94" s="13">
        <f t="shared" si="99"/>
        <v>0.0123673441408934</v>
      </c>
      <c r="N94" s="13">
        <f t="shared" si="100"/>
        <v>0.0159459049143456</v>
      </c>
      <c r="O94" s="13">
        <f t="shared" si="101"/>
        <v>0.0146111628030626</v>
      </c>
      <c r="P94" s="13">
        <f t="shared" si="102"/>
        <v>0.0225465225747636</v>
      </c>
      <c r="Q94" s="13">
        <f t="shared" si="103"/>
        <v>0.011764641548023</v>
      </c>
      <c r="R94" s="13">
        <f t="shared" si="104"/>
        <v>0.0187084007038426</v>
      </c>
      <c r="S94" s="13">
        <f t="shared" si="105"/>
        <v>0.0246038959053918</v>
      </c>
      <c r="T94" s="13">
        <f t="shared" si="106"/>
        <v>0.0363765905150822</v>
      </c>
      <c r="U94" s="13">
        <f t="shared" si="107"/>
        <v>0.0336489980963929</v>
      </c>
      <c r="V94" s="13">
        <f t="shared" si="108"/>
        <v>0.0973360254696088</v>
      </c>
      <c r="W94" s="13">
        <f t="shared" si="109"/>
        <v>0.0436485682344666</v>
      </c>
      <c r="X94" s="13">
        <f t="shared" si="110"/>
        <v>0.0983129137072827</v>
      </c>
      <c r="Y94" s="13">
        <f t="shared" si="111"/>
        <v>0.108868908129564</v>
      </c>
      <c r="Z94" s="13">
        <f t="shared" si="112"/>
        <v>0.227886024483447</v>
      </c>
      <c r="AA94" s="13">
        <f t="shared" si="113"/>
        <v>0</v>
      </c>
      <c r="AB94" s="13">
        <f t="shared" si="114"/>
        <v>0.0278669857015552</v>
      </c>
      <c r="AC94" s="13">
        <f t="shared" ref="AC94:AG94" si="115">AC61/BG61</f>
        <v>0.0299702523192895</v>
      </c>
      <c r="AD94" s="13">
        <f t="shared" si="115"/>
        <v>0.027498121540289</v>
      </c>
      <c r="AE94" s="13">
        <f t="shared" si="115"/>
        <v>0.025930378215674</v>
      </c>
      <c r="AF94" s="13">
        <f t="shared" si="115"/>
        <v>0.0181085399918002</v>
      </c>
      <c r="AG94" s="13">
        <f t="shared" si="115"/>
        <v>0.00683366313330393</v>
      </c>
    </row>
    <row r="95" spans="1:33">
      <c r="A95" s="13"/>
      <c r="B95" s="13" t="s">
        <v>25</v>
      </c>
      <c r="C95" s="13">
        <f t="shared" ref="C95:C100" si="116">C62/AH62</f>
        <v>0.0193236303536759</v>
      </c>
      <c r="D95" s="13">
        <f t="shared" ref="D95:AG95" si="117">D62/AI62</f>
        <v>0.0185212552508514</v>
      </c>
      <c r="E95" s="13">
        <f t="shared" si="117"/>
        <v>0.0229857107655913</v>
      </c>
      <c r="F95" s="13">
        <f t="shared" si="117"/>
        <v>0.0270027995936522</v>
      </c>
      <c r="G95" s="13">
        <f t="shared" si="117"/>
        <v>0.025692419034019</v>
      </c>
      <c r="H95" s="13">
        <f t="shared" si="117"/>
        <v>0.0124404181151869</v>
      </c>
      <c r="I95" s="13">
        <f t="shared" si="117"/>
        <v>0.0109217955408682</v>
      </c>
      <c r="J95" s="13">
        <f t="shared" si="117"/>
        <v>0.0100142884218191</v>
      </c>
      <c r="K95" s="13">
        <f t="shared" si="117"/>
        <v>0.0150163226242946</v>
      </c>
      <c r="L95" s="13">
        <f t="shared" si="117"/>
        <v>0.0182910330368417</v>
      </c>
      <c r="M95" s="13">
        <f t="shared" si="117"/>
        <v>0.0161585221347065</v>
      </c>
      <c r="N95" s="13">
        <f t="shared" si="117"/>
        <v>0.0200986020565907</v>
      </c>
      <c r="O95" s="13">
        <f t="shared" si="117"/>
        <v>0.0162776117578908</v>
      </c>
      <c r="P95" s="13">
        <f t="shared" si="117"/>
        <v>0.0222738346785184</v>
      </c>
      <c r="Q95" s="13">
        <f t="shared" si="117"/>
        <v>0.0196729952429096</v>
      </c>
      <c r="R95" s="13">
        <f t="shared" si="117"/>
        <v>0.0266842618883743</v>
      </c>
      <c r="S95" s="13">
        <f t="shared" si="117"/>
        <v>0.0254977809197288</v>
      </c>
      <c r="T95" s="13">
        <f t="shared" si="117"/>
        <v>0.0286607102408081</v>
      </c>
      <c r="U95" s="13">
        <f t="shared" si="117"/>
        <v>0.0237419614641321</v>
      </c>
      <c r="V95" s="13">
        <f t="shared" si="117"/>
        <v>0.0359617483179624</v>
      </c>
      <c r="W95" s="13">
        <f t="shared" si="117"/>
        <v>0.0262891637112873</v>
      </c>
      <c r="X95" s="13">
        <f t="shared" si="117"/>
        <v>0.0565000860381652</v>
      </c>
      <c r="Y95" s="13">
        <f t="shared" si="117"/>
        <v>0.0804493671963722</v>
      </c>
      <c r="Z95" s="13">
        <f t="shared" si="117"/>
        <v>0.0529561099454139</v>
      </c>
      <c r="AA95" s="13">
        <f t="shared" si="117"/>
        <v>0.0847311811230364</v>
      </c>
      <c r="AB95" s="13">
        <f t="shared" si="114"/>
        <v>0</v>
      </c>
      <c r="AC95" s="13">
        <f t="shared" si="117"/>
        <v>0.0420366990652475</v>
      </c>
      <c r="AD95" s="13">
        <f t="shared" si="117"/>
        <v>0.0667943715142105</v>
      </c>
      <c r="AE95" s="13">
        <f t="shared" si="117"/>
        <v>0.0819973197551593</v>
      </c>
      <c r="AF95" s="13">
        <f t="shared" si="117"/>
        <v>0.0435553883503773</v>
      </c>
      <c r="AG95" s="13">
        <f t="shared" si="117"/>
        <v>0.0494526118623083</v>
      </c>
    </row>
    <row r="96" spans="1:33">
      <c r="A96" s="13"/>
      <c r="B96" s="13" t="s">
        <v>26</v>
      </c>
      <c r="C96" s="13">
        <f t="shared" si="116"/>
        <v>0.0255456237510777</v>
      </c>
      <c r="D96" s="13">
        <f t="shared" ref="D96:M100" si="118">D63/AI63</f>
        <v>0.0240867037938736</v>
      </c>
      <c r="E96" s="13">
        <f t="shared" si="118"/>
        <v>0.046892095727793</v>
      </c>
      <c r="F96" s="13">
        <f t="shared" si="118"/>
        <v>0.082333535606348</v>
      </c>
      <c r="G96" s="13">
        <f t="shared" si="118"/>
        <v>0.0378389289190024</v>
      </c>
      <c r="H96" s="13">
        <f t="shared" si="118"/>
        <v>0.00908080002848761</v>
      </c>
      <c r="I96" s="13">
        <f t="shared" si="118"/>
        <v>0.00669595627795908</v>
      </c>
      <c r="J96" s="13">
        <f t="shared" si="118"/>
        <v>0.00545763548945058</v>
      </c>
      <c r="K96" s="13">
        <f t="shared" si="118"/>
        <v>0.0137379289197028</v>
      </c>
      <c r="L96" s="13">
        <f t="shared" si="118"/>
        <v>0.0232260376953001</v>
      </c>
      <c r="M96" s="13">
        <f t="shared" si="118"/>
        <v>0.0152834970630568</v>
      </c>
      <c r="N96" s="13">
        <f t="shared" ref="N96:W100" si="119">N63/AS63</f>
        <v>0.0287114610869775</v>
      </c>
      <c r="O96" s="13">
        <f t="shared" si="119"/>
        <v>0.0113396566712783</v>
      </c>
      <c r="P96" s="13">
        <f t="shared" si="119"/>
        <v>0.0246954638626448</v>
      </c>
      <c r="Q96" s="13">
        <f t="shared" si="119"/>
        <v>0.0324976705523184</v>
      </c>
      <c r="R96" s="13">
        <f t="shared" si="119"/>
        <v>0.106217393239504</v>
      </c>
      <c r="S96" s="13">
        <f t="shared" si="119"/>
        <v>0.0459267705150611</v>
      </c>
      <c r="T96" s="13">
        <f t="shared" si="119"/>
        <v>0.035092816309332</v>
      </c>
      <c r="U96" s="13">
        <f t="shared" si="119"/>
        <v>0.0122248583475461</v>
      </c>
      <c r="V96" s="13">
        <f t="shared" si="119"/>
        <v>0.0124228545895086</v>
      </c>
      <c r="W96" s="13">
        <f t="shared" si="119"/>
        <v>0.00839824003592223</v>
      </c>
      <c r="X96" s="13">
        <f t="shared" ref="X96:AA100" si="120">X63/BC63</f>
        <v>0.0709579049127273</v>
      </c>
      <c r="Y96" s="13">
        <f t="shared" si="120"/>
        <v>0.0588606585544637</v>
      </c>
      <c r="Z96" s="13">
        <f t="shared" si="120"/>
        <v>0.0263049459074482</v>
      </c>
      <c r="AA96" s="13">
        <f t="shared" si="120"/>
        <v>0.0151940497975553</v>
      </c>
      <c r="AB96" s="13">
        <f t="shared" si="114"/>
        <v>0.0070090391572325</v>
      </c>
      <c r="AC96" s="13">
        <f t="shared" ref="AC96:AG100" si="121">AC63/BG63</f>
        <v>0</v>
      </c>
      <c r="AD96" s="13">
        <f t="shared" si="121"/>
        <v>0.0823753273761599</v>
      </c>
      <c r="AE96" s="13">
        <f t="shared" si="121"/>
        <v>0.0442888173599649</v>
      </c>
      <c r="AF96" s="13">
        <f t="shared" si="121"/>
        <v>0.082534516356586</v>
      </c>
      <c r="AG96" s="13">
        <f t="shared" si="121"/>
        <v>0.00476881209571738</v>
      </c>
    </row>
    <row r="97" spans="1:33">
      <c r="A97" s="13"/>
      <c r="B97" s="13" t="s">
        <v>27</v>
      </c>
      <c r="C97" s="13">
        <f t="shared" si="116"/>
        <v>0.0117268677212655</v>
      </c>
      <c r="D97" s="13">
        <f t="shared" si="118"/>
        <v>0.0106177349008951</v>
      </c>
      <c r="E97" s="13">
        <f t="shared" si="118"/>
        <v>0.0170245189862549</v>
      </c>
      <c r="F97" s="13">
        <f t="shared" si="118"/>
        <v>0.02549503281323</v>
      </c>
      <c r="G97" s="13">
        <f t="shared" si="118"/>
        <v>0.0228558417157789</v>
      </c>
      <c r="H97" s="13">
        <f t="shared" si="118"/>
        <v>0.00501065672199792</v>
      </c>
      <c r="I97" s="13">
        <f t="shared" si="118"/>
        <v>0.00401066588304963</v>
      </c>
      <c r="J97" s="13">
        <f t="shared" si="118"/>
        <v>0.00345697002253056</v>
      </c>
      <c r="K97" s="13">
        <f t="shared" si="118"/>
        <v>0.00547675207335087</v>
      </c>
      <c r="L97" s="13">
        <f t="shared" si="118"/>
        <v>0.00785270294473719</v>
      </c>
      <c r="M97" s="13">
        <f t="shared" si="118"/>
        <v>0.00585307749935289</v>
      </c>
      <c r="N97" s="13">
        <f t="shared" si="119"/>
        <v>0.00891468461798383</v>
      </c>
      <c r="O97" s="13">
        <f t="shared" si="119"/>
        <v>0.00476436663057344</v>
      </c>
      <c r="P97" s="13">
        <f t="shared" si="119"/>
        <v>0.00821545855585159</v>
      </c>
      <c r="Q97" s="13">
        <f t="shared" si="119"/>
        <v>0.0112202710679145</v>
      </c>
      <c r="R97" s="13">
        <f t="shared" si="119"/>
        <v>0.0196302394348489</v>
      </c>
      <c r="S97" s="13">
        <f t="shared" si="119"/>
        <v>0.0118878409816563</v>
      </c>
      <c r="T97" s="13">
        <f t="shared" si="119"/>
        <v>0.0109162064911095</v>
      </c>
      <c r="U97" s="13">
        <f t="shared" si="119"/>
        <v>0.00559265294671514</v>
      </c>
      <c r="V97" s="13">
        <f t="shared" si="119"/>
        <v>0.00662831083361899</v>
      </c>
      <c r="W97" s="13">
        <f t="shared" si="119"/>
        <v>0.0045631349255596</v>
      </c>
      <c r="X97" s="13">
        <f t="shared" si="120"/>
        <v>0.027630774478399</v>
      </c>
      <c r="Y97" s="13">
        <f t="shared" si="120"/>
        <v>0.0415001287175207</v>
      </c>
      <c r="Z97" s="13">
        <f t="shared" si="120"/>
        <v>0.0132743607498716</v>
      </c>
      <c r="AA97" s="13">
        <f t="shared" si="120"/>
        <v>0.0108983585011021</v>
      </c>
      <c r="AB97" s="13">
        <f t="shared" si="114"/>
        <v>0.00870652126179668</v>
      </c>
      <c r="AC97" s="13">
        <f t="shared" si="121"/>
        <v>0.0643979540898557</v>
      </c>
      <c r="AD97" s="13">
        <f t="shared" si="121"/>
        <v>0</v>
      </c>
      <c r="AE97" s="13">
        <f t="shared" si="121"/>
        <v>0.474667829762201</v>
      </c>
      <c r="AF97" s="13">
        <f t="shared" si="121"/>
        <v>0.140825111649845</v>
      </c>
      <c r="AG97" s="13">
        <f t="shared" si="121"/>
        <v>0.00638497302113315</v>
      </c>
    </row>
    <row r="98" spans="1:33">
      <c r="A98" s="13"/>
      <c r="B98" s="13" t="s">
        <v>28</v>
      </c>
      <c r="C98" s="13">
        <f t="shared" si="116"/>
        <v>0.0108762231164685</v>
      </c>
      <c r="D98" s="13">
        <f t="shared" si="118"/>
        <v>0.00988212955878929</v>
      </c>
      <c r="E98" s="13">
        <f t="shared" si="118"/>
        <v>0.0147762264885321</v>
      </c>
      <c r="F98" s="13">
        <f t="shared" si="118"/>
        <v>0.0206470930273607</v>
      </c>
      <c r="G98" s="13">
        <f t="shared" si="118"/>
        <v>0.0204423794212441</v>
      </c>
      <c r="H98" s="13">
        <f t="shared" si="118"/>
        <v>0.00507558629646345</v>
      </c>
      <c r="I98" s="13">
        <f t="shared" si="118"/>
        <v>0.00417158106289935</v>
      </c>
      <c r="J98" s="13">
        <f t="shared" si="118"/>
        <v>0.00366246816098203</v>
      </c>
      <c r="K98" s="13">
        <f t="shared" si="118"/>
        <v>0.00530529374741998</v>
      </c>
      <c r="L98" s="13">
        <f t="shared" si="118"/>
        <v>0.00732391907852091</v>
      </c>
      <c r="M98" s="13">
        <f t="shared" si="118"/>
        <v>0.00563811964603193</v>
      </c>
      <c r="N98" s="13">
        <f t="shared" si="119"/>
        <v>0.00819918521702725</v>
      </c>
      <c r="O98" s="13">
        <f t="shared" si="119"/>
        <v>0.00472347068998736</v>
      </c>
      <c r="P98" s="13">
        <f t="shared" si="119"/>
        <v>0.00772983578772049</v>
      </c>
      <c r="Q98" s="13">
        <f t="shared" si="119"/>
        <v>0.0101307757463517</v>
      </c>
      <c r="R98" s="13">
        <f t="shared" si="119"/>
        <v>0.0161157774375218</v>
      </c>
      <c r="S98" s="13">
        <f t="shared" si="119"/>
        <v>0.0106390908519606</v>
      </c>
      <c r="T98" s="13">
        <f t="shared" si="119"/>
        <v>0.0101083266397839</v>
      </c>
      <c r="U98" s="13">
        <f t="shared" si="119"/>
        <v>0.00566752771459933</v>
      </c>
      <c r="V98" s="13">
        <f t="shared" si="119"/>
        <v>0.00695026843809991</v>
      </c>
      <c r="W98" s="13">
        <f t="shared" si="119"/>
        <v>0.00484116084122099</v>
      </c>
      <c r="X98" s="13">
        <f t="shared" si="120"/>
        <v>0.0246284674559358</v>
      </c>
      <c r="Y98" s="13">
        <f t="shared" si="120"/>
        <v>0.0391348338476299</v>
      </c>
      <c r="Z98" s="13">
        <f t="shared" si="120"/>
        <v>0.0133387029819459</v>
      </c>
      <c r="AA98" s="13">
        <f t="shared" si="120"/>
        <v>0.0122085827157981</v>
      </c>
      <c r="AB98" s="13">
        <f t="shared" si="114"/>
        <v>0.0126970488323928</v>
      </c>
      <c r="AC98" s="13">
        <f t="shared" si="121"/>
        <v>0.0411308169814611</v>
      </c>
      <c r="AD98" s="13">
        <f t="shared" si="121"/>
        <v>0.563881874346071</v>
      </c>
      <c r="AE98" s="13">
        <f t="shared" si="121"/>
        <v>0</v>
      </c>
      <c r="AF98" s="13">
        <f t="shared" si="121"/>
        <v>0.0906002251971475</v>
      </c>
      <c r="AG98" s="13">
        <f t="shared" si="121"/>
        <v>0.00947300867263266</v>
      </c>
    </row>
    <row r="99" spans="1:33">
      <c r="A99" s="13"/>
      <c r="B99" s="13" t="s">
        <v>29</v>
      </c>
      <c r="C99" s="13">
        <f t="shared" si="116"/>
        <v>0.0308841727050267</v>
      </c>
      <c r="D99" s="13">
        <f t="shared" si="118"/>
        <v>0.026421056153194</v>
      </c>
      <c r="E99" s="13">
        <f t="shared" si="118"/>
        <v>0.0475033187195012</v>
      </c>
      <c r="F99" s="13">
        <f t="shared" si="118"/>
        <v>0.0804364584474679</v>
      </c>
      <c r="G99" s="13">
        <f t="shared" si="118"/>
        <v>0.0912931722640164</v>
      </c>
      <c r="H99" s="13">
        <f t="shared" si="118"/>
        <v>0.0107260779430655</v>
      </c>
      <c r="I99" s="13">
        <f t="shared" si="118"/>
        <v>0.00835024838465496</v>
      </c>
      <c r="J99" s="13">
        <f t="shared" si="118"/>
        <v>0.00706676159348117</v>
      </c>
      <c r="K99" s="13">
        <f t="shared" si="118"/>
        <v>0.0095155785033645</v>
      </c>
      <c r="L99" s="13">
        <f t="shared" si="118"/>
        <v>0.01394720376905</v>
      </c>
      <c r="M99" s="13">
        <f t="shared" si="118"/>
        <v>0.00984500943454409</v>
      </c>
      <c r="N99" s="13">
        <f t="shared" si="119"/>
        <v>0.0153670042712778</v>
      </c>
      <c r="O99" s="13">
        <f t="shared" si="119"/>
        <v>0.00722568650387374</v>
      </c>
      <c r="P99" s="13">
        <f t="shared" si="119"/>
        <v>0.0122878274841019</v>
      </c>
      <c r="Q99" s="13">
        <f t="shared" si="119"/>
        <v>0.0250825122224648</v>
      </c>
      <c r="R99" s="13">
        <f t="shared" si="119"/>
        <v>0.0402106943165948</v>
      </c>
      <c r="S99" s="13">
        <f t="shared" si="119"/>
        <v>0.0183280779869244</v>
      </c>
      <c r="T99" s="13">
        <f t="shared" si="119"/>
        <v>0.014784517100068</v>
      </c>
      <c r="U99" s="13">
        <f t="shared" si="119"/>
        <v>0.00731607716759202</v>
      </c>
      <c r="V99" s="13">
        <f t="shared" si="119"/>
        <v>0.00772129641099117</v>
      </c>
      <c r="W99" s="13">
        <f t="shared" si="119"/>
        <v>0.00564275186125298</v>
      </c>
      <c r="X99" s="13">
        <f t="shared" si="120"/>
        <v>0.0258277695318785</v>
      </c>
      <c r="Y99" s="13">
        <f t="shared" si="120"/>
        <v>0.0299813484228673</v>
      </c>
      <c r="Z99" s="13">
        <f t="shared" si="120"/>
        <v>0.0137087391533495</v>
      </c>
      <c r="AA99" s="13">
        <f t="shared" si="120"/>
        <v>0.0105283288003244</v>
      </c>
      <c r="AB99" s="13">
        <f t="shared" si="114"/>
        <v>0.00832845853263768</v>
      </c>
      <c r="AC99" s="13">
        <f t="shared" si="121"/>
        <v>0.0946517106702216</v>
      </c>
      <c r="AD99" s="13">
        <f t="shared" si="121"/>
        <v>0.20658464799003</v>
      </c>
      <c r="AE99" s="13">
        <f t="shared" si="121"/>
        <v>0.111879078726702</v>
      </c>
      <c r="AF99" s="13">
        <f t="shared" si="121"/>
        <v>0</v>
      </c>
      <c r="AG99" s="13">
        <f t="shared" si="121"/>
        <v>0.00855441492948098</v>
      </c>
    </row>
    <row r="100" spans="1:33">
      <c r="A100" s="13"/>
      <c r="B100" s="13" t="s">
        <v>30</v>
      </c>
      <c r="C100" s="13">
        <f t="shared" si="116"/>
        <v>0.0315968508977336</v>
      </c>
      <c r="D100" s="13">
        <f t="shared" si="118"/>
        <v>0.0293469172582421</v>
      </c>
      <c r="E100" s="13">
        <f t="shared" si="118"/>
        <v>0.0341835459058355</v>
      </c>
      <c r="F100" s="13">
        <f t="shared" si="118"/>
        <v>0.0385283262608823</v>
      </c>
      <c r="G100" s="13">
        <f t="shared" si="118"/>
        <v>0.0463003496319698</v>
      </c>
      <c r="H100" s="13">
        <f t="shared" si="118"/>
        <v>0.0217656588323663</v>
      </c>
      <c r="I100" s="13">
        <f t="shared" si="118"/>
        <v>0.0204133753273864</v>
      </c>
      <c r="J100" s="13">
        <f t="shared" si="118"/>
        <v>0.0197717385570856</v>
      </c>
      <c r="K100" s="13">
        <f t="shared" si="118"/>
        <v>0.0174739722075361</v>
      </c>
      <c r="L100" s="13">
        <f t="shared" si="118"/>
        <v>0.0208635231995503</v>
      </c>
      <c r="M100" s="13">
        <f t="shared" si="118"/>
        <v>0.0177983865809674</v>
      </c>
      <c r="N100" s="13">
        <f t="shared" si="119"/>
        <v>0.0218436248767363</v>
      </c>
      <c r="O100" s="13">
        <f t="shared" si="119"/>
        <v>0.0156116815202881</v>
      </c>
      <c r="P100" s="13">
        <f t="shared" si="119"/>
        <v>0.0205181841058299</v>
      </c>
      <c r="Q100" s="13">
        <f t="shared" si="119"/>
        <v>0.0269952869400576</v>
      </c>
      <c r="R100" s="13">
        <f t="shared" si="119"/>
        <v>0.0311089042430101</v>
      </c>
      <c r="S100" s="13">
        <f t="shared" si="119"/>
        <v>0.024253973302124</v>
      </c>
      <c r="T100" s="13">
        <f t="shared" si="119"/>
        <v>0.0234139462123965</v>
      </c>
      <c r="U100" s="13">
        <f t="shared" si="119"/>
        <v>0.0174448648474672</v>
      </c>
      <c r="V100" s="13">
        <f t="shared" si="119"/>
        <v>0.0205127141885092</v>
      </c>
      <c r="W100" s="13">
        <f t="shared" si="119"/>
        <v>0.0165357199597252</v>
      </c>
      <c r="X100" s="13">
        <f t="shared" si="120"/>
        <v>0.0354729668591966</v>
      </c>
      <c r="Y100" s="13">
        <f t="shared" si="120"/>
        <v>0.0437104375256047</v>
      </c>
      <c r="Z100" s="13">
        <f t="shared" si="120"/>
        <v>0.0284177647450373</v>
      </c>
      <c r="AA100" s="13">
        <f t="shared" si="120"/>
        <v>0.030800622953297</v>
      </c>
      <c r="AB100" s="13">
        <f t="shared" si="114"/>
        <v>0.0733064017046625</v>
      </c>
      <c r="AC100" s="13">
        <f t="shared" si="121"/>
        <v>0.0423967921691793</v>
      </c>
      <c r="AD100" s="13">
        <f t="shared" si="121"/>
        <v>0.0726117557012683</v>
      </c>
      <c r="AE100" s="13">
        <f t="shared" si="121"/>
        <v>0.0906854203188379</v>
      </c>
      <c r="AF100" s="13">
        <f t="shared" si="121"/>
        <v>0.066316293167217</v>
      </c>
      <c r="AG100" s="13">
        <f t="shared" si="121"/>
        <v>0</v>
      </c>
    </row>
  </sheetData>
  <sheetProtection formatCells="0" insertHyperlinks="0" autoFilter="0"/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100"/>
  <sheetViews>
    <sheetView workbookViewId="0">
      <selection activeCell="E11" sqref="E11"/>
    </sheetView>
  </sheetViews>
  <sheetFormatPr defaultColWidth="9" defaultRowHeight="14"/>
  <cols>
    <col min="5" max="6" width="10.6666666666667"/>
  </cols>
  <sheetData>
    <row r="1" spans="1:35">
      <c r="A1" s="12" t="s">
        <v>31</v>
      </c>
      <c r="B1" s="13"/>
      <c r="C1" s="13"/>
      <c r="D1" s="13"/>
      <c r="E1" s="14" t="s">
        <v>0</v>
      </c>
      <c r="F1" s="14" t="s">
        <v>1</v>
      </c>
      <c r="G1" s="14" t="s">
        <v>2</v>
      </c>
      <c r="H1" s="14" t="s">
        <v>3</v>
      </c>
      <c r="I1" s="14" t="s">
        <v>4</v>
      </c>
      <c r="J1" s="14" t="s">
        <v>5</v>
      </c>
      <c r="K1" s="14" t="s">
        <v>6</v>
      </c>
      <c r="L1" s="14" t="s">
        <v>7</v>
      </c>
      <c r="M1" s="14" t="s">
        <v>8</v>
      </c>
      <c r="N1" s="14" t="s">
        <v>9</v>
      </c>
      <c r="O1" s="14" t="s">
        <v>10</v>
      </c>
      <c r="P1" s="14" t="s">
        <v>11</v>
      </c>
      <c r="Q1" s="14" t="s">
        <v>12</v>
      </c>
      <c r="R1" s="14" t="s">
        <v>13</v>
      </c>
      <c r="S1" s="14" t="s">
        <v>14</v>
      </c>
      <c r="T1" s="14" t="s">
        <v>15</v>
      </c>
      <c r="U1" s="14" t="s">
        <v>16</v>
      </c>
      <c r="V1" s="14" t="s">
        <v>17</v>
      </c>
      <c r="W1" s="14" t="s">
        <v>18</v>
      </c>
      <c r="X1" s="14" t="s">
        <v>19</v>
      </c>
      <c r="Y1" s="14" t="s">
        <v>20</v>
      </c>
      <c r="Z1" s="14" t="s">
        <v>21</v>
      </c>
      <c r="AA1" s="14" t="s">
        <v>22</v>
      </c>
      <c r="AB1" s="14" t="s">
        <v>23</v>
      </c>
      <c r="AC1" s="14" t="s">
        <v>24</v>
      </c>
      <c r="AD1" s="14" t="s">
        <v>25</v>
      </c>
      <c r="AE1" s="14" t="s">
        <v>26</v>
      </c>
      <c r="AF1" s="14" t="s">
        <v>27</v>
      </c>
      <c r="AG1" s="14" t="s">
        <v>28</v>
      </c>
      <c r="AH1" s="14" t="s">
        <v>29</v>
      </c>
      <c r="AI1" s="14" t="s">
        <v>30</v>
      </c>
    </row>
    <row r="2" spans="1:35">
      <c r="A2" s="12"/>
      <c r="B2" s="13"/>
      <c r="C2" s="13"/>
      <c r="D2" s="13"/>
      <c r="E2" s="2">
        <v>8.07559547087986</v>
      </c>
      <c r="F2" s="2">
        <v>7.00520858104725</v>
      </c>
      <c r="G2" s="2">
        <v>2.84530651005488</v>
      </c>
      <c r="H2" s="2">
        <v>2.54392150004365</v>
      </c>
      <c r="I2" s="2">
        <v>4.27315250749414</v>
      </c>
      <c r="J2" s="2">
        <v>3.90719568157907</v>
      </c>
      <c r="K2" s="2">
        <v>3.15424370746676</v>
      </c>
      <c r="L2" s="2">
        <v>2.6824684277149</v>
      </c>
      <c r="M2" s="2">
        <v>8.42685826481529</v>
      </c>
      <c r="N2" s="2">
        <v>5.90957773279552</v>
      </c>
      <c r="O2" s="2">
        <v>5.47871631651732</v>
      </c>
      <c r="P2" s="2">
        <v>2.48644343810527</v>
      </c>
      <c r="Q2" s="2">
        <v>4.71871968206808</v>
      </c>
      <c r="R2" s="2">
        <v>2.45990302024444</v>
      </c>
      <c r="S2" s="2">
        <v>4.21751619118074</v>
      </c>
      <c r="T2" s="2">
        <v>2.67590948431165</v>
      </c>
      <c r="U2" s="2">
        <v>3.34241323769808</v>
      </c>
      <c r="V2" s="2">
        <v>2.79581682246655</v>
      </c>
      <c r="W2" s="2">
        <v>4.79249102585372</v>
      </c>
      <c r="X2" s="2">
        <v>2.22528319692003</v>
      </c>
      <c r="Y2" s="2">
        <v>2.71898909379949</v>
      </c>
      <c r="Z2" s="2">
        <v>3.32999237587743</v>
      </c>
      <c r="AA2" s="2">
        <v>2.49727045664446</v>
      </c>
      <c r="AB2" s="2">
        <v>1.84398767483154</v>
      </c>
      <c r="AC2" s="2">
        <v>2.00724175116922</v>
      </c>
      <c r="AD2" s="2">
        <v>2.18296513862508</v>
      </c>
      <c r="AE2" s="2">
        <v>3.08306478213604</v>
      </c>
      <c r="AF2" s="2">
        <v>1.74445616283952</v>
      </c>
      <c r="AG2" s="2">
        <v>2.59867121616487</v>
      </c>
      <c r="AH2" s="2">
        <v>2.80621471883819</v>
      </c>
      <c r="AI2" s="2">
        <v>2.76005861033457</v>
      </c>
    </row>
    <row r="3" spans="1:35">
      <c r="A3" s="15" t="s">
        <v>33</v>
      </c>
      <c r="B3" s="2">
        <v>8.07559547087986</v>
      </c>
      <c r="C3" s="15"/>
      <c r="D3" s="14" t="s">
        <v>0</v>
      </c>
      <c r="E3" s="13">
        <f>IF($B3=E$2,0,$B3/E$2)</f>
        <v>0</v>
      </c>
      <c r="F3" s="13">
        <f>IF($B3=F$2,0,$B3/F$2)</f>
        <v>1.15279871790378</v>
      </c>
      <c r="G3" s="13">
        <f>IF($B3=G$2,0,$B3/G$2)</f>
        <v>2.83821635466756</v>
      </c>
      <c r="H3" s="13">
        <f t="shared" ref="H3:AI18" si="0">IF($B3=H$2,0,$B3/H$2)</f>
        <v>3.17446724308958</v>
      </c>
      <c r="I3" s="13">
        <f t="shared" si="0"/>
        <v>1.8898448994547</v>
      </c>
      <c r="J3" s="13">
        <f t="shared" si="0"/>
        <v>2.06685206706006</v>
      </c>
      <c r="K3" s="13">
        <f t="shared" si="0"/>
        <v>2.56023193507947</v>
      </c>
      <c r="L3" s="13">
        <f t="shared" si="0"/>
        <v>3.01050904735501</v>
      </c>
      <c r="M3" s="13">
        <f t="shared" si="0"/>
        <v>0.958316280765981</v>
      </c>
      <c r="N3" s="13">
        <f t="shared" si="0"/>
        <v>1.36652665148373</v>
      </c>
      <c r="O3" s="13">
        <f t="shared" si="0"/>
        <v>1.47399408991727</v>
      </c>
      <c r="P3" s="13">
        <f t="shared" si="0"/>
        <v>3.24785006049993</v>
      </c>
      <c r="Q3" s="13">
        <f t="shared" si="0"/>
        <v>1.71139546635255</v>
      </c>
      <c r="R3" s="13">
        <f t="shared" si="0"/>
        <v>3.28289180688</v>
      </c>
      <c r="S3" s="13">
        <f t="shared" si="0"/>
        <v>1.91477521479746</v>
      </c>
      <c r="T3" s="13">
        <f t="shared" si="0"/>
        <v>3.01788813045641</v>
      </c>
      <c r="U3" s="13">
        <f t="shared" si="0"/>
        <v>2.41609726164247</v>
      </c>
      <c r="V3" s="13">
        <f t="shared" si="0"/>
        <v>2.88845657054004</v>
      </c>
      <c r="W3" s="13">
        <f t="shared" si="0"/>
        <v>1.68505176688178</v>
      </c>
      <c r="X3" s="13">
        <f t="shared" si="0"/>
        <v>3.62901921070412</v>
      </c>
      <c r="Y3" s="13">
        <f t="shared" si="0"/>
        <v>2.9700727705366</v>
      </c>
      <c r="Z3" s="13">
        <f t="shared" si="0"/>
        <v>2.42510929736048</v>
      </c>
      <c r="AA3" s="13">
        <f t="shared" si="0"/>
        <v>3.23376887328851</v>
      </c>
      <c r="AB3" s="13">
        <f t="shared" si="0"/>
        <v>4.37941944032658</v>
      </c>
      <c r="AC3" s="13">
        <f t="shared" si="0"/>
        <v>4.02323011972814</v>
      </c>
      <c r="AD3" s="13">
        <f>IF($B3=AD$2,0,$B3/AD$2)</f>
        <v>3.69936987448467</v>
      </c>
      <c r="AE3" s="13">
        <f>IF($B3=AE$2,0,$B3/AE$2)</f>
        <v>2.61934018307746</v>
      </c>
      <c r="AF3" s="13">
        <f t="shared" si="0"/>
        <v>4.62929114695259</v>
      </c>
      <c r="AG3" s="13">
        <f t="shared" si="0"/>
        <v>3.10758645443338</v>
      </c>
      <c r="AH3" s="13">
        <f t="shared" si="0"/>
        <v>2.87775394258614</v>
      </c>
      <c r="AI3" s="13">
        <f t="shared" si="0"/>
        <v>2.92587825513639</v>
      </c>
    </row>
    <row r="4" spans="1:35">
      <c r="A4" s="15" t="s">
        <v>33</v>
      </c>
      <c r="B4" s="2">
        <v>7.00520858104725</v>
      </c>
      <c r="C4" s="15"/>
      <c r="D4" s="14" t="s">
        <v>1</v>
      </c>
      <c r="E4" s="13">
        <f t="shared" ref="E4:T19" si="1">IF($B4=E$2,0,$B4/E$2)</f>
        <v>0.867454122275891</v>
      </c>
      <c r="F4" s="13">
        <f t="shared" si="1"/>
        <v>0</v>
      </c>
      <c r="G4" s="13">
        <f t="shared" si="1"/>
        <v>2.46202247676723</v>
      </c>
      <c r="H4" s="13">
        <f t="shared" si="1"/>
        <v>2.75370469604784</v>
      </c>
      <c r="I4" s="13">
        <f t="shared" si="1"/>
        <v>1.63935374849405</v>
      </c>
      <c r="J4" s="13">
        <f t="shared" si="1"/>
        <v>1.7928993457057</v>
      </c>
      <c r="K4" s="13">
        <f t="shared" si="1"/>
        <v>2.22088374606707</v>
      </c>
      <c r="L4" s="13">
        <f t="shared" si="1"/>
        <v>2.61147848327697</v>
      </c>
      <c r="M4" s="13">
        <f t="shared" si="1"/>
        <v>0.831295408194551</v>
      </c>
      <c r="N4" s="13">
        <f t="shared" si="1"/>
        <v>1.18539917702943</v>
      </c>
      <c r="O4" s="13">
        <f t="shared" si="1"/>
        <v>1.27862224950904</v>
      </c>
      <c r="P4" s="13">
        <f t="shared" si="1"/>
        <v>2.81736092351467</v>
      </c>
      <c r="Q4" s="13">
        <f t="shared" si="1"/>
        <v>1.48455705213179</v>
      </c>
      <c r="R4" s="13">
        <f t="shared" si="1"/>
        <v>2.84775803086381</v>
      </c>
      <c r="S4" s="13">
        <f t="shared" si="1"/>
        <v>1.66097965330776</v>
      </c>
      <c r="T4" s="13">
        <f t="shared" si="1"/>
        <v>2.6178794993319</v>
      </c>
      <c r="U4" s="13">
        <f t="shared" si="0"/>
        <v>2.09585352943125</v>
      </c>
      <c r="V4" s="13">
        <f t="shared" si="0"/>
        <v>2.50560355912984</v>
      </c>
      <c r="W4" s="13">
        <f t="shared" si="0"/>
        <v>1.46170510142987</v>
      </c>
      <c r="X4" s="13">
        <f t="shared" si="0"/>
        <v>3.14800767414369</v>
      </c>
      <c r="Y4" s="13">
        <f t="shared" si="0"/>
        <v>2.57640186826135</v>
      </c>
      <c r="Z4" s="13">
        <f t="shared" si="0"/>
        <v>2.10367105696494</v>
      </c>
      <c r="AA4" s="13">
        <f t="shared" si="0"/>
        <v>2.80514613962159</v>
      </c>
      <c r="AB4" s="13">
        <f t="shared" si="0"/>
        <v>3.79894544668647</v>
      </c>
      <c r="AC4" s="13">
        <f t="shared" si="0"/>
        <v>3.48996755222271</v>
      </c>
      <c r="AD4" s="13">
        <f t="shared" si="0"/>
        <v>3.20903364744497</v>
      </c>
      <c r="AE4" s="13">
        <f t="shared" si="0"/>
        <v>2.27215743945343</v>
      </c>
      <c r="AF4" s="13">
        <f t="shared" si="0"/>
        <v>4.01569768863931</v>
      </c>
      <c r="AG4" s="13">
        <f t="shared" si="0"/>
        <v>2.69568868022696</v>
      </c>
      <c r="AH4" s="13">
        <f t="shared" si="0"/>
        <v>2.49631952039204</v>
      </c>
      <c r="AI4" s="13">
        <f t="shared" si="0"/>
        <v>2.53806515369545</v>
      </c>
    </row>
    <row r="5" spans="1:35">
      <c r="A5" s="15" t="s">
        <v>33</v>
      </c>
      <c r="B5" s="2">
        <v>2.84530651005488</v>
      </c>
      <c r="C5" s="15"/>
      <c r="D5" s="14" t="s">
        <v>2</v>
      </c>
      <c r="E5" s="13">
        <f t="shared" si="1"/>
        <v>0.352333957330441</v>
      </c>
      <c r="F5" s="13">
        <f t="shared" si="1"/>
        <v>0.406170134284498</v>
      </c>
      <c r="G5" s="13">
        <f t="shared" si="1"/>
        <v>0</v>
      </c>
      <c r="H5" s="13">
        <f t="shared" si="1"/>
        <v>1.11847260617361</v>
      </c>
      <c r="I5" s="13">
        <f t="shared" si="1"/>
        <v>0.665856532165623</v>
      </c>
      <c r="J5" s="13">
        <f t="shared" si="1"/>
        <v>0.728222168003873</v>
      </c>
      <c r="K5" s="13">
        <f t="shared" si="1"/>
        <v>0.902056649370321</v>
      </c>
      <c r="L5" s="13">
        <f t="shared" si="1"/>
        <v>1.06070456623368</v>
      </c>
      <c r="M5" s="13">
        <f t="shared" si="1"/>
        <v>0.337647367576468</v>
      </c>
      <c r="N5" s="13">
        <f t="shared" si="1"/>
        <v>0.481473742914777</v>
      </c>
      <c r="O5" s="13">
        <f t="shared" si="1"/>
        <v>0.519338170782234</v>
      </c>
      <c r="P5" s="13">
        <f t="shared" si="1"/>
        <v>1.14432786463185</v>
      </c>
      <c r="Q5" s="13">
        <f t="shared" si="1"/>
        <v>0.60298273721737</v>
      </c>
      <c r="R5" s="13">
        <f t="shared" si="1"/>
        <v>1.15667426180571</v>
      </c>
      <c r="S5" s="13">
        <f t="shared" si="1"/>
        <v>0.674640328827833</v>
      </c>
      <c r="T5" s="13">
        <f t="shared" si="1"/>
        <v>1.06330446778427</v>
      </c>
      <c r="U5" s="13">
        <f t="shared" si="0"/>
        <v>0.851273109489731</v>
      </c>
      <c r="V5" s="13">
        <f t="shared" si="0"/>
        <v>1.01770133407548</v>
      </c>
      <c r="W5" s="13">
        <f t="shared" si="0"/>
        <v>0.593700957332107</v>
      </c>
      <c r="X5" s="13">
        <f t="shared" si="0"/>
        <v>1.27862669973557</v>
      </c>
      <c r="Y5" s="13">
        <f t="shared" si="0"/>
        <v>1.04645749280255</v>
      </c>
      <c r="Z5" s="13">
        <f t="shared" si="0"/>
        <v>0.854448355697861</v>
      </c>
      <c r="AA5" s="13">
        <f t="shared" si="0"/>
        <v>1.13936658421774</v>
      </c>
      <c r="AB5" s="13">
        <f t="shared" si="0"/>
        <v>1.54301818222013</v>
      </c>
      <c r="AC5" s="13">
        <f t="shared" si="0"/>
        <v>1.41752058933484</v>
      </c>
      <c r="AD5" s="13">
        <f t="shared" si="0"/>
        <v>1.3034136275062</v>
      </c>
      <c r="AE5" s="13">
        <f t="shared" si="0"/>
        <v>0.922882492298321</v>
      </c>
      <c r="AF5" s="13">
        <f t="shared" si="0"/>
        <v>1.63105646944058</v>
      </c>
      <c r="AG5" s="13">
        <f t="shared" si="0"/>
        <v>1.09490823323699</v>
      </c>
      <c r="AH5" s="13">
        <f t="shared" si="0"/>
        <v>1.01393043481465</v>
      </c>
      <c r="AI5" s="13">
        <f t="shared" si="0"/>
        <v>1.03088626429929</v>
      </c>
    </row>
    <row r="6" spans="1:35">
      <c r="A6" s="15" t="s">
        <v>33</v>
      </c>
      <c r="B6" s="2">
        <v>2.54392150004365</v>
      </c>
      <c r="C6" s="15"/>
      <c r="D6" s="14" t="s">
        <v>3</v>
      </c>
      <c r="E6" s="13">
        <f t="shared" si="1"/>
        <v>0.315013488381988</v>
      </c>
      <c r="F6" s="13">
        <f t="shared" si="1"/>
        <v>0.363147145529154</v>
      </c>
      <c r="G6" s="13">
        <f t="shared" si="1"/>
        <v>0.894076434666638</v>
      </c>
      <c r="H6" s="13">
        <f t="shared" si="1"/>
        <v>0</v>
      </c>
      <c r="I6" s="13">
        <f t="shared" si="1"/>
        <v>0.595326634278132</v>
      </c>
      <c r="J6" s="13">
        <f t="shared" si="1"/>
        <v>0.651086279614113</v>
      </c>
      <c r="K6" s="13">
        <f t="shared" si="1"/>
        <v>0.80650759293635</v>
      </c>
      <c r="L6" s="13">
        <f t="shared" si="1"/>
        <v>0.948350956812836</v>
      </c>
      <c r="M6" s="13">
        <f t="shared" si="1"/>
        <v>0.301882554577344</v>
      </c>
      <c r="N6" s="13">
        <f t="shared" si="1"/>
        <v>0.430474327450846</v>
      </c>
      <c r="O6" s="13">
        <f t="shared" si="1"/>
        <v>0.464328020119273</v>
      </c>
      <c r="P6" s="13">
        <f t="shared" si="1"/>
        <v>1.02311657729973</v>
      </c>
      <c r="Q6" s="13">
        <f t="shared" si="1"/>
        <v>0.539112655856836</v>
      </c>
      <c r="R6" s="13">
        <f t="shared" si="1"/>
        <v>1.03415520006592</v>
      </c>
      <c r="S6" s="13">
        <f t="shared" si="1"/>
        <v>0.603180019880717</v>
      </c>
      <c r="T6" s="13">
        <f t="shared" si="1"/>
        <v>0.95067546752167</v>
      </c>
      <c r="U6" s="13">
        <f t="shared" si="0"/>
        <v>0.761103226660161</v>
      </c>
      <c r="V6" s="13">
        <f t="shared" si="0"/>
        <v>0.90990278032569</v>
      </c>
      <c r="W6" s="13">
        <f t="shared" si="0"/>
        <v>0.53081403518966</v>
      </c>
      <c r="X6" s="13">
        <f t="shared" si="0"/>
        <v>1.14319000096915</v>
      </c>
      <c r="Y6" s="13">
        <f t="shared" si="0"/>
        <v>0.93561298419509</v>
      </c>
      <c r="Z6" s="13">
        <f t="shared" si="0"/>
        <v>0.763942139469115</v>
      </c>
      <c r="AA6" s="13">
        <f t="shared" si="0"/>
        <v>1.01868081339571</v>
      </c>
      <c r="AB6" s="13">
        <f t="shared" si="0"/>
        <v>1.37957619498517</v>
      </c>
      <c r="AC6" s="13">
        <f t="shared" si="0"/>
        <v>1.26737175457905</v>
      </c>
      <c r="AD6" s="13">
        <f t="shared" si="0"/>
        <v>1.16535140897665</v>
      </c>
      <c r="AE6" s="13">
        <f t="shared" si="0"/>
        <v>0.825127488330344</v>
      </c>
      <c r="AF6" s="13">
        <f t="shared" si="0"/>
        <v>1.45828915293739</v>
      </c>
      <c r="AG6" s="13">
        <f t="shared" si="0"/>
        <v>0.978931649459673</v>
      </c>
      <c r="AH6" s="13">
        <f t="shared" si="0"/>
        <v>0.906531308159077</v>
      </c>
      <c r="AI6" s="13">
        <f t="shared" si="0"/>
        <v>0.921691115731517</v>
      </c>
    </row>
    <row r="7" spans="1:35">
      <c r="A7" s="15" t="s">
        <v>33</v>
      </c>
      <c r="B7" s="2">
        <v>4.27315250749414</v>
      </c>
      <c r="C7" s="15"/>
      <c r="D7" s="14" t="s">
        <v>4</v>
      </c>
      <c r="E7" s="13">
        <f t="shared" si="1"/>
        <v>0.529143952653756</v>
      </c>
      <c r="F7" s="13">
        <f t="shared" si="1"/>
        <v>0.60999647020579</v>
      </c>
      <c r="G7" s="13">
        <f t="shared" si="1"/>
        <v>1.50182502039533</v>
      </c>
      <c r="H7" s="13">
        <f t="shared" si="1"/>
        <v>1.67975014457829</v>
      </c>
      <c r="I7" s="13">
        <f t="shared" si="1"/>
        <v>0</v>
      </c>
      <c r="J7" s="13">
        <f t="shared" si="1"/>
        <v>1.09366227231475</v>
      </c>
      <c r="K7" s="13">
        <f t="shared" si="1"/>
        <v>1.35473124583832</v>
      </c>
      <c r="L7" s="13">
        <f t="shared" si="1"/>
        <v>1.59299265681732</v>
      </c>
      <c r="M7" s="13">
        <f t="shared" si="1"/>
        <v>0.507087264696958</v>
      </c>
      <c r="N7" s="13">
        <f t="shared" si="1"/>
        <v>0.723089313772801</v>
      </c>
      <c r="O7" s="13">
        <f t="shared" si="1"/>
        <v>0.779955058927101</v>
      </c>
      <c r="P7" s="13">
        <f t="shared" si="1"/>
        <v>1.71858021863967</v>
      </c>
      <c r="Q7" s="13">
        <f t="shared" si="1"/>
        <v>0.905574561619507</v>
      </c>
      <c r="R7" s="13">
        <f t="shared" si="1"/>
        <v>1.73712234682712</v>
      </c>
      <c r="S7" s="13">
        <f t="shared" si="1"/>
        <v>1.01319172560137</v>
      </c>
      <c r="T7" s="13">
        <f t="shared" si="1"/>
        <v>1.59689725401656</v>
      </c>
      <c r="U7" s="13">
        <f t="shared" si="0"/>
        <v>1.27846325502141</v>
      </c>
      <c r="V7" s="13">
        <f t="shared" si="0"/>
        <v>1.52840932680427</v>
      </c>
      <c r="W7" s="13">
        <f t="shared" si="0"/>
        <v>0.891634952354018</v>
      </c>
      <c r="X7" s="13">
        <f t="shared" si="0"/>
        <v>1.92027356940839</v>
      </c>
      <c r="Y7" s="13">
        <f t="shared" si="0"/>
        <v>1.57159604547103</v>
      </c>
      <c r="Z7" s="13">
        <f t="shared" si="0"/>
        <v>1.28323191922269</v>
      </c>
      <c r="AA7" s="13">
        <f t="shared" si="0"/>
        <v>1.71112924358057</v>
      </c>
      <c r="AB7" s="13">
        <f t="shared" si="0"/>
        <v>2.3173433129831</v>
      </c>
      <c r="AC7" s="13">
        <f t="shared" si="0"/>
        <v>2.12886788798859</v>
      </c>
      <c r="AD7" s="13">
        <f t="shared" si="0"/>
        <v>1.95749919771305</v>
      </c>
      <c r="AE7" s="13">
        <f t="shared" si="0"/>
        <v>1.38600801781842</v>
      </c>
      <c r="AF7" s="13">
        <f t="shared" si="0"/>
        <v>2.44956141548353</v>
      </c>
      <c r="AG7" s="13">
        <f t="shared" si="0"/>
        <v>1.64436057971215</v>
      </c>
      <c r="AH7" s="13">
        <f t="shared" si="0"/>
        <v>1.52274609594496</v>
      </c>
      <c r="AI7" s="13">
        <f t="shared" si="0"/>
        <v>1.54821078490654</v>
      </c>
    </row>
    <row r="8" spans="1:35">
      <c r="A8" s="15" t="s">
        <v>33</v>
      </c>
      <c r="B8" s="2">
        <v>3.90719568157907</v>
      </c>
      <c r="C8" s="15"/>
      <c r="D8" s="14" t="s">
        <v>5</v>
      </c>
      <c r="E8" s="13">
        <f t="shared" si="1"/>
        <v>0.483827563635177</v>
      </c>
      <c r="F8" s="13">
        <f t="shared" si="1"/>
        <v>0.557755795045143</v>
      </c>
      <c r="G8" s="13">
        <f t="shared" si="1"/>
        <v>1.37320730394832</v>
      </c>
      <c r="H8" s="13">
        <f t="shared" si="1"/>
        <v>1.53589475206371</v>
      </c>
      <c r="I8" s="13">
        <f t="shared" si="1"/>
        <v>0.914359053351534</v>
      </c>
      <c r="J8" s="13">
        <f t="shared" si="1"/>
        <v>0</v>
      </c>
      <c r="K8" s="13">
        <f t="shared" si="1"/>
        <v>1.23871077949047</v>
      </c>
      <c r="L8" s="13">
        <f t="shared" si="1"/>
        <v>1.45656725768343</v>
      </c>
      <c r="M8" s="13">
        <f t="shared" si="1"/>
        <v>0.463659831314929</v>
      </c>
      <c r="N8" s="13">
        <f t="shared" si="1"/>
        <v>0.661163260429908</v>
      </c>
      <c r="O8" s="13">
        <f t="shared" si="1"/>
        <v>0.713158969337324</v>
      </c>
      <c r="P8" s="13">
        <f t="shared" si="1"/>
        <v>1.57139938182404</v>
      </c>
      <c r="Q8" s="13">
        <f t="shared" si="1"/>
        <v>0.828020298901643</v>
      </c>
      <c r="R8" s="13">
        <f t="shared" si="1"/>
        <v>1.58835354460064</v>
      </c>
      <c r="S8" s="13">
        <f t="shared" si="1"/>
        <v>0.926421027084477</v>
      </c>
      <c r="T8" s="13">
        <f t="shared" si="1"/>
        <v>1.46013746148225</v>
      </c>
      <c r="U8" s="13">
        <f t="shared" si="0"/>
        <v>1.1689744516061</v>
      </c>
      <c r="V8" s="13">
        <f t="shared" si="0"/>
        <v>1.3975149051904</v>
      </c>
      <c r="W8" s="13">
        <f t="shared" si="0"/>
        <v>0.81527449096956</v>
      </c>
      <c r="X8" s="13">
        <f t="shared" si="0"/>
        <v>1.75581952310023</v>
      </c>
      <c r="Y8" s="13">
        <f t="shared" si="0"/>
        <v>1.4370030723879</v>
      </c>
      <c r="Z8" s="13">
        <f t="shared" si="0"/>
        <v>1.17333472289094</v>
      </c>
      <c r="AA8" s="13">
        <f t="shared" si="0"/>
        <v>1.56458651532245</v>
      </c>
      <c r="AB8" s="13">
        <f t="shared" si="0"/>
        <v>2.11888383794974</v>
      </c>
      <c r="AC8" s="13">
        <f t="shared" si="0"/>
        <v>1.94654962677173</v>
      </c>
      <c r="AD8" s="13">
        <f t="shared" si="0"/>
        <v>1.78985711335729</v>
      </c>
      <c r="AE8" s="13">
        <f t="shared" si="0"/>
        <v>1.26730897911008</v>
      </c>
      <c r="AF8" s="13">
        <f t="shared" si="0"/>
        <v>2.23977865698797</v>
      </c>
      <c r="AG8" s="13">
        <f t="shared" si="0"/>
        <v>1.50353598303418</v>
      </c>
      <c r="AH8" s="13">
        <f t="shared" si="0"/>
        <v>1.39233667878298</v>
      </c>
      <c r="AI8" s="13">
        <f t="shared" si="0"/>
        <v>1.41562054767578</v>
      </c>
    </row>
    <row r="9" spans="1:35">
      <c r="A9" s="15" t="s">
        <v>33</v>
      </c>
      <c r="B9" s="2">
        <v>3.15424370746676</v>
      </c>
      <c r="C9" s="15"/>
      <c r="D9" s="14" t="s">
        <v>6</v>
      </c>
      <c r="E9" s="13">
        <f t="shared" si="1"/>
        <v>0.390589612721537</v>
      </c>
      <c r="F9" s="13">
        <f t="shared" si="1"/>
        <v>0.450271204771923</v>
      </c>
      <c r="G9" s="13">
        <f t="shared" si="1"/>
        <v>1.10857782678953</v>
      </c>
      <c r="H9" s="13">
        <f t="shared" si="1"/>
        <v>1.23991393107556</v>
      </c>
      <c r="I9" s="13">
        <f t="shared" si="1"/>
        <v>0.738153787381783</v>
      </c>
      <c r="J9" s="13">
        <f t="shared" si="1"/>
        <v>0.807290948425698</v>
      </c>
      <c r="K9" s="13">
        <f t="shared" si="1"/>
        <v>0</v>
      </c>
      <c r="L9" s="13">
        <f t="shared" si="1"/>
        <v>1.17587356290107</v>
      </c>
      <c r="M9" s="13">
        <f t="shared" si="1"/>
        <v>0.374308384969128</v>
      </c>
      <c r="N9" s="13">
        <f t="shared" si="1"/>
        <v>0.533751115576687</v>
      </c>
      <c r="O9" s="13">
        <f t="shared" si="1"/>
        <v>0.575726780734621</v>
      </c>
      <c r="P9" s="13">
        <f t="shared" si="1"/>
        <v>1.26857649730829</v>
      </c>
      <c r="Q9" s="13">
        <f t="shared" si="1"/>
        <v>0.668453292416037</v>
      </c>
      <c r="R9" s="13">
        <f t="shared" si="1"/>
        <v>1.28226343945597</v>
      </c>
      <c r="S9" s="13">
        <f t="shared" si="1"/>
        <v>0.747891309596536</v>
      </c>
      <c r="T9" s="13">
        <f t="shared" si="1"/>
        <v>1.17875575611189</v>
      </c>
      <c r="U9" s="13">
        <f t="shared" si="0"/>
        <v>0.943702493722495</v>
      </c>
      <c r="V9" s="13">
        <f t="shared" si="0"/>
        <v>1.12820113325021</v>
      </c>
      <c r="W9" s="13">
        <f t="shared" si="0"/>
        <v>0.658163717042094</v>
      </c>
      <c r="X9" s="13">
        <f t="shared" si="0"/>
        <v>1.41745720806794</v>
      </c>
      <c r="Y9" s="13">
        <f t="shared" si="0"/>
        <v>1.16007957319867</v>
      </c>
      <c r="Z9" s="13">
        <f t="shared" si="0"/>
        <v>0.947222501263426</v>
      </c>
      <c r="AA9" s="13">
        <f t="shared" si="0"/>
        <v>1.26307653184872</v>
      </c>
      <c r="AB9" s="13">
        <f t="shared" si="0"/>
        <v>1.71055574314233</v>
      </c>
      <c r="AC9" s="13">
        <f t="shared" si="0"/>
        <v>1.57143189435424</v>
      </c>
      <c r="AD9" s="13">
        <f t="shared" si="0"/>
        <v>1.44493544658869</v>
      </c>
      <c r="AE9" s="13">
        <f t="shared" si="0"/>
        <v>1.02308706769418</v>
      </c>
      <c r="AF9" s="13">
        <f t="shared" si="0"/>
        <v>1.80815303626345</v>
      </c>
      <c r="AG9" s="13">
        <f t="shared" si="0"/>
        <v>1.21379098973583</v>
      </c>
      <c r="AH9" s="13">
        <f t="shared" si="0"/>
        <v>1.12402079794259</v>
      </c>
      <c r="AI9" s="13">
        <f t="shared" si="0"/>
        <v>1.14281765454409</v>
      </c>
    </row>
    <row r="10" spans="1:35">
      <c r="A10" s="15" t="s">
        <v>33</v>
      </c>
      <c r="B10" s="2">
        <v>2.6824684277149</v>
      </c>
      <c r="C10" s="15"/>
      <c r="D10" s="14" t="s">
        <v>7</v>
      </c>
      <c r="E10" s="13">
        <f t="shared" si="1"/>
        <v>0.332169737499572</v>
      </c>
      <c r="F10" s="13">
        <f t="shared" si="1"/>
        <v>0.382924847515943</v>
      </c>
      <c r="G10" s="13">
        <f t="shared" si="1"/>
        <v>0.942769581496917</v>
      </c>
      <c r="H10" s="13">
        <f t="shared" si="1"/>
        <v>1.05446195083806</v>
      </c>
      <c r="I10" s="13">
        <f t="shared" si="1"/>
        <v>0.627749284166773</v>
      </c>
      <c r="J10" s="13">
        <f t="shared" si="1"/>
        <v>0.68654570856579</v>
      </c>
      <c r="K10" s="13">
        <f t="shared" si="1"/>
        <v>0.850431569813369</v>
      </c>
      <c r="L10" s="13">
        <f t="shared" si="1"/>
        <v>0</v>
      </c>
      <c r="M10" s="13">
        <f t="shared" si="1"/>
        <v>0.318323667423602</v>
      </c>
      <c r="N10" s="13">
        <f t="shared" si="1"/>
        <v>0.453918799109519</v>
      </c>
      <c r="O10" s="13">
        <f t="shared" si="1"/>
        <v>0.489616229923741</v>
      </c>
      <c r="P10" s="13">
        <f t="shared" si="1"/>
        <v>1.07883750203423</v>
      </c>
      <c r="Q10" s="13">
        <f t="shared" si="1"/>
        <v>0.568473782816285</v>
      </c>
      <c r="R10" s="13">
        <f t="shared" si="1"/>
        <v>1.09047730973083</v>
      </c>
      <c r="S10" s="13">
        <f t="shared" si="1"/>
        <v>0.636030380469959</v>
      </c>
      <c r="T10" s="13">
        <f t="shared" si="1"/>
        <v>1.00245110809678</v>
      </c>
      <c r="U10" s="13">
        <f t="shared" si="0"/>
        <v>0.802554393173213</v>
      </c>
      <c r="V10" s="13">
        <f t="shared" si="0"/>
        <v>0.959457860815199</v>
      </c>
      <c r="W10" s="13">
        <f t="shared" si="0"/>
        <v>0.55972320307831</v>
      </c>
      <c r="X10" s="13">
        <f t="shared" si="0"/>
        <v>1.20545035860049</v>
      </c>
      <c r="Y10" s="13">
        <f t="shared" si="0"/>
        <v>0.98656829254377</v>
      </c>
      <c r="Z10" s="13">
        <f t="shared" si="0"/>
        <v>0.805547918712001</v>
      </c>
      <c r="AA10" s="13">
        <f t="shared" si="0"/>
        <v>1.07416015777453</v>
      </c>
      <c r="AB10" s="13">
        <f t="shared" si="0"/>
        <v>1.4547106058938</v>
      </c>
      <c r="AC10" s="13">
        <f t="shared" si="0"/>
        <v>1.33639529277047</v>
      </c>
      <c r="AD10" s="13">
        <f t="shared" si="0"/>
        <v>1.2288187201214</v>
      </c>
      <c r="AE10" s="13">
        <f t="shared" si="0"/>
        <v>0.87006554103492</v>
      </c>
      <c r="AF10" s="13">
        <f t="shared" si="0"/>
        <v>1.53771042509234</v>
      </c>
      <c r="AG10" s="13">
        <f t="shared" si="0"/>
        <v>1.03224617682636</v>
      </c>
      <c r="AH10" s="13">
        <f t="shared" si="0"/>
        <v>0.955902771697196</v>
      </c>
      <c r="AI10" s="13">
        <f t="shared" si="0"/>
        <v>0.97188821196436</v>
      </c>
    </row>
    <row r="11" spans="1:35">
      <c r="A11" s="15" t="s">
        <v>33</v>
      </c>
      <c r="B11" s="2">
        <v>8.42685826481529</v>
      </c>
      <c r="C11" s="15"/>
      <c r="D11" s="14" t="s">
        <v>8</v>
      </c>
      <c r="E11" s="13">
        <f>IF($B11=E$2,0,$B11/E$2)</f>
        <v>1.04349682883474</v>
      </c>
      <c r="F11" s="13">
        <f t="shared" si="1"/>
        <v>1.20294180641735</v>
      </c>
      <c r="G11" s="13">
        <f t="shared" si="1"/>
        <v>2.96166976564249</v>
      </c>
      <c r="H11" s="13">
        <f t="shared" si="1"/>
        <v>3.31254650140372</v>
      </c>
      <c r="I11" s="13">
        <f t="shared" si="1"/>
        <v>1.97204715957048</v>
      </c>
      <c r="J11" s="13">
        <f t="shared" si="1"/>
        <v>2.1567535776477</v>
      </c>
      <c r="K11" s="13">
        <f t="shared" si="1"/>
        <v>2.67159390533685</v>
      </c>
      <c r="L11" s="13">
        <f t="shared" si="1"/>
        <v>3.14145664409323</v>
      </c>
      <c r="M11" s="13">
        <f t="shared" si="1"/>
        <v>0</v>
      </c>
      <c r="N11" s="13">
        <f t="shared" si="1"/>
        <v>1.42596622734142</v>
      </c>
      <c r="O11" s="13">
        <f t="shared" si="1"/>
        <v>1.53810815854982</v>
      </c>
      <c r="P11" s="13">
        <f t="shared" si="1"/>
        <v>3.38912123866238</v>
      </c>
      <c r="Q11" s="13">
        <f t="shared" si="1"/>
        <v>1.78583574202103</v>
      </c>
      <c r="R11" s="13">
        <f t="shared" si="1"/>
        <v>3.42568718988682</v>
      </c>
      <c r="S11" s="13">
        <f t="shared" si="1"/>
        <v>1.9980618645725</v>
      </c>
      <c r="T11" s="13">
        <f t="shared" si="1"/>
        <v>3.14915669390926</v>
      </c>
      <c r="U11" s="13">
        <f t="shared" si="0"/>
        <v>2.5211898306802</v>
      </c>
      <c r="V11" s="13">
        <f t="shared" si="0"/>
        <v>3.01409527158538</v>
      </c>
      <c r="W11" s="13">
        <f t="shared" si="0"/>
        <v>1.7583461751635</v>
      </c>
      <c r="X11" s="13">
        <f t="shared" si="0"/>
        <v>3.78687003815008</v>
      </c>
      <c r="Y11" s="13">
        <f t="shared" si="0"/>
        <v>3.09926151746334</v>
      </c>
      <c r="Z11" s="13">
        <f t="shared" si="0"/>
        <v>2.53059386137329</v>
      </c>
      <c r="AA11" s="13">
        <f t="shared" si="0"/>
        <v>3.37442756446104</v>
      </c>
      <c r="AB11" s="13">
        <f t="shared" si="0"/>
        <v>4.56991029811798</v>
      </c>
      <c r="AC11" s="13">
        <f t="shared" si="0"/>
        <v>4.19822787160871</v>
      </c>
      <c r="AD11" s="13">
        <f t="shared" si="0"/>
        <v>3.86028073271151</v>
      </c>
      <c r="AE11" s="13">
        <f t="shared" si="0"/>
        <v>2.73327317468072</v>
      </c>
      <c r="AF11" s="13">
        <f t="shared" si="0"/>
        <v>4.83065063159775</v>
      </c>
      <c r="AG11" s="13">
        <f t="shared" si="0"/>
        <v>3.24275661053101</v>
      </c>
      <c r="AH11" s="13">
        <f t="shared" si="0"/>
        <v>3.00292711325529</v>
      </c>
      <c r="AI11" s="13">
        <f t="shared" si="0"/>
        <v>3.05314468079133</v>
      </c>
    </row>
    <row r="12" spans="1:35">
      <c r="A12" s="15" t="s">
        <v>33</v>
      </c>
      <c r="B12" s="2">
        <v>5.90957773279552</v>
      </c>
      <c r="C12" s="15"/>
      <c r="D12" s="14" t="s">
        <v>9</v>
      </c>
      <c r="E12" s="13">
        <f t="shared" si="1"/>
        <v>0.731782288266559</v>
      </c>
      <c r="F12" s="13">
        <f t="shared" si="1"/>
        <v>0.843597683698386</v>
      </c>
      <c r="G12" s="13">
        <f t="shared" si="1"/>
        <v>2.0769564586142</v>
      </c>
      <c r="H12" s="13">
        <f t="shared" si="1"/>
        <v>2.32301890317533</v>
      </c>
      <c r="I12" s="13">
        <f t="shared" si="1"/>
        <v>1.38295502499185</v>
      </c>
      <c r="J12" s="13">
        <f t="shared" si="1"/>
        <v>1.51248573514168</v>
      </c>
      <c r="K12" s="13">
        <f t="shared" si="1"/>
        <v>1.87353238394557</v>
      </c>
      <c r="L12" s="13">
        <f t="shared" si="1"/>
        <v>2.20303719952062</v>
      </c>
      <c r="M12" s="13">
        <f t="shared" si="1"/>
        <v>0.701278880822028</v>
      </c>
      <c r="N12" s="13">
        <f t="shared" si="1"/>
        <v>0</v>
      </c>
      <c r="O12" s="13">
        <f t="shared" si="1"/>
        <v>1.07864276801105</v>
      </c>
      <c r="P12" s="13">
        <f t="shared" si="1"/>
        <v>2.37671914921932</v>
      </c>
      <c r="Q12" s="13">
        <f t="shared" si="1"/>
        <v>1.25236889049648</v>
      </c>
      <c r="R12" s="13">
        <f t="shared" si="1"/>
        <v>2.40236207857019</v>
      </c>
      <c r="S12" s="13">
        <f t="shared" si="1"/>
        <v>1.40119858820058</v>
      </c>
      <c r="T12" s="13">
        <f t="shared" si="1"/>
        <v>2.20843708183788</v>
      </c>
      <c r="U12" s="13">
        <f t="shared" si="0"/>
        <v>1.76805718279929</v>
      </c>
      <c r="V12" s="13">
        <f t="shared" si="0"/>
        <v>2.11372135874836</v>
      </c>
      <c r="W12" s="13">
        <f t="shared" si="0"/>
        <v>1.23309103781635</v>
      </c>
      <c r="X12" s="13">
        <f t="shared" si="0"/>
        <v>2.65565198217236</v>
      </c>
      <c r="Y12" s="13">
        <f t="shared" si="0"/>
        <v>2.17344664834147</v>
      </c>
      <c r="Z12" s="13">
        <f t="shared" si="0"/>
        <v>1.77465203091896</v>
      </c>
      <c r="AA12" s="13">
        <f t="shared" si="0"/>
        <v>2.36641478582024</v>
      </c>
      <c r="AB12" s="13">
        <f t="shared" si="0"/>
        <v>3.20478157932123</v>
      </c>
      <c r="AC12" s="13">
        <f t="shared" si="0"/>
        <v>2.9441285432376</v>
      </c>
      <c r="AD12" s="13">
        <f t="shared" si="0"/>
        <v>2.70713335189476</v>
      </c>
      <c r="AE12" s="13">
        <f t="shared" si="0"/>
        <v>1.91678675292097</v>
      </c>
      <c r="AF12" s="13">
        <f t="shared" si="0"/>
        <v>3.38763326856909</v>
      </c>
      <c r="AG12" s="13">
        <f t="shared" si="0"/>
        <v>2.27407672661142</v>
      </c>
      <c r="AH12" s="13">
        <f t="shared" si="0"/>
        <v>2.10588936517379</v>
      </c>
      <c r="AI12" s="13">
        <f t="shared" si="0"/>
        <v>2.14110588473307</v>
      </c>
    </row>
    <row r="13" spans="1:35">
      <c r="A13" s="15" t="s">
        <v>33</v>
      </c>
      <c r="B13" s="2">
        <v>5.47871631651732</v>
      </c>
      <c r="C13" s="15"/>
      <c r="D13" s="14" t="s">
        <v>10</v>
      </c>
      <c r="E13" s="13">
        <f t="shared" si="1"/>
        <v>0.678428771757236</v>
      </c>
      <c r="F13" s="13">
        <f t="shared" si="1"/>
        <v>0.78209181827078</v>
      </c>
      <c r="G13" s="13">
        <f t="shared" si="1"/>
        <v>1.92552763547841</v>
      </c>
      <c r="H13" s="13">
        <f t="shared" si="1"/>
        <v>2.15364991271284</v>
      </c>
      <c r="I13" s="13">
        <f t="shared" si="1"/>
        <v>1.28212515394873</v>
      </c>
      <c r="J13" s="13">
        <f t="shared" si="1"/>
        <v>1.40221190925946</v>
      </c>
      <c r="K13" s="13">
        <f t="shared" si="1"/>
        <v>1.73693500712962</v>
      </c>
      <c r="L13" s="13">
        <f t="shared" si="1"/>
        <v>2.0424159553611</v>
      </c>
      <c r="M13" s="13">
        <f t="shared" si="1"/>
        <v>0.650149337315027</v>
      </c>
      <c r="N13" s="13">
        <f t="shared" si="1"/>
        <v>0.927090997739633</v>
      </c>
      <c r="O13" s="13">
        <f t="shared" si="1"/>
        <v>0</v>
      </c>
      <c r="P13" s="13">
        <f t="shared" si="1"/>
        <v>2.20343492739663</v>
      </c>
      <c r="Q13" s="13">
        <f t="shared" si="1"/>
        <v>1.16105992422846</v>
      </c>
      <c r="R13" s="13">
        <f t="shared" si="1"/>
        <v>2.22720825635349</v>
      </c>
      <c r="S13" s="13">
        <f t="shared" si="1"/>
        <v>1.29903859716624</v>
      </c>
      <c r="T13" s="13">
        <f t="shared" si="1"/>
        <v>2.04742213764628</v>
      </c>
      <c r="U13" s="13">
        <f t="shared" si="0"/>
        <v>1.63914989766212</v>
      </c>
      <c r="V13" s="13">
        <f t="shared" si="0"/>
        <v>1.95961204342559</v>
      </c>
      <c r="W13" s="13">
        <f t="shared" si="0"/>
        <v>1.14318760055296</v>
      </c>
      <c r="X13" s="13">
        <f t="shared" si="0"/>
        <v>2.46203104580141</v>
      </c>
      <c r="Y13" s="13">
        <f t="shared" si="0"/>
        <v>2.01498282174476</v>
      </c>
      <c r="Z13" s="13">
        <f t="shared" si="0"/>
        <v>1.64526392198532</v>
      </c>
      <c r="AA13" s="13">
        <f t="shared" si="0"/>
        <v>2.19388184485191</v>
      </c>
      <c r="AB13" s="13">
        <f t="shared" si="0"/>
        <v>2.97112415191052</v>
      </c>
      <c r="AC13" s="13">
        <f t="shared" si="0"/>
        <v>2.72947506862388</v>
      </c>
      <c r="AD13" s="13">
        <f t="shared" si="0"/>
        <v>2.50975896022235</v>
      </c>
      <c r="AE13" s="13">
        <f t="shared" si="0"/>
        <v>1.77703574321961</v>
      </c>
      <c r="AF13" s="13">
        <f t="shared" si="0"/>
        <v>3.14064430693369</v>
      </c>
      <c r="AG13" s="13">
        <f t="shared" si="0"/>
        <v>2.10827606141066</v>
      </c>
      <c r="AH13" s="13">
        <f t="shared" si="0"/>
        <v>1.95235107268826</v>
      </c>
      <c r="AI13" s="13">
        <f t="shared" si="0"/>
        <v>1.98499999094338</v>
      </c>
    </row>
    <row r="14" spans="1:35">
      <c r="A14" s="15" t="s">
        <v>33</v>
      </c>
      <c r="B14" s="2">
        <v>2.48644343810527</v>
      </c>
      <c r="C14" s="15"/>
      <c r="D14" s="14" t="s">
        <v>11</v>
      </c>
      <c r="E14" s="13">
        <f t="shared" si="1"/>
        <v>0.307895986998265</v>
      </c>
      <c r="F14" s="13">
        <f t="shared" si="1"/>
        <v>0.35494209905932</v>
      </c>
      <c r="G14" s="13">
        <f t="shared" si="1"/>
        <v>0.873875425834986</v>
      </c>
      <c r="H14" s="13">
        <f t="shared" si="1"/>
        <v>0.977405725004726</v>
      </c>
      <c r="I14" s="13">
        <f t="shared" si="1"/>
        <v>0.581875660591241</v>
      </c>
      <c r="J14" s="13">
        <f t="shared" si="1"/>
        <v>0.636375457166862</v>
      </c>
      <c r="K14" s="13">
        <f t="shared" si="1"/>
        <v>0.78828513859577</v>
      </c>
      <c r="L14" s="13">
        <f t="shared" si="1"/>
        <v>0.926923654502575</v>
      </c>
      <c r="M14" s="13">
        <f t="shared" si="1"/>
        <v>0.295061737122948</v>
      </c>
      <c r="N14" s="13">
        <f t="shared" si="1"/>
        <v>0.420748072118016</v>
      </c>
      <c r="O14" s="13">
        <f t="shared" si="1"/>
        <v>0.453836865144688</v>
      </c>
      <c r="P14" s="13">
        <f t="shared" si="1"/>
        <v>0</v>
      </c>
      <c r="Q14" s="13">
        <f t="shared" si="1"/>
        <v>0.526931796256975</v>
      </c>
      <c r="R14" s="13">
        <f t="shared" si="1"/>
        <v>1.01078921308784</v>
      </c>
      <c r="S14" s="13">
        <f t="shared" si="1"/>
        <v>0.589551604639878</v>
      </c>
      <c r="T14" s="13">
        <f t="shared" si="1"/>
        <v>0.929195644577225</v>
      </c>
      <c r="U14" s="13">
        <f t="shared" si="0"/>
        <v>0.743906651057211</v>
      </c>
      <c r="V14" s="13">
        <f t="shared" si="0"/>
        <v>0.889344186688047</v>
      </c>
      <c r="W14" s="13">
        <f t="shared" si="0"/>
        <v>0.518820676907234</v>
      </c>
      <c r="X14" s="13">
        <f t="shared" si="0"/>
        <v>1.11736045171541</v>
      </c>
      <c r="Y14" s="13">
        <f t="shared" si="0"/>
        <v>0.914473487141037</v>
      </c>
      <c r="Z14" s="13">
        <f t="shared" si="0"/>
        <v>0.746681420689472</v>
      </c>
      <c r="AA14" s="13">
        <f t="shared" si="0"/>
        <v>0.995664458965433</v>
      </c>
      <c r="AB14" s="13">
        <f t="shared" si="0"/>
        <v>1.34840567105874</v>
      </c>
      <c r="AC14" s="13">
        <f t="shared" si="0"/>
        <v>1.23873640863484</v>
      </c>
      <c r="AD14" s="13">
        <f t="shared" si="0"/>
        <v>1.1390211387761</v>
      </c>
      <c r="AE14" s="13">
        <f t="shared" si="0"/>
        <v>0.806484330952848</v>
      </c>
      <c r="AF14" s="13">
        <f t="shared" si="0"/>
        <v>1.4253401667933</v>
      </c>
      <c r="AG14" s="13">
        <f t="shared" si="0"/>
        <v>0.956813398570204</v>
      </c>
      <c r="AH14" s="13">
        <f t="shared" si="0"/>
        <v>0.886048890490706</v>
      </c>
      <c r="AI14" s="13">
        <f t="shared" si="0"/>
        <v>0.900866173201978</v>
      </c>
    </row>
    <row r="15" spans="1:35">
      <c r="A15" s="15" t="s">
        <v>33</v>
      </c>
      <c r="B15" s="2">
        <v>4.71871968206808</v>
      </c>
      <c r="C15" s="15"/>
      <c r="D15" s="14" t="s">
        <v>12</v>
      </c>
      <c r="E15" s="13">
        <f t="shared" si="1"/>
        <v>0.584318481415211</v>
      </c>
      <c r="F15" s="13">
        <f t="shared" si="1"/>
        <v>0.673601596222941</v>
      </c>
      <c r="G15" s="13">
        <f t="shared" si="1"/>
        <v>1.65842227028717</v>
      </c>
      <c r="H15" s="13">
        <f t="shared" si="1"/>
        <v>1.85489987878443</v>
      </c>
      <c r="I15" s="13">
        <f t="shared" si="1"/>
        <v>1.10427130175965</v>
      </c>
      <c r="J15" s="13">
        <f t="shared" si="1"/>
        <v>1.20769986113443</v>
      </c>
      <c r="K15" s="13">
        <f t="shared" si="1"/>
        <v>1.49599083637636</v>
      </c>
      <c r="L15" s="13">
        <f t="shared" si="1"/>
        <v>1.75909607483723</v>
      </c>
      <c r="M15" s="13">
        <f t="shared" si="1"/>
        <v>0.559961913892651</v>
      </c>
      <c r="N15" s="13">
        <f t="shared" si="1"/>
        <v>0.798486777808385</v>
      </c>
      <c r="O15" s="13">
        <f t="shared" si="1"/>
        <v>0.861281988235457</v>
      </c>
      <c r="P15" s="13">
        <f t="shared" si="1"/>
        <v>1.89777881521562</v>
      </c>
      <c r="Q15" s="13">
        <f t="shared" si="1"/>
        <v>0</v>
      </c>
      <c r="R15" s="13">
        <f t="shared" si="1"/>
        <v>1.91825435524656</v>
      </c>
      <c r="S15" s="13">
        <f t="shared" si="1"/>
        <v>1.11883854576194</v>
      </c>
      <c r="T15" s="13">
        <f t="shared" si="1"/>
        <v>1.76340780946928</v>
      </c>
      <c r="U15" s="13">
        <f t="shared" si="0"/>
        <v>1.41177028287437</v>
      </c>
      <c r="V15" s="13">
        <f t="shared" si="0"/>
        <v>1.68777855693174</v>
      </c>
      <c r="W15" s="13">
        <f t="shared" si="0"/>
        <v>0.984606889530378</v>
      </c>
      <c r="X15" s="13">
        <f t="shared" si="0"/>
        <v>2.12050299422526</v>
      </c>
      <c r="Y15" s="13">
        <f t="shared" si="0"/>
        <v>1.73546841097261</v>
      </c>
      <c r="Z15" s="13">
        <f t="shared" si="0"/>
        <v>1.41703618189958</v>
      </c>
      <c r="AA15" s="13">
        <f t="shared" si="0"/>
        <v>1.88955091728772</v>
      </c>
      <c r="AB15" s="13">
        <f t="shared" si="0"/>
        <v>2.55897571685188</v>
      </c>
      <c r="AC15" s="13">
        <f t="shared" si="0"/>
        <v>2.35084771394349</v>
      </c>
      <c r="AD15" s="13">
        <f t="shared" ref="AD15:AD33" si="2">IF($B15=AD$2,0,$B15/AD$2)</f>
        <v>2.16161018725206</v>
      </c>
      <c r="AE15" s="13">
        <f t="shared" si="0"/>
        <v>1.53052887808566</v>
      </c>
      <c r="AF15" s="13">
        <f t="shared" si="0"/>
        <v>2.70498037301622</v>
      </c>
      <c r="AG15" s="13">
        <f t="shared" si="0"/>
        <v>1.81582019792099</v>
      </c>
      <c r="AH15" s="13">
        <f t="shared" si="0"/>
        <v>1.68152481361857</v>
      </c>
      <c r="AI15" s="13">
        <f t="shared" si="0"/>
        <v>1.70964473884708</v>
      </c>
    </row>
    <row r="16" spans="1:35">
      <c r="A16" s="15" t="s">
        <v>33</v>
      </c>
      <c r="B16" s="2">
        <v>2.45990302024444</v>
      </c>
      <c r="C16" s="15"/>
      <c r="D16" s="14" t="s">
        <v>13</v>
      </c>
      <c r="E16" s="13">
        <f t="shared" si="1"/>
        <v>0.304609490298853</v>
      </c>
      <c r="F16" s="13">
        <f t="shared" si="1"/>
        <v>0.351153429877843</v>
      </c>
      <c r="G16" s="13">
        <f t="shared" si="1"/>
        <v>0.864547637153156</v>
      </c>
      <c r="H16" s="13">
        <f t="shared" si="1"/>
        <v>0.966972848887923</v>
      </c>
      <c r="I16" s="13">
        <f t="shared" si="1"/>
        <v>0.575664691566784</v>
      </c>
      <c r="J16" s="13">
        <f t="shared" si="1"/>
        <v>0.629582754670298</v>
      </c>
      <c r="K16" s="13">
        <f t="shared" si="1"/>
        <v>0.779870944791404</v>
      </c>
      <c r="L16" s="13">
        <f t="shared" si="1"/>
        <v>0.917029626454895</v>
      </c>
      <c r="M16" s="13">
        <f t="shared" si="1"/>
        <v>0.291912233829218</v>
      </c>
      <c r="N16" s="13">
        <f t="shared" si="1"/>
        <v>0.416256986788257</v>
      </c>
      <c r="O16" s="13">
        <f t="shared" si="1"/>
        <v>0.448992588433223</v>
      </c>
      <c r="P16" s="13">
        <f t="shared" si="1"/>
        <v>0.989325951495984</v>
      </c>
      <c r="Q16" s="13">
        <f t="shared" si="1"/>
        <v>0.52130730070542</v>
      </c>
      <c r="R16" s="13">
        <f t="shared" si="1"/>
        <v>0</v>
      </c>
      <c r="S16" s="13">
        <f t="shared" si="1"/>
        <v>0.583258702216331</v>
      </c>
      <c r="T16" s="13">
        <f t="shared" si="1"/>
        <v>0.919277365197288</v>
      </c>
      <c r="U16" s="13">
        <f t="shared" si="0"/>
        <v>0.735966155381367</v>
      </c>
      <c r="V16" s="13">
        <f t="shared" si="0"/>
        <v>0.879851283702575</v>
      </c>
      <c r="W16" s="13">
        <f t="shared" si="0"/>
        <v>0.51328275983704</v>
      </c>
      <c r="X16" s="13">
        <f t="shared" si="0"/>
        <v>1.10543369205733</v>
      </c>
      <c r="Y16" s="13">
        <f t="shared" si="0"/>
        <v>0.904712352783657</v>
      </c>
      <c r="Z16" s="13">
        <f t="shared" si="0"/>
        <v>0.738711306987985</v>
      </c>
      <c r="AA16" s="13">
        <f t="shared" si="0"/>
        <v>0.985036688236712</v>
      </c>
      <c r="AB16" s="13">
        <f t="shared" si="0"/>
        <v>1.33401272352277</v>
      </c>
      <c r="AC16" s="13">
        <f t="shared" si="0"/>
        <v>1.22551407612539</v>
      </c>
      <c r="AD16" s="13">
        <f t="shared" si="2"/>
        <v>1.12686317189371</v>
      </c>
      <c r="AE16" s="13">
        <f t="shared" si="0"/>
        <v>0.797875878086529</v>
      </c>
      <c r="AF16" s="13">
        <f t="shared" si="0"/>
        <v>1.41012601671822</v>
      </c>
      <c r="AG16" s="13">
        <f t="shared" si="0"/>
        <v>0.946600325944574</v>
      </c>
      <c r="AH16" s="13">
        <f t="shared" si="0"/>
        <v>0.876591161656679</v>
      </c>
      <c r="AI16" s="13">
        <f t="shared" si="0"/>
        <v>0.891250283973594</v>
      </c>
    </row>
    <row r="17" spans="1:35">
      <c r="A17" s="15" t="s">
        <v>33</v>
      </c>
      <c r="B17" s="2">
        <v>4.21751619118074</v>
      </c>
      <c r="C17" s="15"/>
      <c r="D17" s="14" t="s">
        <v>14</v>
      </c>
      <c r="E17" s="13">
        <f t="shared" si="1"/>
        <v>0.522254514405639</v>
      </c>
      <c r="F17" s="13">
        <f t="shared" si="1"/>
        <v>0.602054334626284</v>
      </c>
      <c r="G17" s="13">
        <f t="shared" si="1"/>
        <v>1.48227130408505</v>
      </c>
      <c r="H17" s="13">
        <f t="shared" si="1"/>
        <v>1.65787984853636</v>
      </c>
      <c r="I17" s="13">
        <f t="shared" si="1"/>
        <v>0.986980030266689</v>
      </c>
      <c r="J17" s="13">
        <f t="shared" si="1"/>
        <v>1.07942282263075</v>
      </c>
      <c r="K17" s="13">
        <f t="shared" si="1"/>
        <v>1.33709268602074</v>
      </c>
      <c r="L17" s="13">
        <f t="shared" si="1"/>
        <v>1.57225194064017</v>
      </c>
      <c r="M17" s="13">
        <f t="shared" si="1"/>
        <v>0.500485003858456</v>
      </c>
      <c r="N17" s="13">
        <f t="shared" si="1"/>
        <v>0.713674712792998</v>
      </c>
      <c r="O17" s="13">
        <f t="shared" si="1"/>
        <v>0.769800067666527</v>
      </c>
      <c r="P17" s="13">
        <f t="shared" si="1"/>
        <v>1.69620435620872</v>
      </c>
      <c r="Q17" s="13">
        <f t="shared" si="1"/>
        <v>0.893784008235965</v>
      </c>
      <c r="R17" s="13">
        <f t="shared" si="1"/>
        <v>1.71450506644837</v>
      </c>
      <c r="S17" s="13">
        <f t="shared" si="1"/>
        <v>0</v>
      </c>
      <c r="T17" s="13">
        <f t="shared" si="1"/>
        <v>1.57610570010206</v>
      </c>
      <c r="U17" s="13">
        <f t="shared" si="0"/>
        <v>1.26181770213588</v>
      </c>
      <c r="V17" s="13">
        <f t="shared" si="0"/>
        <v>1.50850948362916</v>
      </c>
      <c r="W17" s="13">
        <f t="shared" si="0"/>
        <v>0.880025892261206</v>
      </c>
      <c r="X17" s="13">
        <f t="shared" si="0"/>
        <v>1.89527166565501</v>
      </c>
      <c r="Y17" s="13">
        <f t="shared" si="0"/>
        <v>1.551133912526</v>
      </c>
      <c r="Z17" s="13">
        <f t="shared" si="0"/>
        <v>1.2665242784736</v>
      </c>
      <c r="AA17" s="13">
        <f t="shared" si="0"/>
        <v>1.68885039261936</v>
      </c>
      <c r="AB17" s="13">
        <f t="shared" si="0"/>
        <v>2.28717157318637</v>
      </c>
      <c r="AC17" s="13">
        <f t="shared" si="0"/>
        <v>2.10115009252076</v>
      </c>
      <c r="AD17" s="13">
        <f t="shared" si="2"/>
        <v>1.93201261740584</v>
      </c>
      <c r="AE17" s="13">
        <f t="shared" si="0"/>
        <v>1.36796223537629</v>
      </c>
      <c r="AF17" s="13">
        <f t="shared" si="0"/>
        <v>2.41766819999405</v>
      </c>
      <c r="AG17" s="13">
        <f t="shared" si="0"/>
        <v>1.62295105473365</v>
      </c>
      <c r="AH17" s="13">
        <f t="shared" si="0"/>
        <v>1.50291998786424</v>
      </c>
      <c r="AI17" s="13">
        <f t="shared" si="0"/>
        <v>1.52805312734627</v>
      </c>
    </row>
    <row r="18" spans="1:35">
      <c r="A18" s="15" t="s">
        <v>33</v>
      </c>
      <c r="B18" s="2">
        <v>2.67590948431165</v>
      </c>
      <c r="C18" s="15"/>
      <c r="D18" s="14" t="s">
        <v>15</v>
      </c>
      <c r="E18" s="13">
        <f t="shared" si="1"/>
        <v>0.331357544339711</v>
      </c>
      <c r="F18" s="13">
        <f t="shared" si="1"/>
        <v>0.381988552282566</v>
      </c>
      <c r="G18" s="13">
        <f t="shared" si="1"/>
        <v>0.940464401587452</v>
      </c>
      <c r="H18" s="13">
        <f t="shared" si="1"/>
        <v>1.05188367025702</v>
      </c>
      <c r="I18" s="13">
        <f t="shared" si="1"/>
        <v>0.626214365066239</v>
      </c>
      <c r="J18" s="13">
        <f t="shared" si="1"/>
        <v>0.684867025454479</v>
      </c>
      <c r="K18" s="13">
        <f t="shared" si="1"/>
        <v>0.84835216694804</v>
      </c>
      <c r="L18" s="13">
        <f t="shared" si="1"/>
        <v>0.997554885144039</v>
      </c>
      <c r="M18" s="13">
        <f t="shared" si="1"/>
        <v>0.317545329495381</v>
      </c>
      <c r="N18" s="13">
        <f t="shared" si="1"/>
        <v>0.452808915510417</v>
      </c>
      <c r="O18" s="13">
        <f t="shared" si="1"/>
        <v>0.488419062006235</v>
      </c>
      <c r="P18" s="13">
        <f t="shared" si="1"/>
        <v>1.07619962043084</v>
      </c>
      <c r="Q18" s="13">
        <f t="shared" si="1"/>
        <v>0.567083799124697</v>
      </c>
      <c r="R18" s="13">
        <f t="shared" si="1"/>
        <v>1.08781096746072</v>
      </c>
      <c r="S18" s="13">
        <f t="shared" si="1"/>
        <v>0.634475213137829</v>
      </c>
      <c r="T18" s="13">
        <f t="shared" si="1"/>
        <v>0</v>
      </c>
      <c r="U18" s="13">
        <f t="shared" si="0"/>
        <v>0.800592055503749</v>
      </c>
      <c r="V18" s="13">
        <f t="shared" si="0"/>
        <v>0.957111876146051</v>
      </c>
      <c r="W18" s="13">
        <f t="shared" si="0"/>
        <v>0.558354615559237</v>
      </c>
      <c r="X18" s="13">
        <f t="shared" si="0"/>
        <v>1.20250289402055</v>
      </c>
      <c r="Y18" s="13">
        <f t="shared" si="0"/>
        <v>0.984156019755251</v>
      </c>
      <c r="Z18" s="13">
        <f t="shared" si="0"/>
        <v>0.803578261528771</v>
      </c>
      <c r="AA18" s="13">
        <f t="shared" si="0"/>
        <v>1.07153371281508</v>
      </c>
      <c r="AB18" s="13">
        <f t="shared" si="0"/>
        <v>1.45115367138021</v>
      </c>
      <c r="AC18" s="13">
        <f t="shared" si="0"/>
        <v>1.33312765278668</v>
      </c>
      <c r="AD18" s="13">
        <f t="shared" si="2"/>
        <v>1.22581411721355</v>
      </c>
      <c r="AE18" s="13">
        <f t="shared" si="0"/>
        <v>0.867938130854876</v>
      </c>
      <c r="AF18" s="13">
        <f t="shared" si="0"/>
        <v>1.53395054648778</v>
      </c>
      <c r="AG18" s="13">
        <f t="shared" si="0"/>
        <v>1.0297222163644</v>
      </c>
      <c r="AH18" s="13">
        <f t="shared" si="0"/>
        <v>0.953565479629265</v>
      </c>
      <c r="AI18" s="13">
        <f t="shared" si="0"/>
        <v>0.969511833658953</v>
      </c>
    </row>
    <row r="19" spans="1:35">
      <c r="A19" s="15" t="s">
        <v>33</v>
      </c>
      <c r="B19" s="2">
        <v>3.34241323769808</v>
      </c>
      <c r="C19" s="15"/>
      <c r="D19" s="14" t="s">
        <v>16</v>
      </c>
      <c r="E19" s="13">
        <f t="shared" si="1"/>
        <v>0.413890622648278</v>
      </c>
      <c r="F19" s="13">
        <f t="shared" si="1"/>
        <v>0.477132579141334</v>
      </c>
      <c r="G19" s="13">
        <f t="shared" si="1"/>
        <v>1.17471113424388</v>
      </c>
      <c r="H19" s="13">
        <f t="shared" si="1"/>
        <v>1.31388222381891</v>
      </c>
      <c r="I19" s="13">
        <f t="shared" si="1"/>
        <v>0.782189082143979</v>
      </c>
      <c r="J19" s="13">
        <f t="shared" si="1"/>
        <v>0.855450688957371</v>
      </c>
      <c r="K19" s="13">
        <f t="shared" si="1"/>
        <v>1.05965598973405</v>
      </c>
      <c r="L19" s="13">
        <f t="shared" si="1"/>
        <v>1.24602146409804</v>
      </c>
      <c r="M19" s="13">
        <f t="shared" si="1"/>
        <v>0.396638122140214</v>
      </c>
      <c r="N19" s="13">
        <f t="shared" si="1"/>
        <v>0.565592566648067</v>
      </c>
      <c r="O19" s="13">
        <f t="shared" si="1"/>
        <v>0.610072331655742</v>
      </c>
      <c r="P19" s="13">
        <f t="shared" si="1"/>
        <v>1.34425468380856</v>
      </c>
      <c r="Q19" s="13">
        <f t="shared" si="1"/>
        <v>0.708330535166098</v>
      </c>
      <c r="R19" s="13">
        <f t="shared" si="1"/>
        <v>1.3587581340365</v>
      </c>
      <c r="S19" s="13">
        <f t="shared" si="1"/>
        <v>0.792507505884011</v>
      </c>
      <c r="T19" s="13">
        <f t="shared" ref="T19:AI33" si="3">IF($B19=T$2,0,$B19/T$2)</f>
        <v>1.24907559739745</v>
      </c>
      <c r="U19" s="13">
        <f t="shared" si="3"/>
        <v>0</v>
      </c>
      <c r="V19" s="13">
        <f t="shared" si="3"/>
        <v>1.19550508847333</v>
      </c>
      <c r="W19" s="13">
        <f t="shared" si="3"/>
        <v>0.69742712498928</v>
      </c>
      <c r="X19" s="13">
        <f t="shared" si="3"/>
        <v>1.50201702072089</v>
      </c>
      <c r="Y19" s="13">
        <f t="shared" si="3"/>
        <v>1.22928526830809</v>
      </c>
      <c r="Z19" s="13">
        <f t="shared" si="3"/>
        <v>1.00372999707466</v>
      </c>
      <c r="AA19" s="13">
        <f t="shared" si="3"/>
        <v>1.338426612466</v>
      </c>
      <c r="AB19" s="13">
        <f t="shared" si="3"/>
        <v>1.81260063899474</v>
      </c>
      <c r="AC19" s="13">
        <f t="shared" si="3"/>
        <v>1.66517721931159</v>
      </c>
      <c r="AD19" s="13">
        <f t="shared" si="2"/>
        <v>1.53113450075674</v>
      </c>
      <c r="AE19" s="13">
        <f t="shared" si="3"/>
        <v>1.08412033930158</v>
      </c>
      <c r="AF19" s="13">
        <f t="shared" si="3"/>
        <v>1.91602019523237</v>
      </c>
      <c r="AG19" s="13">
        <f t="shared" si="3"/>
        <v>1.28620089255879</v>
      </c>
      <c r="AH19" s="13">
        <f t="shared" si="3"/>
        <v>1.19107537112551</v>
      </c>
      <c r="AI19" s="13">
        <f t="shared" si="3"/>
        <v>1.21099357281146</v>
      </c>
    </row>
    <row r="20" spans="1:35">
      <c r="A20" s="15" t="s">
        <v>33</v>
      </c>
      <c r="B20" s="2">
        <v>2.79581682246655</v>
      </c>
      <c r="C20" s="15"/>
      <c r="D20" s="14" t="s">
        <v>17</v>
      </c>
      <c r="E20" s="13">
        <f t="shared" ref="E20:T33" si="4">IF($B20=E$2,0,$B20/E$2)</f>
        <v>0.346205655365985</v>
      </c>
      <c r="F20" s="13">
        <f t="shared" si="4"/>
        <v>0.399105435636947</v>
      </c>
      <c r="G20" s="13">
        <f t="shared" si="4"/>
        <v>0.982606553138142</v>
      </c>
      <c r="H20" s="13">
        <f t="shared" si="4"/>
        <v>1.09901851233168</v>
      </c>
      <c r="I20" s="13">
        <f t="shared" si="4"/>
        <v>0.654274991955779</v>
      </c>
      <c r="J20" s="13">
        <f t="shared" si="4"/>
        <v>0.715555874421071</v>
      </c>
      <c r="K20" s="13">
        <f t="shared" si="4"/>
        <v>0.886366774973113</v>
      </c>
      <c r="L20" s="13">
        <f t="shared" si="4"/>
        <v>1.04225525772477</v>
      </c>
      <c r="M20" s="13">
        <f t="shared" si="4"/>
        <v>0.33177451603048</v>
      </c>
      <c r="N20" s="13">
        <f t="shared" si="4"/>
        <v>0.473099254952009</v>
      </c>
      <c r="O20" s="13">
        <f t="shared" si="4"/>
        <v>0.510305089905399</v>
      </c>
      <c r="P20" s="13">
        <f t="shared" si="4"/>
        <v>1.12442405872583</v>
      </c>
      <c r="Q20" s="13">
        <f t="shared" si="4"/>
        <v>0.592494789018962</v>
      </c>
      <c r="R20" s="13">
        <f t="shared" si="4"/>
        <v>1.13655570949652</v>
      </c>
      <c r="S20" s="13">
        <f t="shared" si="4"/>
        <v>0.6629060081175</v>
      </c>
      <c r="T20" s="13">
        <f t="shared" si="4"/>
        <v>1.04480993802589</v>
      </c>
      <c r="U20" s="13">
        <f t="shared" si="3"/>
        <v>0.836466535894893</v>
      </c>
      <c r="V20" s="13">
        <f t="shared" si="3"/>
        <v>0</v>
      </c>
      <c r="W20" s="13">
        <f t="shared" si="3"/>
        <v>0.583374451278917</v>
      </c>
      <c r="X20" s="13">
        <f t="shared" si="3"/>
        <v>1.25638697417757</v>
      </c>
      <c r="Y20" s="13">
        <f t="shared" si="3"/>
        <v>1.02825599000829</v>
      </c>
      <c r="Z20" s="13">
        <f t="shared" si="3"/>
        <v>0.839586553626828</v>
      </c>
      <c r="AA20" s="13">
        <f t="shared" si="3"/>
        <v>1.11954907207897</v>
      </c>
      <c r="AB20" s="13">
        <f t="shared" si="3"/>
        <v>1.5161797774608</v>
      </c>
      <c r="AC20" s="13">
        <f t="shared" si="3"/>
        <v>1.39286502028865</v>
      </c>
      <c r="AD20" s="13">
        <f t="shared" si="2"/>
        <v>1.28074277183715</v>
      </c>
      <c r="AE20" s="13">
        <f t="shared" si="3"/>
        <v>0.906830384708791</v>
      </c>
      <c r="AF20" s="13">
        <f t="shared" si="3"/>
        <v>1.60268677541068</v>
      </c>
      <c r="AG20" s="13">
        <f t="shared" si="3"/>
        <v>1.07586400506357</v>
      </c>
      <c r="AH20" s="13">
        <f t="shared" si="3"/>
        <v>0.996294689675082</v>
      </c>
      <c r="AI20" s="13">
        <f t="shared" si="3"/>
        <v>1.01295559884058</v>
      </c>
    </row>
    <row r="21" spans="1:35">
      <c r="A21" s="15" t="s">
        <v>33</v>
      </c>
      <c r="B21" s="2">
        <v>4.79249102585372</v>
      </c>
      <c r="C21" s="15"/>
      <c r="D21" s="14" t="s">
        <v>18</v>
      </c>
      <c r="E21" s="13">
        <f t="shared" si="4"/>
        <v>0.593453577898393</v>
      </c>
      <c r="F21" s="13">
        <f t="shared" si="4"/>
        <v>0.684132523736682</v>
      </c>
      <c r="G21" s="13">
        <f t="shared" si="4"/>
        <v>1.6843496505272</v>
      </c>
      <c r="H21" s="13">
        <f t="shared" si="4"/>
        <v>1.88389894333276</v>
      </c>
      <c r="I21" s="13">
        <f t="shared" si="4"/>
        <v>1.12153521725442</v>
      </c>
      <c r="J21" s="13">
        <f t="shared" si="4"/>
        <v>1.22658075418349</v>
      </c>
      <c r="K21" s="13">
        <f t="shared" si="4"/>
        <v>1.51937880212264</v>
      </c>
      <c r="L21" s="13">
        <f t="shared" si="4"/>
        <v>1.78659736544831</v>
      </c>
      <c r="M21" s="13">
        <f t="shared" si="4"/>
        <v>0.568716225578853</v>
      </c>
      <c r="N21" s="13">
        <f t="shared" si="4"/>
        <v>0.810970130616529</v>
      </c>
      <c r="O21" s="13">
        <f t="shared" si="4"/>
        <v>0.874747066462492</v>
      </c>
      <c r="P21" s="13">
        <f t="shared" si="4"/>
        <v>1.9274482388812</v>
      </c>
      <c r="Q21" s="13">
        <f t="shared" si="4"/>
        <v>1.01563376270601</v>
      </c>
      <c r="R21" s="13">
        <f t="shared" si="4"/>
        <v>1.94824388864626</v>
      </c>
      <c r="S21" s="13">
        <f t="shared" si="4"/>
        <v>1.13633020209272</v>
      </c>
      <c r="T21" s="13">
        <f t="shared" si="4"/>
        <v>1.79097650871645</v>
      </c>
      <c r="U21" s="13">
        <f t="shared" si="3"/>
        <v>1.43384156447223</v>
      </c>
      <c r="V21" s="13">
        <f t="shared" si="3"/>
        <v>1.71416488639111</v>
      </c>
      <c r="W21" s="13">
        <f t="shared" si="3"/>
        <v>0</v>
      </c>
      <c r="X21" s="13">
        <f t="shared" si="3"/>
        <v>2.15365443485436</v>
      </c>
      <c r="Y21" s="13">
        <f t="shared" si="3"/>
        <v>1.76260031229354</v>
      </c>
      <c r="Z21" s="13">
        <f t="shared" si="3"/>
        <v>1.43918978931323</v>
      </c>
      <c r="AA21" s="13">
        <f t="shared" si="3"/>
        <v>1.91909170794953</v>
      </c>
      <c r="AB21" s="13">
        <f t="shared" si="3"/>
        <v>2.59898213597959</v>
      </c>
      <c r="AC21" s="13">
        <f t="shared" si="3"/>
        <v>2.38760030926125</v>
      </c>
      <c r="AD21" s="13">
        <f t="shared" si="2"/>
        <v>2.19540428798246</v>
      </c>
      <c r="AE21" s="13">
        <f t="shared" si="3"/>
        <v>1.55445680338035</v>
      </c>
      <c r="AF21" s="13">
        <f t="shared" si="3"/>
        <v>2.74726939429237</v>
      </c>
      <c r="AG21" s="13">
        <f t="shared" si="3"/>
        <v>1.84420830001207</v>
      </c>
      <c r="AH21" s="13">
        <f t="shared" si="3"/>
        <v>1.70781337353895</v>
      </c>
      <c r="AI21" s="13">
        <f t="shared" si="3"/>
        <v>1.7363729190058</v>
      </c>
    </row>
    <row r="22" spans="1:35">
      <c r="A22" s="15" t="s">
        <v>33</v>
      </c>
      <c r="B22" s="2">
        <v>2.22528319692003</v>
      </c>
      <c r="C22" s="15"/>
      <c r="D22" s="14" t="s">
        <v>19</v>
      </c>
      <c r="E22" s="13">
        <f t="shared" si="4"/>
        <v>0.275556546256468</v>
      </c>
      <c r="F22" s="13">
        <f t="shared" si="4"/>
        <v>0.317661233234451</v>
      </c>
      <c r="G22" s="13">
        <f t="shared" si="4"/>
        <v>0.782089096220816</v>
      </c>
      <c r="H22" s="13">
        <f t="shared" si="4"/>
        <v>0.874745229710056</v>
      </c>
      <c r="I22" s="13">
        <f t="shared" si="4"/>
        <v>0.520759133454139</v>
      </c>
      <c r="J22" s="13">
        <f t="shared" si="4"/>
        <v>0.569534617222113</v>
      </c>
      <c r="K22" s="13">
        <f t="shared" si="4"/>
        <v>0.705488669646012</v>
      </c>
      <c r="L22" s="13">
        <f t="shared" si="4"/>
        <v>0.829565475562995</v>
      </c>
      <c r="M22" s="13">
        <f t="shared" si="4"/>
        <v>0.264070324549217</v>
      </c>
      <c r="N22" s="13">
        <f t="shared" si="4"/>
        <v>0.376555364450272</v>
      </c>
      <c r="O22" s="13">
        <f t="shared" si="4"/>
        <v>0.406168720620049</v>
      </c>
      <c r="P22" s="13">
        <f t="shared" si="4"/>
        <v>0.894966345430221</v>
      </c>
      <c r="Q22" s="13">
        <f t="shared" si="4"/>
        <v>0.471586223987087</v>
      </c>
      <c r="R22" s="13">
        <f t="shared" si="4"/>
        <v>0.904622328037509</v>
      </c>
      <c r="S22" s="13">
        <f t="shared" si="4"/>
        <v>0.527628845047074</v>
      </c>
      <c r="T22" s="13">
        <f t="shared" si="4"/>
        <v>0.831598830216958</v>
      </c>
      <c r="U22" s="13">
        <f t="shared" si="3"/>
        <v>0.665771416837908</v>
      </c>
      <c r="V22" s="13">
        <f t="shared" si="3"/>
        <v>0.795933116589814</v>
      </c>
      <c r="W22" s="13">
        <f t="shared" si="3"/>
        <v>0.464327045145301</v>
      </c>
      <c r="X22" s="13">
        <f t="shared" si="3"/>
        <v>0</v>
      </c>
      <c r="Y22" s="13">
        <f t="shared" si="3"/>
        <v>0.818422994779445</v>
      </c>
      <c r="Z22" s="13">
        <f t="shared" si="3"/>
        <v>0.668254742275103</v>
      </c>
      <c r="AA22" s="13">
        <f t="shared" si="3"/>
        <v>0.891086182115053</v>
      </c>
      <c r="AB22" s="13">
        <f t="shared" si="3"/>
        <v>1.20677769558483</v>
      </c>
      <c r="AC22" s="13">
        <f t="shared" si="3"/>
        <v>1.10862739658728</v>
      </c>
      <c r="AD22" s="13">
        <f t="shared" si="2"/>
        <v>1.01938558593822</v>
      </c>
      <c r="AE22" s="13">
        <f t="shared" si="3"/>
        <v>0.721776334319608</v>
      </c>
      <c r="AF22" s="13">
        <f t="shared" si="3"/>
        <v>1.2756314800699</v>
      </c>
      <c r="AG22" s="13">
        <f t="shared" si="3"/>
        <v>0.856315790577045</v>
      </c>
      <c r="AH22" s="13">
        <f t="shared" si="3"/>
        <v>0.79298393739497</v>
      </c>
      <c r="AI22" s="13">
        <f t="shared" si="3"/>
        <v>0.806244906752284</v>
      </c>
    </row>
    <row r="23" spans="1:35">
      <c r="A23" s="15" t="s">
        <v>33</v>
      </c>
      <c r="B23" s="2">
        <v>2.71898909379949</v>
      </c>
      <c r="C23" s="15"/>
      <c r="D23" s="14" t="s">
        <v>20</v>
      </c>
      <c r="E23" s="13">
        <f t="shared" si="4"/>
        <v>0.336692087116549</v>
      </c>
      <c r="F23" s="13">
        <f t="shared" si="4"/>
        <v>0.388138206356307</v>
      </c>
      <c r="G23" s="13">
        <f t="shared" si="4"/>
        <v>0.955604988141346</v>
      </c>
      <c r="H23" s="13">
        <f t="shared" si="4"/>
        <v>1.06881800155895</v>
      </c>
      <c r="I23" s="13">
        <f t="shared" si="4"/>
        <v>0.636295823523968</v>
      </c>
      <c r="J23" s="13">
        <f t="shared" si="4"/>
        <v>0.695892736219607</v>
      </c>
      <c r="K23" s="13">
        <f t="shared" si="4"/>
        <v>0.862009833724348</v>
      </c>
      <c r="L23" s="13">
        <f t="shared" si="4"/>
        <v>1.01361457443721</v>
      </c>
      <c r="M23" s="13">
        <f t="shared" si="4"/>
        <v>0.322657508688867</v>
      </c>
      <c r="N23" s="13">
        <f t="shared" si="4"/>
        <v>0.460098710388446</v>
      </c>
      <c r="O23" s="13">
        <f t="shared" si="4"/>
        <v>0.496282146531705</v>
      </c>
      <c r="P23" s="13">
        <f t="shared" si="4"/>
        <v>1.09352541551133</v>
      </c>
      <c r="Q23" s="13">
        <f t="shared" si="4"/>
        <v>0.576213311448041</v>
      </c>
      <c r="R23" s="13">
        <f t="shared" si="4"/>
        <v>1.10532369423625</v>
      </c>
      <c r="S23" s="13">
        <f t="shared" si="4"/>
        <v>0.644689663429195</v>
      </c>
      <c r="T23" s="13">
        <f t="shared" si="4"/>
        <v>1.01609905332763</v>
      </c>
      <c r="U23" s="13">
        <f t="shared" si="3"/>
        <v>0.813480829698981</v>
      </c>
      <c r="V23" s="13">
        <f t="shared" si="3"/>
        <v>0.972520471280635</v>
      </c>
      <c r="W23" s="13">
        <f t="shared" si="3"/>
        <v>0.567343596290854</v>
      </c>
      <c r="X23" s="13">
        <f t="shared" si="3"/>
        <v>1.22186205223802</v>
      </c>
      <c r="Y23" s="13">
        <f t="shared" si="3"/>
        <v>0</v>
      </c>
      <c r="Z23" s="13">
        <f t="shared" si="3"/>
        <v>0.816515110814047</v>
      </c>
      <c r="AA23" s="13">
        <f t="shared" si="3"/>
        <v>1.08878439120004</v>
      </c>
      <c r="AB23" s="13">
        <f t="shared" si="3"/>
        <v>1.47451587172235</v>
      </c>
      <c r="AC23" s="13">
        <f t="shared" si="3"/>
        <v>1.35458974596143</v>
      </c>
      <c r="AD23" s="13">
        <f t="shared" si="2"/>
        <v>1.24554856405633</v>
      </c>
      <c r="AE23" s="13">
        <f t="shared" si="3"/>
        <v>0.881911113108593</v>
      </c>
      <c r="AF23" s="13">
        <f t="shared" si="3"/>
        <v>1.55864569813763</v>
      </c>
      <c r="AG23" s="13">
        <f t="shared" si="3"/>
        <v>1.04629976923829</v>
      </c>
      <c r="AH23" s="13">
        <f t="shared" si="3"/>
        <v>0.968916981137205</v>
      </c>
      <c r="AI23" s="13">
        <f t="shared" si="3"/>
        <v>0.985120056370798</v>
      </c>
    </row>
    <row r="24" spans="1:35">
      <c r="A24" s="15" t="s">
        <v>33</v>
      </c>
      <c r="B24" s="2">
        <v>3.32999237587743</v>
      </c>
      <c r="C24" s="15"/>
      <c r="D24" s="14" t="s">
        <v>21</v>
      </c>
      <c r="E24" s="13">
        <f t="shared" si="4"/>
        <v>0.412352548847351</v>
      </c>
      <c r="F24" s="13">
        <f t="shared" si="4"/>
        <v>0.475359489635583</v>
      </c>
      <c r="G24" s="13">
        <f t="shared" si="4"/>
        <v>1.17034574802741</v>
      </c>
      <c r="H24" s="13">
        <f t="shared" si="4"/>
        <v>1.30899965892041</v>
      </c>
      <c r="I24" s="13">
        <f t="shared" si="4"/>
        <v>0.779282361216311</v>
      </c>
      <c r="J24" s="13">
        <f t="shared" si="4"/>
        <v>0.852271717942633</v>
      </c>
      <c r="K24" s="13">
        <f t="shared" si="4"/>
        <v>1.0557181640704</v>
      </c>
      <c r="L24" s="13">
        <f t="shared" si="4"/>
        <v>1.24139107900485</v>
      </c>
      <c r="M24" s="13">
        <f t="shared" si="4"/>
        <v>0.395164160975766</v>
      </c>
      <c r="N24" s="13">
        <f t="shared" si="4"/>
        <v>0.56349074780715</v>
      </c>
      <c r="O24" s="13">
        <f t="shared" si="4"/>
        <v>0.607805219963318</v>
      </c>
      <c r="P24" s="13">
        <f t="shared" si="4"/>
        <v>1.33925925072117</v>
      </c>
      <c r="Q24" s="13">
        <f t="shared" si="4"/>
        <v>0.705698282636275</v>
      </c>
      <c r="R24" s="13">
        <f t="shared" si="4"/>
        <v>1.35370880415705</v>
      </c>
      <c r="S24" s="13">
        <f t="shared" si="4"/>
        <v>0.789562440291465</v>
      </c>
      <c r="T24" s="13">
        <f t="shared" si="4"/>
        <v>1.24443386272987</v>
      </c>
      <c r="U24" s="13">
        <f t="shared" si="3"/>
        <v>0.996283864101375</v>
      </c>
      <c r="V24" s="13">
        <f t="shared" si="3"/>
        <v>1.19106242909706</v>
      </c>
      <c r="W24" s="13">
        <f t="shared" si="3"/>
        <v>0.694835391013432</v>
      </c>
      <c r="X24" s="13">
        <f t="shared" si="3"/>
        <v>1.49643532134984</v>
      </c>
      <c r="Y24" s="13">
        <f t="shared" si="3"/>
        <v>1.22471707719288</v>
      </c>
      <c r="Z24" s="13">
        <f t="shared" si="3"/>
        <v>0</v>
      </c>
      <c r="AA24" s="13">
        <f t="shared" si="3"/>
        <v>1.33345283728374</v>
      </c>
      <c r="AB24" s="13">
        <f t="shared" si="3"/>
        <v>1.8058647686903</v>
      </c>
      <c r="AC24" s="13">
        <f t="shared" si="3"/>
        <v>1.65898919446933</v>
      </c>
      <c r="AD24" s="13">
        <f t="shared" si="2"/>
        <v>1.52544459687286</v>
      </c>
      <c r="AE24" s="13">
        <f t="shared" si="3"/>
        <v>1.08009160079027</v>
      </c>
      <c r="AF24" s="13">
        <f t="shared" si="3"/>
        <v>1.90890000380238</v>
      </c>
      <c r="AG24" s="13">
        <f t="shared" si="3"/>
        <v>1.28142119524911</v>
      </c>
      <c r="AH24" s="13">
        <f t="shared" si="3"/>
        <v>1.18664917318091</v>
      </c>
      <c r="AI24" s="13">
        <f t="shared" si="3"/>
        <v>1.20649335612253</v>
      </c>
    </row>
    <row r="25" spans="1:35">
      <c r="A25" s="15" t="s">
        <v>33</v>
      </c>
      <c r="B25" s="2">
        <v>2.49727045664446</v>
      </c>
      <c r="C25" s="15"/>
      <c r="D25" s="14" t="s">
        <v>22</v>
      </c>
      <c r="E25" s="13">
        <f t="shared" si="4"/>
        <v>0.309236695380481</v>
      </c>
      <c r="F25" s="13">
        <f t="shared" si="4"/>
        <v>0.356487665963421</v>
      </c>
      <c r="G25" s="13">
        <f t="shared" si="4"/>
        <v>0.877680646292231</v>
      </c>
      <c r="H25" s="13">
        <f t="shared" si="4"/>
        <v>0.981661759846606</v>
      </c>
      <c r="I25" s="13">
        <f t="shared" si="4"/>
        <v>0.584409391489028</v>
      </c>
      <c r="J25" s="13">
        <f t="shared" si="4"/>
        <v>0.639146503057969</v>
      </c>
      <c r="K25" s="13">
        <f t="shared" si="4"/>
        <v>0.791717663011548</v>
      </c>
      <c r="L25" s="13">
        <f t="shared" si="4"/>
        <v>0.930959869217101</v>
      </c>
      <c r="M25" s="13">
        <f t="shared" si="4"/>
        <v>0.296346559793385</v>
      </c>
      <c r="N25" s="13">
        <f t="shared" si="4"/>
        <v>0.422580185854181</v>
      </c>
      <c r="O25" s="13">
        <f t="shared" si="4"/>
        <v>0.455813061376376</v>
      </c>
      <c r="P25" s="13">
        <f t="shared" si="4"/>
        <v>1.00435441980029</v>
      </c>
      <c r="Q25" s="13">
        <f t="shared" si="4"/>
        <v>0.529226278504</v>
      </c>
      <c r="R25" s="13">
        <f t="shared" si="4"/>
        <v>1.01519061365123</v>
      </c>
      <c r="S25" s="13">
        <f t="shared" si="4"/>
        <v>0.592118759820416</v>
      </c>
      <c r="T25" s="13">
        <f t="shared" si="4"/>
        <v>0.933241752490318</v>
      </c>
      <c r="U25" s="13">
        <f t="shared" si="3"/>
        <v>0.747145932908144</v>
      </c>
      <c r="V25" s="13">
        <f t="shared" si="3"/>
        <v>0.893216764623837</v>
      </c>
      <c r="W25" s="13">
        <f t="shared" si="3"/>
        <v>0.52107983993556</v>
      </c>
      <c r="X25" s="13">
        <f t="shared" si="3"/>
        <v>1.12222590819042</v>
      </c>
      <c r="Y25" s="13">
        <f t="shared" si="3"/>
        <v>0.918455488600287</v>
      </c>
      <c r="Z25" s="13">
        <f t="shared" si="3"/>
        <v>0.749932785052233</v>
      </c>
      <c r="AA25" s="13">
        <f t="shared" si="3"/>
        <v>0</v>
      </c>
      <c r="AB25" s="13">
        <f t="shared" si="3"/>
        <v>1.35427719541162</v>
      </c>
      <c r="AC25" s="13">
        <f t="shared" si="3"/>
        <v>1.24413038697995</v>
      </c>
      <c r="AD25" s="13">
        <f t="shared" si="2"/>
        <v>1.14398091497574</v>
      </c>
      <c r="AE25" s="13">
        <f t="shared" si="3"/>
        <v>0.809996102292175</v>
      </c>
      <c r="AF25" s="13">
        <f t="shared" si="3"/>
        <v>1.43154669623773</v>
      </c>
      <c r="AG25" s="13">
        <f t="shared" si="3"/>
        <v>0.960979765778123</v>
      </c>
      <c r="AH25" s="13">
        <f t="shared" si="3"/>
        <v>0.889907119323486</v>
      </c>
      <c r="AI25" s="13">
        <f t="shared" si="3"/>
        <v>0.904788922703983</v>
      </c>
    </row>
    <row r="26" spans="1:35">
      <c r="A26" s="15" t="s">
        <v>33</v>
      </c>
      <c r="B26" s="2">
        <v>1.84398767483154</v>
      </c>
      <c r="C26" s="15"/>
      <c r="D26" s="14" t="s">
        <v>23</v>
      </c>
      <c r="E26" s="13">
        <f t="shared" si="4"/>
        <v>0.228340768365733</v>
      </c>
      <c r="F26" s="13">
        <f t="shared" si="4"/>
        <v>0.263230945017182</v>
      </c>
      <c r="G26" s="13">
        <f t="shared" si="4"/>
        <v>0.648080503212982</v>
      </c>
      <c r="H26" s="13">
        <f t="shared" si="4"/>
        <v>0.724860289438925</v>
      </c>
      <c r="I26" s="13">
        <f t="shared" si="4"/>
        <v>0.431528636433548</v>
      </c>
      <c r="J26" s="13">
        <f t="shared" si="4"/>
        <v>0.471946589090799</v>
      </c>
      <c r="K26" s="13">
        <f t="shared" si="4"/>
        <v>0.584605327250534</v>
      </c>
      <c r="L26" s="13">
        <f t="shared" si="4"/>
        <v>0.687421949045034</v>
      </c>
      <c r="M26" s="13">
        <f t="shared" si="4"/>
        <v>0.218822675887496</v>
      </c>
      <c r="N26" s="13">
        <f t="shared" si="4"/>
        <v>0.312033745592047</v>
      </c>
      <c r="O26" s="13">
        <f t="shared" si="4"/>
        <v>0.33657294305826</v>
      </c>
      <c r="P26" s="13">
        <f t="shared" si="4"/>
        <v>0.741616578351247</v>
      </c>
      <c r="Q26" s="13">
        <f t="shared" si="4"/>
        <v>0.390781355764574</v>
      </c>
      <c r="R26" s="13">
        <f t="shared" si="4"/>
        <v>0.74961803764455</v>
      </c>
      <c r="S26" s="13">
        <f t="shared" si="4"/>
        <v>0.437221243794513</v>
      </c>
      <c r="T26" s="13">
        <f t="shared" si="4"/>
        <v>0.689106894550243</v>
      </c>
      <c r="U26" s="13">
        <f t="shared" si="3"/>
        <v>0.551693505169784</v>
      </c>
      <c r="V26" s="13">
        <f t="shared" si="3"/>
        <v>0.659552392708162</v>
      </c>
      <c r="W26" s="13">
        <f t="shared" si="3"/>
        <v>0.384766015185821</v>
      </c>
      <c r="X26" s="13">
        <f t="shared" si="3"/>
        <v>0.828653034986185</v>
      </c>
      <c r="Y26" s="13">
        <f t="shared" si="3"/>
        <v>0.678188698526469</v>
      </c>
      <c r="Z26" s="13">
        <f t="shared" si="3"/>
        <v>0.553751320330174</v>
      </c>
      <c r="AA26" s="13">
        <f t="shared" si="3"/>
        <v>0.73840126924389</v>
      </c>
      <c r="AB26" s="13">
        <f t="shared" si="3"/>
        <v>0</v>
      </c>
      <c r="AC26" s="13">
        <f t="shared" si="3"/>
        <v>0.918667456850885</v>
      </c>
      <c r="AD26" s="13">
        <f t="shared" si="2"/>
        <v>0.844716959608875</v>
      </c>
      <c r="AE26" s="13">
        <f t="shared" si="3"/>
        <v>0.598102150015146</v>
      </c>
      <c r="AF26" s="13">
        <f t="shared" si="3"/>
        <v>1.05705589748384</v>
      </c>
      <c r="AG26" s="13">
        <f t="shared" si="3"/>
        <v>0.709588678768263</v>
      </c>
      <c r="AH26" s="13">
        <f t="shared" si="3"/>
        <v>0.657108546417636</v>
      </c>
      <c r="AI26" s="13">
        <f t="shared" si="3"/>
        <v>0.668097288922433</v>
      </c>
    </row>
    <row r="27" spans="1:35">
      <c r="A27" s="15" t="s">
        <v>33</v>
      </c>
      <c r="B27" s="2">
        <v>2.00724175116922</v>
      </c>
      <c r="C27" s="15"/>
      <c r="D27" s="14" t="s">
        <v>24</v>
      </c>
      <c r="E27" s="13">
        <f t="shared" si="4"/>
        <v>0.248556500682484</v>
      </c>
      <c r="F27" s="13">
        <f t="shared" si="4"/>
        <v>0.286535615313419</v>
      </c>
      <c r="G27" s="13">
        <f t="shared" si="4"/>
        <v>0.705457125295966</v>
      </c>
      <c r="H27" s="13">
        <f t="shared" si="4"/>
        <v>0.789034469473519</v>
      </c>
      <c r="I27" s="13">
        <f t="shared" si="4"/>
        <v>0.469733235041102</v>
      </c>
      <c r="J27" s="13">
        <f t="shared" si="4"/>
        <v>0.513729517216809</v>
      </c>
      <c r="K27" s="13">
        <f t="shared" si="4"/>
        <v>0.636362290718898</v>
      </c>
      <c r="L27" s="13">
        <f t="shared" si="4"/>
        <v>0.74828159408352</v>
      </c>
      <c r="M27" s="13">
        <f t="shared" si="4"/>
        <v>0.238195741294246</v>
      </c>
      <c r="N27" s="13">
        <f t="shared" si="4"/>
        <v>0.339659082582148</v>
      </c>
      <c r="O27" s="13">
        <f t="shared" si="4"/>
        <v>0.3663708130165</v>
      </c>
      <c r="P27" s="13">
        <f t="shared" si="4"/>
        <v>0.807274245779258</v>
      </c>
      <c r="Q27" s="13">
        <f t="shared" si="4"/>
        <v>0.425378468400459</v>
      </c>
      <c r="R27" s="13">
        <f t="shared" si="4"/>
        <v>0.815984099637292</v>
      </c>
      <c r="S27" s="13">
        <f t="shared" si="4"/>
        <v>0.475929826983609</v>
      </c>
      <c r="T27" s="13">
        <f t="shared" si="4"/>
        <v>0.750115713157451</v>
      </c>
      <c r="U27" s="13">
        <f t="shared" si="3"/>
        <v>0.600536680662384</v>
      </c>
      <c r="V27" s="13">
        <f t="shared" si="3"/>
        <v>0.717944657546761</v>
      </c>
      <c r="W27" s="13">
        <f t="shared" si="3"/>
        <v>0.418830570644972</v>
      </c>
      <c r="X27" s="13">
        <f t="shared" si="3"/>
        <v>0.902016315922127</v>
      </c>
      <c r="Y27" s="13">
        <f t="shared" si="3"/>
        <v>0.738230894616909</v>
      </c>
      <c r="Z27" s="13">
        <f t="shared" si="3"/>
        <v>0.602776680724478</v>
      </c>
      <c r="AA27" s="13">
        <f t="shared" si="3"/>
        <v>0.803774275160533</v>
      </c>
      <c r="AB27" s="13">
        <f t="shared" si="3"/>
        <v>1.08853317110842</v>
      </c>
      <c r="AC27" s="13">
        <f t="shared" si="3"/>
        <v>0</v>
      </c>
      <c r="AD27" s="13">
        <f t="shared" si="2"/>
        <v>0.91950243073211</v>
      </c>
      <c r="AE27" s="13">
        <f t="shared" si="3"/>
        <v>0.65105403000275</v>
      </c>
      <c r="AF27" s="13">
        <f t="shared" si="3"/>
        <v>1.15064040812694</v>
      </c>
      <c r="AG27" s="13">
        <f t="shared" si="3"/>
        <v>0.77241081468225</v>
      </c>
      <c r="AH27" s="13">
        <f t="shared" si="3"/>
        <v>0.715284449794433</v>
      </c>
      <c r="AI27" s="13">
        <f t="shared" si="3"/>
        <v>0.727246060519674</v>
      </c>
    </row>
    <row r="28" spans="1:35">
      <c r="A28" s="15" t="s">
        <v>33</v>
      </c>
      <c r="B28" s="2">
        <v>2.18296513862508</v>
      </c>
      <c r="C28" s="15"/>
      <c r="D28" s="14" t="s">
        <v>25</v>
      </c>
      <c r="E28" s="13">
        <f t="shared" si="4"/>
        <v>0.270316306270754</v>
      </c>
      <c r="F28" s="13">
        <f t="shared" si="4"/>
        <v>0.311620291297412</v>
      </c>
      <c r="G28" s="13">
        <f t="shared" si="4"/>
        <v>0.767216161390981</v>
      </c>
      <c r="H28" s="13">
        <f t="shared" si="4"/>
        <v>0.85811025952948</v>
      </c>
      <c r="I28" s="13">
        <f t="shared" si="4"/>
        <v>0.51085589264522</v>
      </c>
      <c r="J28" s="13">
        <f t="shared" si="4"/>
        <v>0.55870381637575</v>
      </c>
      <c r="K28" s="13">
        <f t="shared" si="4"/>
        <v>0.692072439887108</v>
      </c>
      <c r="L28" s="13">
        <f t="shared" si="4"/>
        <v>0.813789685675693</v>
      </c>
      <c r="M28" s="13">
        <f t="shared" si="4"/>
        <v>0.259048517255787</v>
      </c>
      <c r="N28" s="13">
        <f t="shared" si="4"/>
        <v>0.369394436849624</v>
      </c>
      <c r="O28" s="13">
        <f t="shared" si="4"/>
        <v>0.398444637851359</v>
      </c>
      <c r="P28" s="13">
        <f t="shared" si="4"/>
        <v>0.877946831675588</v>
      </c>
      <c r="Q28" s="13">
        <f t="shared" si="4"/>
        <v>0.462618101032937</v>
      </c>
      <c r="R28" s="13">
        <f t="shared" si="4"/>
        <v>0.887419187122326</v>
      </c>
      <c r="S28" s="13">
        <f t="shared" si="4"/>
        <v>0.517594963402839</v>
      </c>
      <c r="T28" s="13">
        <f t="shared" si="4"/>
        <v>0.81578437216333</v>
      </c>
      <c r="U28" s="13">
        <f t="shared" si="3"/>
        <v>0.653110487358076</v>
      </c>
      <c r="V28" s="13">
        <f t="shared" si="3"/>
        <v>0.780796910971874</v>
      </c>
      <c r="W28" s="13">
        <f t="shared" si="3"/>
        <v>0.45549696949849</v>
      </c>
      <c r="X28" s="13">
        <f t="shared" si="3"/>
        <v>0.980983068423146</v>
      </c>
      <c r="Y28" s="13">
        <f t="shared" si="3"/>
        <v>0.8028591006868</v>
      </c>
      <c r="Z28" s="13">
        <f t="shared" si="3"/>
        <v>0.655546587565349</v>
      </c>
      <c r="AA28" s="13">
        <f t="shared" si="3"/>
        <v>0.87414045716069</v>
      </c>
      <c r="AB28" s="13">
        <f t="shared" si="3"/>
        <v>1.18382848671942</v>
      </c>
      <c r="AC28" s="13">
        <f t="shared" si="3"/>
        <v>1.08754470524216</v>
      </c>
      <c r="AD28" s="13">
        <f t="shared" si="2"/>
        <v>0</v>
      </c>
      <c r="AE28" s="13">
        <f t="shared" si="3"/>
        <v>0.708050363156059</v>
      </c>
      <c r="AF28" s="13">
        <f t="shared" si="3"/>
        <v>1.25137288349613</v>
      </c>
      <c r="AG28" s="13">
        <f t="shared" si="3"/>
        <v>0.840031291779462</v>
      </c>
      <c r="AH28" s="13">
        <f t="shared" si="3"/>
        <v>0.777903816115985</v>
      </c>
      <c r="AI28" s="13">
        <f t="shared" si="3"/>
        <v>0.790912602526388</v>
      </c>
    </row>
    <row r="29" spans="1:35">
      <c r="A29" s="15" t="s">
        <v>33</v>
      </c>
      <c r="B29" s="2">
        <v>3.08306478213604</v>
      </c>
      <c r="C29" s="15"/>
      <c r="D29" s="14" t="s">
        <v>26</v>
      </c>
      <c r="E29" s="13">
        <f t="shared" si="4"/>
        <v>0.38177553509873</v>
      </c>
      <c r="F29" s="13">
        <f t="shared" si="4"/>
        <v>0.440110347388847</v>
      </c>
      <c r="G29" s="13">
        <f t="shared" si="4"/>
        <v>1.08356156752917</v>
      </c>
      <c r="H29" s="13">
        <f t="shared" si="4"/>
        <v>1.21193393038391</v>
      </c>
      <c r="I29" s="13">
        <f t="shared" si="4"/>
        <v>0.721496547742923</v>
      </c>
      <c r="J29" s="13">
        <f t="shared" si="4"/>
        <v>0.789073553871771</v>
      </c>
      <c r="K29" s="13">
        <f t="shared" si="4"/>
        <v>0.97743391699182</v>
      </c>
      <c r="L29" s="13">
        <f t="shared" si="4"/>
        <v>1.14933870247352</v>
      </c>
      <c r="M29" s="13">
        <f t="shared" si="4"/>
        <v>0.365861710883257</v>
      </c>
      <c r="N29" s="13">
        <f t="shared" si="4"/>
        <v>0.521706443596875</v>
      </c>
      <c r="O29" s="13">
        <f t="shared" si="4"/>
        <v>0.562734882410532</v>
      </c>
      <c r="P29" s="13">
        <f t="shared" si="4"/>
        <v>1.2399496947678</v>
      </c>
      <c r="Q29" s="13">
        <f t="shared" si="4"/>
        <v>0.653368919932286</v>
      </c>
      <c r="R29" s="13">
        <f t="shared" si="4"/>
        <v>1.25332777624285</v>
      </c>
      <c r="S29" s="13">
        <f t="shared" si="4"/>
        <v>0.731014332223085</v>
      </c>
      <c r="T29" s="13">
        <f t="shared" si="4"/>
        <v>1.1521558558731</v>
      </c>
      <c r="U29" s="13">
        <f t="shared" si="3"/>
        <v>0.922406824914128</v>
      </c>
      <c r="V29" s="13">
        <f t="shared" si="3"/>
        <v>1.10274205282736</v>
      </c>
      <c r="W29" s="13">
        <f t="shared" si="3"/>
        <v>0.64331153997035</v>
      </c>
      <c r="X29" s="13">
        <f t="shared" si="3"/>
        <v>1.38547075105013</v>
      </c>
      <c r="Y29" s="13">
        <f t="shared" si="3"/>
        <v>1.13390112125378</v>
      </c>
      <c r="Z29" s="13">
        <f t="shared" si="3"/>
        <v>0.9258473996727</v>
      </c>
      <c r="AA29" s="13">
        <f t="shared" si="3"/>
        <v>1.23457384198534</v>
      </c>
      <c r="AB29" s="13">
        <f t="shared" si="3"/>
        <v>1.67195520025246</v>
      </c>
      <c r="AC29" s="13">
        <f t="shared" si="3"/>
        <v>1.53597083178454</v>
      </c>
      <c r="AD29" s="13">
        <f t="shared" si="2"/>
        <v>1.4123289133595</v>
      </c>
      <c r="AE29" s="13">
        <f t="shared" si="3"/>
        <v>0</v>
      </c>
      <c r="AF29" s="13">
        <f t="shared" si="3"/>
        <v>1.76735010475564</v>
      </c>
      <c r="AG29" s="13">
        <f t="shared" si="3"/>
        <v>1.18640048150687</v>
      </c>
      <c r="AH29" s="13">
        <f t="shared" si="3"/>
        <v>1.0986560513133</v>
      </c>
      <c r="AI29" s="13">
        <f t="shared" si="3"/>
        <v>1.11702873648843</v>
      </c>
    </row>
    <row r="30" spans="1:35">
      <c r="A30" s="15" t="s">
        <v>33</v>
      </c>
      <c r="B30" s="2">
        <v>1.74445616283952</v>
      </c>
      <c r="C30" s="15"/>
      <c r="D30" s="14" t="s">
        <v>27</v>
      </c>
      <c r="E30" s="13">
        <f t="shared" si="4"/>
        <v>0.216015793402471</v>
      </c>
      <c r="F30" s="13">
        <f t="shared" si="4"/>
        <v>0.249022729681338</v>
      </c>
      <c r="G30" s="13">
        <f t="shared" si="4"/>
        <v>0.613099557701384</v>
      </c>
      <c r="H30" s="13">
        <f t="shared" si="4"/>
        <v>0.685735060146151</v>
      </c>
      <c r="I30" s="13">
        <f t="shared" si="4"/>
        <v>0.408236345363321</v>
      </c>
      <c r="J30" s="13">
        <f t="shared" si="4"/>
        <v>0.446472689111517</v>
      </c>
      <c r="K30" s="13">
        <f t="shared" si="4"/>
        <v>0.553050532750536</v>
      </c>
      <c r="L30" s="13">
        <f t="shared" si="4"/>
        <v>0.65031750040971</v>
      </c>
      <c r="M30" s="13">
        <f t="shared" si="4"/>
        <v>0.207011451720169</v>
      </c>
      <c r="N30" s="13">
        <f t="shared" si="4"/>
        <v>0.29519133882588</v>
      </c>
      <c r="O30" s="13">
        <f t="shared" si="4"/>
        <v>0.318406002804033</v>
      </c>
      <c r="P30" s="13">
        <f t="shared" si="4"/>
        <v>0.701586907671157</v>
      </c>
      <c r="Q30" s="13">
        <f t="shared" si="4"/>
        <v>0.369688449489539</v>
      </c>
      <c r="R30" s="13">
        <f t="shared" si="4"/>
        <v>0.709156478317657</v>
      </c>
      <c r="S30" s="13">
        <f t="shared" si="4"/>
        <v>0.41362168721186</v>
      </c>
      <c r="T30" s="13">
        <f t="shared" si="4"/>
        <v>0.651911498900443</v>
      </c>
      <c r="U30" s="13">
        <f t="shared" si="3"/>
        <v>0.521915166911235</v>
      </c>
      <c r="V30" s="13">
        <f t="shared" si="3"/>
        <v>0.623952237793787</v>
      </c>
      <c r="W30" s="13">
        <f t="shared" si="3"/>
        <v>0.363997794347203</v>
      </c>
      <c r="X30" s="13">
        <f t="shared" si="3"/>
        <v>0.78392546407306</v>
      </c>
      <c r="Y30" s="13">
        <f t="shared" si="3"/>
        <v>0.64158262599054</v>
      </c>
      <c r="Z30" s="13">
        <f t="shared" si="3"/>
        <v>0.523861908957033</v>
      </c>
      <c r="AA30" s="13">
        <f t="shared" si="3"/>
        <v>0.698545148843634</v>
      </c>
      <c r="AB30" s="13">
        <f t="shared" si="3"/>
        <v>0.946023765044352</v>
      </c>
      <c r="AC30" s="13">
        <f t="shared" si="3"/>
        <v>0.869081246353795</v>
      </c>
      <c r="AD30" s="13">
        <f t="shared" si="2"/>
        <v>0.799122318526006</v>
      </c>
      <c r="AE30" s="13">
        <f t="shared" si="3"/>
        <v>0.565818847838451</v>
      </c>
      <c r="AF30" s="13">
        <f t="shared" si="3"/>
        <v>0</v>
      </c>
      <c r="AG30" s="13">
        <f t="shared" si="3"/>
        <v>0.6712877535212</v>
      </c>
      <c r="AH30" s="13">
        <f t="shared" si="3"/>
        <v>0.621640301124834</v>
      </c>
      <c r="AI30" s="13">
        <f t="shared" si="3"/>
        <v>0.632035912682325</v>
      </c>
    </row>
    <row r="31" spans="1:35">
      <c r="A31" s="15" t="s">
        <v>33</v>
      </c>
      <c r="B31" s="2">
        <v>2.59867121616487</v>
      </c>
      <c r="C31" s="15"/>
      <c r="D31" s="14" t="s">
        <v>28</v>
      </c>
      <c r="E31" s="13">
        <f t="shared" si="4"/>
        <v>0.321793139036685</v>
      </c>
      <c r="F31" s="13">
        <f t="shared" si="4"/>
        <v>0.370962718111724</v>
      </c>
      <c r="G31" s="13">
        <f t="shared" si="4"/>
        <v>0.913318550033732</v>
      </c>
      <c r="H31" s="13">
        <f t="shared" si="4"/>
        <v>1.02152177892293</v>
      </c>
      <c r="I31" s="13">
        <f t="shared" si="4"/>
        <v>0.608139122487996</v>
      </c>
      <c r="J31" s="13">
        <f t="shared" si="4"/>
        <v>0.665098814583719</v>
      </c>
      <c r="K31" s="13">
        <f t="shared" si="4"/>
        <v>0.823865071051188</v>
      </c>
      <c r="L31" s="13">
        <f t="shared" si="4"/>
        <v>0.968761156446708</v>
      </c>
      <c r="M31" s="13">
        <f t="shared" si="4"/>
        <v>0.308379604177646</v>
      </c>
      <c r="N31" s="13">
        <f t="shared" si="4"/>
        <v>0.439738900758239</v>
      </c>
      <c r="O31" s="13">
        <f t="shared" si="4"/>
        <v>0.474321185116001</v>
      </c>
      <c r="P31" s="13">
        <f t="shared" si="4"/>
        <v>1.04513586608876</v>
      </c>
      <c r="Q31" s="13">
        <f t="shared" si="4"/>
        <v>0.550715319250739</v>
      </c>
      <c r="R31" s="13">
        <f t="shared" si="4"/>
        <v>1.05641205965373</v>
      </c>
      <c r="S31" s="13">
        <f t="shared" si="4"/>
        <v>0.616161526919317</v>
      </c>
      <c r="T31" s="13">
        <f t="shared" si="4"/>
        <v>0.971135694761122</v>
      </c>
      <c r="U31" s="13">
        <f t="shared" si="3"/>
        <v>0.777483522041868</v>
      </c>
      <c r="V31" s="13">
        <f t="shared" si="3"/>
        <v>0.929485506805216</v>
      </c>
      <c r="W31" s="13">
        <f t="shared" si="3"/>
        <v>0.542238097504199</v>
      </c>
      <c r="X31" s="13">
        <f t="shared" si="3"/>
        <v>1.16779348343691</v>
      </c>
      <c r="Y31" s="13">
        <f t="shared" si="3"/>
        <v>0.955749039998356</v>
      </c>
      <c r="Z31" s="13">
        <f t="shared" si="3"/>
        <v>0.780383533304677</v>
      </c>
      <c r="AA31" s="13">
        <f t="shared" si="3"/>
        <v>1.04060463665463</v>
      </c>
      <c r="AB31" s="13">
        <f t="shared" si="3"/>
        <v>1.40926712886097</v>
      </c>
      <c r="AC31" s="13">
        <f t="shared" si="3"/>
        <v>1.29464784929426</v>
      </c>
      <c r="AD31" s="13">
        <f t="shared" si="2"/>
        <v>1.19043184436817</v>
      </c>
      <c r="AE31" s="13">
        <f t="shared" si="3"/>
        <v>0.842885699717419</v>
      </c>
      <c r="AF31" s="13">
        <f t="shared" si="3"/>
        <v>1.48967412969261</v>
      </c>
      <c r="AG31" s="13">
        <f t="shared" si="3"/>
        <v>0</v>
      </c>
      <c r="AH31" s="13">
        <f t="shared" si="3"/>
        <v>0.926041474559989</v>
      </c>
      <c r="AI31" s="13">
        <f t="shared" si="3"/>
        <v>0.941527548159517</v>
      </c>
    </row>
    <row r="32" spans="1:35">
      <c r="A32" s="15" t="s">
        <v>33</v>
      </c>
      <c r="B32" s="2">
        <v>2.80621471883819</v>
      </c>
      <c r="C32" s="15"/>
      <c r="D32" s="14" t="s">
        <v>29</v>
      </c>
      <c r="E32" s="13">
        <f t="shared" si="4"/>
        <v>0.34749322560265</v>
      </c>
      <c r="F32" s="13">
        <f t="shared" si="4"/>
        <v>0.400589744954985</v>
      </c>
      <c r="G32" s="13">
        <f t="shared" si="4"/>
        <v>0.986260956041627</v>
      </c>
      <c r="H32" s="13">
        <f t="shared" si="4"/>
        <v>1.10310586187115</v>
      </c>
      <c r="I32" s="13">
        <f t="shared" si="4"/>
        <v>0.65670830000023</v>
      </c>
      <c r="J32" s="13">
        <f t="shared" si="4"/>
        <v>0.718217091626206</v>
      </c>
      <c r="K32" s="13">
        <f t="shared" si="4"/>
        <v>0.889663253411679</v>
      </c>
      <c r="L32" s="13">
        <f t="shared" si="4"/>
        <v>1.04613149957135</v>
      </c>
      <c r="M32" s="13">
        <f t="shared" si="4"/>
        <v>0.333008415550906</v>
      </c>
      <c r="N32" s="13">
        <f t="shared" si="4"/>
        <v>0.474858753996069</v>
      </c>
      <c r="O32" s="13">
        <f t="shared" si="4"/>
        <v>0.512202960824596</v>
      </c>
      <c r="P32" s="13">
        <f t="shared" si="4"/>
        <v>1.12860589379688</v>
      </c>
      <c r="Q32" s="13">
        <f t="shared" si="4"/>
        <v>0.5946983308846</v>
      </c>
      <c r="R32" s="13">
        <f t="shared" si="4"/>
        <v>1.14078266327724</v>
      </c>
      <c r="S32" s="13">
        <f t="shared" si="4"/>
        <v>0.665371415693976</v>
      </c>
      <c r="T32" s="13">
        <f t="shared" si="4"/>
        <v>1.04869568096025</v>
      </c>
      <c r="U32" s="13">
        <f t="shared" si="3"/>
        <v>0.83957743081787</v>
      </c>
      <c r="V32" s="13">
        <f t="shared" si="3"/>
        <v>1.00371909071013</v>
      </c>
      <c r="W32" s="13">
        <f t="shared" si="3"/>
        <v>0.585544073781193</v>
      </c>
      <c r="X32" s="13">
        <f t="shared" si="3"/>
        <v>1.26105959130156</v>
      </c>
      <c r="Y32" s="13">
        <f t="shared" si="3"/>
        <v>1.03208016730836</v>
      </c>
      <c r="Z32" s="13">
        <f t="shared" si="3"/>
        <v>0.842709052178768</v>
      </c>
      <c r="AA32" s="13">
        <f t="shared" si="3"/>
        <v>1.12371277663247</v>
      </c>
      <c r="AB32" s="13">
        <f t="shared" si="3"/>
        <v>1.52181858758604</v>
      </c>
      <c r="AC32" s="13">
        <f t="shared" si="3"/>
        <v>1.39804521164607</v>
      </c>
      <c r="AD32" s="13">
        <f t="shared" si="2"/>
        <v>1.28550597038195</v>
      </c>
      <c r="AE32" s="13">
        <f t="shared" si="3"/>
        <v>0.910202969168221</v>
      </c>
      <c r="AF32" s="13">
        <f t="shared" si="3"/>
        <v>1.60864731290835</v>
      </c>
      <c r="AG32" s="13">
        <f t="shared" si="3"/>
        <v>1.07986524089016</v>
      </c>
      <c r="AH32" s="13">
        <f t="shared" si="3"/>
        <v>0</v>
      </c>
      <c r="AI32" s="13">
        <f t="shared" si="3"/>
        <v>1.016722872598</v>
      </c>
    </row>
    <row r="33" spans="1:35">
      <c r="A33" s="15" t="s">
        <v>33</v>
      </c>
      <c r="B33" s="2">
        <v>2.76005861033457</v>
      </c>
      <c r="C33" s="15"/>
      <c r="D33" s="14" t="s">
        <v>30</v>
      </c>
      <c r="E33" s="13">
        <f t="shared" si="4"/>
        <v>0.341777720328758</v>
      </c>
      <c r="F33" s="13">
        <f t="shared" si="4"/>
        <v>0.394000917803071</v>
      </c>
      <c r="G33" s="13">
        <f t="shared" si="4"/>
        <v>0.970039115498079</v>
      </c>
      <c r="H33" s="13">
        <f t="shared" si="4"/>
        <v>1.08496217760148</v>
      </c>
      <c r="I33" s="13">
        <f t="shared" si="4"/>
        <v>0.645906881510559</v>
      </c>
      <c r="J33" s="13">
        <f t="shared" si="4"/>
        <v>0.706403987736571</v>
      </c>
      <c r="K33" s="13">
        <f t="shared" si="4"/>
        <v>0.875030234284347</v>
      </c>
      <c r="L33" s="13">
        <f t="shared" si="4"/>
        <v>1.0289249192341</v>
      </c>
      <c r="M33" s="13">
        <f t="shared" si="4"/>
        <v>0.327531153794132</v>
      </c>
      <c r="N33" s="13">
        <f t="shared" si="4"/>
        <v>0.4670483637126</v>
      </c>
      <c r="O33" s="13">
        <f t="shared" si="4"/>
        <v>0.503778339829989</v>
      </c>
      <c r="P33" s="13">
        <f t="shared" si="4"/>
        <v>1.11004278964729</v>
      </c>
      <c r="Q33" s="13">
        <f t="shared" si="4"/>
        <v>0.584916841070948</v>
      </c>
      <c r="R33" s="13">
        <f t="shared" si="4"/>
        <v>1.12201927784141</v>
      </c>
      <c r="S33" s="13">
        <f t="shared" si="4"/>
        <v>0.654427507855484</v>
      </c>
      <c r="T33" s="13">
        <f t="shared" si="4"/>
        <v>1.03144692543461</v>
      </c>
      <c r="U33" s="13">
        <f t="shared" si="3"/>
        <v>0.825768214176718</v>
      </c>
      <c r="V33" s="13">
        <f t="shared" si="3"/>
        <v>0.987210101947797</v>
      </c>
      <c r="W33" s="13">
        <f t="shared" si="3"/>
        <v>0.5759131515208</v>
      </c>
      <c r="X33" s="13">
        <f t="shared" si="3"/>
        <v>1.24031791286372</v>
      </c>
      <c r="Y33" s="13">
        <f t="shared" si="3"/>
        <v>1.01510470072452</v>
      </c>
      <c r="Z33" s="13">
        <f t="shared" si="3"/>
        <v>0.828848327199941</v>
      </c>
      <c r="AA33" s="13">
        <f t="shared" si="3"/>
        <v>1.10523015358265</v>
      </c>
      <c r="AB33" s="13">
        <f t="shared" si="3"/>
        <v>1.49678799267827</v>
      </c>
      <c r="AC33" s="13">
        <f t="shared" si="3"/>
        <v>1.37505041867868</v>
      </c>
      <c r="AD33" s="13">
        <f t="shared" si="2"/>
        <v>1.26436220235426</v>
      </c>
      <c r="AE33" s="13">
        <f t="shared" si="3"/>
        <v>0.895232116537725</v>
      </c>
      <c r="AF33" s="13">
        <f t="shared" si="3"/>
        <v>1.58218857494356</v>
      </c>
      <c r="AG33" s="13">
        <f t="shared" si="3"/>
        <v>1.06210381412077</v>
      </c>
      <c r="AH33" s="13">
        <f t="shared" si="3"/>
        <v>0.983552182164187</v>
      </c>
      <c r="AI33" s="13">
        <f t="shared" si="3"/>
        <v>0</v>
      </c>
    </row>
    <row r="34" spans="1:3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</row>
    <row r="35" spans="1:66">
      <c r="A35" s="13"/>
      <c r="B35" s="16" t="s">
        <v>34</v>
      </c>
      <c r="C35" s="16"/>
      <c r="D35" s="13"/>
      <c r="E35" s="14" t="s">
        <v>0</v>
      </c>
      <c r="F35" s="14" t="s">
        <v>1</v>
      </c>
      <c r="G35" s="14" t="s">
        <v>2</v>
      </c>
      <c r="H35" s="14" t="s">
        <v>3</v>
      </c>
      <c r="I35" s="14" t="s">
        <v>4</v>
      </c>
      <c r="J35" s="14" t="s">
        <v>5</v>
      </c>
      <c r="K35" s="14" t="s">
        <v>6</v>
      </c>
      <c r="L35" s="14" t="s">
        <v>7</v>
      </c>
      <c r="M35" s="14" t="s">
        <v>8</v>
      </c>
      <c r="N35" s="14" t="s">
        <v>9</v>
      </c>
      <c r="O35" s="14" t="s">
        <v>10</v>
      </c>
      <c r="P35" s="14" t="s">
        <v>11</v>
      </c>
      <c r="Q35" s="14" t="s">
        <v>12</v>
      </c>
      <c r="R35" s="14" t="s">
        <v>13</v>
      </c>
      <c r="S35" s="14" t="s">
        <v>14</v>
      </c>
      <c r="T35" s="14" t="s">
        <v>15</v>
      </c>
      <c r="U35" s="14" t="s">
        <v>16</v>
      </c>
      <c r="V35" s="14" t="s">
        <v>17</v>
      </c>
      <c r="W35" s="14" t="s">
        <v>18</v>
      </c>
      <c r="X35" s="14" t="s">
        <v>19</v>
      </c>
      <c r="Y35" s="14" t="s">
        <v>20</v>
      </c>
      <c r="Z35" s="14" t="s">
        <v>21</v>
      </c>
      <c r="AA35" s="14" t="s">
        <v>22</v>
      </c>
      <c r="AB35" s="14" t="s">
        <v>23</v>
      </c>
      <c r="AC35" s="14" t="s">
        <v>24</v>
      </c>
      <c r="AD35" s="14" t="s">
        <v>25</v>
      </c>
      <c r="AE35" s="14" t="s">
        <v>26</v>
      </c>
      <c r="AF35" s="14" t="s">
        <v>27</v>
      </c>
      <c r="AG35" s="14" t="s">
        <v>28</v>
      </c>
      <c r="AH35" s="14" t="s">
        <v>29</v>
      </c>
      <c r="AI35" s="14" t="s">
        <v>30</v>
      </c>
      <c r="AJ35">
        <v>1</v>
      </c>
      <c r="AK35">
        <v>2</v>
      </c>
      <c r="AL35">
        <v>3</v>
      </c>
      <c r="AM35">
        <v>4</v>
      </c>
      <c r="AN35">
        <v>5</v>
      </c>
      <c r="AO35">
        <v>6</v>
      </c>
      <c r="AP35">
        <v>7</v>
      </c>
      <c r="AQ35">
        <v>8</v>
      </c>
      <c r="AR35">
        <v>9</v>
      </c>
      <c r="AS35">
        <v>10</v>
      </c>
      <c r="AT35">
        <v>11</v>
      </c>
      <c r="AU35">
        <v>12</v>
      </c>
      <c r="AV35">
        <v>13</v>
      </c>
      <c r="AW35">
        <v>14</v>
      </c>
      <c r="AX35">
        <v>15</v>
      </c>
      <c r="AY35">
        <v>16</v>
      </c>
      <c r="AZ35">
        <v>17</v>
      </c>
      <c r="BA35">
        <v>18</v>
      </c>
      <c r="BB35">
        <v>19</v>
      </c>
      <c r="BC35">
        <v>20</v>
      </c>
      <c r="BD35">
        <v>21</v>
      </c>
      <c r="BE35">
        <v>22</v>
      </c>
      <c r="BF35">
        <v>23</v>
      </c>
      <c r="BG35">
        <v>24</v>
      </c>
      <c r="BH35">
        <v>25</v>
      </c>
      <c r="BI35">
        <v>26</v>
      </c>
      <c r="BJ35">
        <v>27</v>
      </c>
      <c r="BK35">
        <v>28</v>
      </c>
      <c r="BL35">
        <v>29</v>
      </c>
      <c r="BM35">
        <v>30</v>
      </c>
      <c r="BN35">
        <v>31</v>
      </c>
    </row>
    <row r="36" spans="1:66">
      <c r="A36" s="13"/>
      <c r="B36" s="13"/>
      <c r="C36" s="13"/>
      <c r="D36" s="14" t="s">
        <v>0</v>
      </c>
      <c r="E36" s="13">
        <v>0</v>
      </c>
      <c r="F36" s="13">
        <f t="shared" ref="F36:AC36" si="5">1/ABS(F3)</f>
        <v>0.867454122275891</v>
      </c>
      <c r="G36" s="13">
        <f t="shared" si="5"/>
        <v>0.352333957330441</v>
      </c>
      <c r="H36" s="13">
        <f t="shared" si="5"/>
        <v>0.315013488381988</v>
      </c>
      <c r="I36" s="13">
        <f t="shared" si="5"/>
        <v>0.529143952653756</v>
      </c>
      <c r="J36" s="13">
        <f t="shared" si="5"/>
        <v>0.483827563635178</v>
      </c>
      <c r="K36" s="13">
        <f t="shared" si="5"/>
        <v>0.390589612721536</v>
      </c>
      <c r="L36" s="13">
        <f t="shared" si="5"/>
        <v>0.332169737499572</v>
      </c>
      <c r="M36" s="13">
        <f t="shared" si="5"/>
        <v>1.04349682883474</v>
      </c>
      <c r="N36" s="13">
        <f t="shared" si="5"/>
        <v>0.731782288266557</v>
      </c>
      <c r="O36" s="13">
        <f t="shared" si="5"/>
        <v>0.678428771757237</v>
      </c>
      <c r="P36" s="13">
        <f t="shared" si="5"/>
        <v>0.307895986998265</v>
      </c>
      <c r="Q36" s="13">
        <f t="shared" si="5"/>
        <v>0.584318481415212</v>
      </c>
      <c r="R36" s="13">
        <f t="shared" si="5"/>
        <v>0.304609490298854</v>
      </c>
      <c r="S36" s="13">
        <f t="shared" si="5"/>
        <v>0.522254514405639</v>
      </c>
      <c r="T36" s="13">
        <f t="shared" si="5"/>
        <v>0.331357544339712</v>
      </c>
      <c r="U36" s="13">
        <f t="shared" si="5"/>
        <v>0.413890622648277</v>
      </c>
      <c r="V36" s="13">
        <f t="shared" si="5"/>
        <v>0.346205655365985</v>
      </c>
      <c r="W36" s="13">
        <f t="shared" si="5"/>
        <v>0.593453577898392</v>
      </c>
      <c r="X36" s="13">
        <f t="shared" si="5"/>
        <v>0.275556546256468</v>
      </c>
      <c r="Y36" s="13">
        <f t="shared" si="5"/>
        <v>0.336692087116549</v>
      </c>
      <c r="Z36" s="13">
        <f t="shared" si="5"/>
        <v>0.41235254884735</v>
      </c>
      <c r="AA36" s="13">
        <f t="shared" si="5"/>
        <v>0.309236695380481</v>
      </c>
      <c r="AB36" s="13">
        <f t="shared" si="5"/>
        <v>0.228340768365733</v>
      </c>
      <c r="AC36" s="13">
        <f t="shared" si="5"/>
        <v>0.248556500682485</v>
      </c>
      <c r="AD36" s="13">
        <f t="shared" ref="AD36:AF36" si="6">1/ABS(AD3)</f>
        <v>0.270316306270754</v>
      </c>
      <c r="AE36" s="13">
        <f t="shared" si="6"/>
        <v>0.38177553509873</v>
      </c>
      <c r="AF36" s="13">
        <f t="shared" si="6"/>
        <v>0.216015793402471</v>
      </c>
      <c r="AG36" s="13">
        <f t="shared" ref="AG36:AI45" si="7">1/ABS(AG3)</f>
        <v>0.321793139036685</v>
      </c>
      <c r="AH36" s="13">
        <f t="shared" si="7"/>
        <v>0.34749322560265</v>
      </c>
      <c r="AI36" s="13">
        <f t="shared" si="7"/>
        <v>0.341777720328758</v>
      </c>
      <c r="AJ36" s="13">
        <f>SUM(E36:AI36)</f>
        <v>12.8181330631163</v>
      </c>
      <c r="AK36" s="13">
        <f>$AJ36</f>
        <v>12.8181330631163</v>
      </c>
      <c r="AL36" s="13">
        <f t="shared" ref="AL36:BN44" si="8">$AJ36</f>
        <v>12.8181330631163</v>
      </c>
      <c r="AM36" s="13">
        <f t="shared" si="8"/>
        <v>12.8181330631163</v>
      </c>
      <c r="AN36" s="13">
        <f t="shared" si="8"/>
        <v>12.8181330631163</v>
      </c>
      <c r="AO36" s="13">
        <f t="shared" si="8"/>
        <v>12.8181330631163</v>
      </c>
      <c r="AP36" s="13">
        <f t="shared" si="8"/>
        <v>12.8181330631163</v>
      </c>
      <c r="AQ36" s="13">
        <f t="shared" si="8"/>
        <v>12.8181330631163</v>
      </c>
      <c r="AR36" s="13">
        <f t="shared" si="8"/>
        <v>12.8181330631163</v>
      </c>
      <c r="AS36" s="13">
        <f t="shared" si="8"/>
        <v>12.8181330631163</v>
      </c>
      <c r="AT36" s="13">
        <f t="shared" si="8"/>
        <v>12.8181330631163</v>
      </c>
      <c r="AU36" s="13">
        <f t="shared" si="8"/>
        <v>12.8181330631163</v>
      </c>
      <c r="AV36" s="13">
        <f t="shared" si="8"/>
        <v>12.8181330631163</v>
      </c>
      <c r="AW36" s="13">
        <f t="shared" si="8"/>
        <v>12.8181330631163</v>
      </c>
      <c r="AX36" s="13">
        <f t="shared" si="8"/>
        <v>12.8181330631163</v>
      </c>
      <c r="AY36" s="13">
        <f t="shared" si="8"/>
        <v>12.8181330631163</v>
      </c>
      <c r="AZ36" s="13">
        <f t="shared" si="8"/>
        <v>12.8181330631163</v>
      </c>
      <c r="BA36" s="13">
        <f t="shared" si="8"/>
        <v>12.8181330631163</v>
      </c>
      <c r="BB36" s="13">
        <f t="shared" si="8"/>
        <v>12.8181330631163</v>
      </c>
      <c r="BC36" s="13">
        <f t="shared" si="8"/>
        <v>12.8181330631163</v>
      </c>
      <c r="BD36" s="13">
        <f t="shared" si="8"/>
        <v>12.8181330631163</v>
      </c>
      <c r="BE36" s="13">
        <f t="shared" si="8"/>
        <v>12.8181330631163</v>
      </c>
      <c r="BF36" s="13">
        <f t="shared" si="8"/>
        <v>12.8181330631163</v>
      </c>
      <c r="BG36" s="13">
        <f t="shared" si="8"/>
        <v>12.8181330631163</v>
      </c>
      <c r="BH36" s="13">
        <f t="shared" si="8"/>
        <v>12.8181330631163</v>
      </c>
      <c r="BI36" s="13">
        <f t="shared" si="8"/>
        <v>12.8181330631163</v>
      </c>
      <c r="BJ36" s="13">
        <f t="shared" si="8"/>
        <v>12.8181330631163</v>
      </c>
      <c r="BK36" s="13">
        <f t="shared" si="8"/>
        <v>12.8181330631163</v>
      </c>
      <c r="BL36" s="13">
        <f t="shared" si="8"/>
        <v>12.8181330631163</v>
      </c>
      <c r="BM36" s="13">
        <f t="shared" si="8"/>
        <v>12.8181330631163</v>
      </c>
      <c r="BN36" s="13">
        <f t="shared" si="8"/>
        <v>12.8181330631163</v>
      </c>
    </row>
    <row r="37" spans="1:66">
      <c r="A37" s="13"/>
      <c r="B37" s="13"/>
      <c r="C37" s="13"/>
      <c r="D37" s="14" t="s">
        <v>1</v>
      </c>
      <c r="E37" s="13">
        <f t="shared" ref="E37:E66" si="9">1/ABS(E4)</f>
        <v>1.15279871790378</v>
      </c>
      <c r="F37" s="13">
        <v>0</v>
      </c>
      <c r="G37" s="13">
        <f t="shared" ref="G37:AC37" si="10">1/ABS(G4)</f>
        <v>0.406170134284498</v>
      </c>
      <c r="H37" s="13">
        <f t="shared" si="10"/>
        <v>0.363147145529154</v>
      </c>
      <c r="I37" s="13">
        <f t="shared" si="10"/>
        <v>0.60999647020579</v>
      </c>
      <c r="J37" s="13">
        <f t="shared" si="10"/>
        <v>0.557755795045143</v>
      </c>
      <c r="K37" s="13">
        <f t="shared" si="10"/>
        <v>0.450271204771923</v>
      </c>
      <c r="L37" s="13">
        <f t="shared" si="10"/>
        <v>0.382924847515943</v>
      </c>
      <c r="M37" s="13">
        <f t="shared" si="10"/>
        <v>1.20294180641735</v>
      </c>
      <c r="N37" s="13">
        <f t="shared" si="10"/>
        <v>0.843597683698386</v>
      </c>
      <c r="O37" s="13">
        <f t="shared" si="10"/>
        <v>0.78209181827078</v>
      </c>
      <c r="P37" s="13">
        <f t="shared" si="10"/>
        <v>0.35494209905932</v>
      </c>
      <c r="Q37" s="13">
        <f t="shared" si="10"/>
        <v>0.673601596222941</v>
      </c>
      <c r="R37" s="13">
        <f t="shared" si="10"/>
        <v>0.351153429877843</v>
      </c>
      <c r="S37" s="13">
        <f t="shared" si="10"/>
        <v>0.602054334626284</v>
      </c>
      <c r="T37" s="13">
        <f t="shared" si="10"/>
        <v>0.381988552282566</v>
      </c>
      <c r="U37" s="13">
        <f t="shared" si="10"/>
        <v>0.477132579141334</v>
      </c>
      <c r="V37" s="13">
        <f t="shared" si="10"/>
        <v>0.399105435636947</v>
      </c>
      <c r="W37" s="13">
        <f t="shared" si="10"/>
        <v>0.684132523736682</v>
      </c>
      <c r="X37" s="13">
        <f t="shared" si="10"/>
        <v>0.317661233234451</v>
      </c>
      <c r="Y37" s="13">
        <f t="shared" si="10"/>
        <v>0.388138206356307</v>
      </c>
      <c r="Z37" s="13">
        <f t="shared" si="10"/>
        <v>0.475359489635583</v>
      </c>
      <c r="AA37" s="13">
        <f t="shared" si="10"/>
        <v>0.356487665963421</v>
      </c>
      <c r="AB37" s="13">
        <f t="shared" si="10"/>
        <v>0.263230945017182</v>
      </c>
      <c r="AC37" s="13">
        <f t="shared" si="10"/>
        <v>0.286535615313419</v>
      </c>
      <c r="AD37" s="13">
        <f t="shared" ref="AD37" si="11">1/ABS(AD4)</f>
        <v>0.311620291297412</v>
      </c>
      <c r="AE37" s="13">
        <f t="shared" ref="AE37:AF45" si="12">1/ABS(AE4)</f>
        <v>0.440110347388847</v>
      </c>
      <c r="AF37" s="13">
        <f t="shared" si="12"/>
        <v>0.249022729681338</v>
      </c>
      <c r="AG37" s="13">
        <f t="shared" si="7"/>
        <v>0.370962718111724</v>
      </c>
      <c r="AH37" s="13">
        <f t="shared" si="7"/>
        <v>0.400589744954985</v>
      </c>
      <c r="AI37" s="13">
        <f t="shared" si="7"/>
        <v>0.394000917803071</v>
      </c>
      <c r="AJ37" s="13">
        <f t="shared" ref="AJ37:AJ66" si="13">SUM(E37:AI37)</f>
        <v>14.9295260789844</v>
      </c>
      <c r="AK37" s="13">
        <f t="shared" ref="AK37:AZ60" si="14">$AJ37</f>
        <v>14.9295260789844</v>
      </c>
      <c r="AL37" s="13">
        <f t="shared" si="8"/>
        <v>14.9295260789844</v>
      </c>
      <c r="AM37" s="13">
        <f t="shared" si="8"/>
        <v>14.9295260789844</v>
      </c>
      <c r="AN37" s="13">
        <f t="shared" si="8"/>
        <v>14.9295260789844</v>
      </c>
      <c r="AO37" s="13">
        <f t="shared" si="8"/>
        <v>14.9295260789844</v>
      </c>
      <c r="AP37" s="13">
        <f t="shared" si="8"/>
        <v>14.9295260789844</v>
      </c>
      <c r="AQ37" s="13">
        <f t="shared" si="8"/>
        <v>14.9295260789844</v>
      </c>
      <c r="AR37" s="13">
        <f t="shared" si="8"/>
        <v>14.9295260789844</v>
      </c>
      <c r="AS37" s="13">
        <f t="shared" si="8"/>
        <v>14.9295260789844</v>
      </c>
      <c r="AT37" s="13">
        <f t="shared" si="8"/>
        <v>14.9295260789844</v>
      </c>
      <c r="AU37" s="13">
        <f t="shared" si="8"/>
        <v>14.9295260789844</v>
      </c>
      <c r="AV37" s="13">
        <f t="shared" si="8"/>
        <v>14.9295260789844</v>
      </c>
      <c r="AW37" s="13">
        <f t="shared" si="8"/>
        <v>14.9295260789844</v>
      </c>
      <c r="AX37" s="13">
        <f t="shared" si="8"/>
        <v>14.9295260789844</v>
      </c>
      <c r="AY37" s="13">
        <f t="shared" si="8"/>
        <v>14.9295260789844</v>
      </c>
      <c r="AZ37" s="13">
        <f t="shared" si="8"/>
        <v>14.9295260789844</v>
      </c>
      <c r="BA37" s="13">
        <f t="shared" si="8"/>
        <v>14.9295260789844</v>
      </c>
      <c r="BB37" s="13">
        <f t="shared" si="8"/>
        <v>14.9295260789844</v>
      </c>
      <c r="BC37" s="13">
        <f t="shared" si="8"/>
        <v>14.9295260789844</v>
      </c>
      <c r="BD37" s="13">
        <f t="shared" si="8"/>
        <v>14.9295260789844</v>
      </c>
      <c r="BE37" s="13">
        <f t="shared" si="8"/>
        <v>14.9295260789844</v>
      </c>
      <c r="BF37" s="13">
        <f t="shared" si="8"/>
        <v>14.9295260789844</v>
      </c>
      <c r="BG37" s="13">
        <f t="shared" si="8"/>
        <v>14.9295260789844</v>
      </c>
      <c r="BH37" s="13">
        <f t="shared" si="8"/>
        <v>14.9295260789844</v>
      </c>
      <c r="BI37" s="13">
        <f t="shared" si="8"/>
        <v>14.9295260789844</v>
      </c>
      <c r="BJ37" s="13">
        <f t="shared" si="8"/>
        <v>14.9295260789844</v>
      </c>
      <c r="BK37" s="13">
        <f t="shared" si="8"/>
        <v>14.9295260789844</v>
      </c>
      <c r="BL37" s="13">
        <f t="shared" si="8"/>
        <v>14.9295260789844</v>
      </c>
      <c r="BM37" s="13">
        <f t="shared" si="8"/>
        <v>14.9295260789844</v>
      </c>
      <c r="BN37" s="13">
        <f t="shared" si="8"/>
        <v>14.9295260789844</v>
      </c>
    </row>
    <row r="38" spans="1:66">
      <c r="A38" s="13"/>
      <c r="B38" s="13"/>
      <c r="C38" s="13"/>
      <c r="D38" s="14" t="s">
        <v>2</v>
      </c>
      <c r="E38" s="13">
        <f t="shared" si="9"/>
        <v>2.83821635466756</v>
      </c>
      <c r="F38" s="13">
        <f t="shared" ref="F38:F66" si="15">1/ABS(F5)</f>
        <v>2.46202247676723</v>
      </c>
      <c r="G38" s="13">
        <v>0</v>
      </c>
      <c r="H38" s="13">
        <f t="shared" ref="H38:AC38" si="16">1/ABS(H5)</f>
        <v>0.894076434666638</v>
      </c>
      <c r="I38" s="13">
        <f t="shared" si="16"/>
        <v>1.50182502039533</v>
      </c>
      <c r="J38" s="13">
        <f t="shared" si="16"/>
        <v>1.37320730394832</v>
      </c>
      <c r="K38" s="13">
        <f t="shared" si="16"/>
        <v>1.10857782678953</v>
      </c>
      <c r="L38" s="13">
        <f t="shared" si="16"/>
        <v>0.942769581496917</v>
      </c>
      <c r="M38" s="13">
        <f t="shared" si="16"/>
        <v>2.96166976564249</v>
      </c>
      <c r="N38" s="13">
        <f t="shared" si="16"/>
        <v>2.0769564586142</v>
      </c>
      <c r="O38" s="13">
        <f t="shared" si="16"/>
        <v>1.92552763547841</v>
      </c>
      <c r="P38" s="13">
        <f t="shared" si="16"/>
        <v>0.873875425834986</v>
      </c>
      <c r="Q38" s="13">
        <f t="shared" si="16"/>
        <v>1.65842227028717</v>
      </c>
      <c r="R38" s="13">
        <f t="shared" si="16"/>
        <v>0.864547637153157</v>
      </c>
      <c r="S38" s="13">
        <f t="shared" si="16"/>
        <v>1.48227130408505</v>
      </c>
      <c r="T38" s="13">
        <f t="shared" si="16"/>
        <v>0.940464401587451</v>
      </c>
      <c r="U38" s="13">
        <f t="shared" si="16"/>
        <v>1.17471113424388</v>
      </c>
      <c r="V38" s="13">
        <f t="shared" si="16"/>
        <v>0.982606553138142</v>
      </c>
      <c r="W38" s="13">
        <f t="shared" si="16"/>
        <v>1.6843496505272</v>
      </c>
      <c r="X38" s="13">
        <f t="shared" si="16"/>
        <v>0.782089096220816</v>
      </c>
      <c r="Y38" s="13">
        <f t="shared" si="16"/>
        <v>0.955604988141347</v>
      </c>
      <c r="Z38" s="13">
        <f t="shared" si="16"/>
        <v>1.17034574802741</v>
      </c>
      <c r="AA38" s="13">
        <f t="shared" si="16"/>
        <v>0.877680646292231</v>
      </c>
      <c r="AB38" s="13">
        <f t="shared" si="16"/>
        <v>0.648080503212982</v>
      </c>
      <c r="AC38" s="13">
        <f t="shared" si="16"/>
        <v>0.705457125295966</v>
      </c>
      <c r="AD38" s="13">
        <f t="shared" ref="AD38" si="17">1/ABS(AD5)</f>
        <v>0.767216161390981</v>
      </c>
      <c r="AE38" s="13">
        <f t="shared" si="12"/>
        <v>1.08356156752917</v>
      </c>
      <c r="AF38" s="13">
        <f t="shared" si="12"/>
        <v>0.613099557701384</v>
      </c>
      <c r="AG38" s="13">
        <f t="shared" si="7"/>
        <v>0.913318550033732</v>
      </c>
      <c r="AH38" s="13">
        <f t="shared" si="7"/>
        <v>0.986260956041627</v>
      </c>
      <c r="AI38" s="13">
        <f t="shared" si="7"/>
        <v>0.970039115498079</v>
      </c>
      <c r="AJ38" s="13">
        <f t="shared" si="13"/>
        <v>38.2188512507094</v>
      </c>
      <c r="AK38" s="13">
        <f t="shared" si="14"/>
        <v>38.2188512507094</v>
      </c>
      <c r="AL38" s="13">
        <f t="shared" si="8"/>
        <v>38.2188512507094</v>
      </c>
      <c r="AM38" s="13">
        <f t="shared" si="8"/>
        <v>38.2188512507094</v>
      </c>
      <c r="AN38" s="13">
        <f t="shared" si="8"/>
        <v>38.2188512507094</v>
      </c>
      <c r="AO38" s="13">
        <f t="shared" si="8"/>
        <v>38.2188512507094</v>
      </c>
      <c r="AP38" s="13">
        <f t="shared" si="8"/>
        <v>38.2188512507094</v>
      </c>
      <c r="AQ38" s="13">
        <f t="shared" si="8"/>
        <v>38.2188512507094</v>
      </c>
      <c r="AR38" s="13">
        <f t="shared" si="8"/>
        <v>38.2188512507094</v>
      </c>
      <c r="AS38" s="13">
        <f t="shared" si="8"/>
        <v>38.2188512507094</v>
      </c>
      <c r="AT38" s="13">
        <f t="shared" si="8"/>
        <v>38.2188512507094</v>
      </c>
      <c r="AU38" s="13">
        <f t="shared" si="8"/>
        <v>38.2188512507094</v>
      </c>
      <c r="AV38" s="13">
        <f t="shared" si="8"/>
        <v>38.2188512507094</v>
      </c>
      <c r="AW38" s="13">
        <f t="shared" si="8"/>
        <v>38.2188512507094</v>
      </c>
      <c r="AX38" s="13">
        <f t="shared" si="8"/>
        <v>38.2188512507094</v>
      </c>
      <c r="AY38" s="13">
        <f t="shared" si="8"/>
        <v>38.2188512507094</v>
      </c>
      <c r="AZ38" s="13">
        <f t="shared" si="8"/>
        <v>38.2188512507094</v>
      </c>
      <c r="BA38" s="13">
        <f t="shared" si="8"/>
        <v>38.2188512507094</v>
      </c>
      <c r="BB38" s="13">
        <f t="shared" si="8"/>
        <v>38.2188512507094</v>
      </c>
      <c r="BC38" s="13">
        <f t="shared" si="8"/>
        <v>38.2188512507094</v>
      </c>
      <c r="BD38" s="13">
        <f t="shared" si="8"/>
        <v>38.2188512507094</v>
      </c>
      <c r="BE38" s="13">
        <f t="shared" si="8"/>
        <v>38.2188512507094</v>
      </c>
      <c r="BF38" s="13">
        <f t="shared" si="8"/>
        <v>38.2188512507094</v>
      </c>
      <c r="BG38" s="13">
        <f t="shared" si="8"/>
        <v>38.2188512507094</v>
      </c>
      <c r="BH38" s="13">
        <f t="shared" si="8"/>
        <v>38.2188512507094</v>
      </c>
      <c r="BI38" s="13">
        <f t="shared" si="8"/>
        <v>38.2188512507094</v>
      </c>
      <c r="BJ38" s="13">
        <f t="shared" si="8"/>
        <v>38.2188512507094</v>
      </c>
      <c r="BK38" s="13">
        <f t="shared" si="8"/>
        <v>38.2188512507094</v>
      </c>
      <c r="BL38" s="13">
        <f t="shared" si="8"/>
        <v>38.2188512507094</v>
      </c>
      <c r="BM38" s="13">
        <f t="shared" si="8"/>
        <v>38.2188512507094</v>
      </c>
      <c r="BN38" s="13">
        <f t="shared" si="8"/>
        <v>38.2188512507094</v>
      </c>
    </row>
    <row r="39" spans="1:66">
      <c r="A39" s="13"/>
      <c r="B39" s="13"/>
      <c r="C39" s="13"/>
      <c r="D39" s="14" t="s">
        <v>3</v>
      </c>
      <c r="E39" s="13">
        <f t="shared" si="9"/>
        <v>3.17446724308958</v>
      </c>
      <c r="F39" s="13">
        <f t="shared" si="15"/>
        <v>2.75370469604784</v>
      </c>
      <c r="G39" s="13">
        <f t="shared" ref="G39:G60" si="18">1/ABS(G6)</f>
        <v>1.11847260617361</v>
      </c>
      <c r="H39" s="13">
        <v>0</v>
      </c>
      <c r="I39" s="13">
        <f t="shared" ref="I39:AC39" si="19">1/ABS(I6)</f>
        <v>1.67975014457829</v>
      </c>
      <c r="J39" s="13">
        <f t="shared" si="19"/>
        <v>1.53589475206371</v>
      </c>
      <c r="K39" s="13">
        <f t="shared" si="19"/>
        <v>1.23991393107556</v>
      </c>
      <c r="L39" s="13">
        <f t="shared" si="19"/>
        <v>1.05446195083806</v>
      </c>
      <c r="M39" s="13">
        <f t="shared" si="19"/>
        <v>3.31254650140372</v>
      </c>
      <c r="N39" s="13">
        <f t="shared" si="19"/>
        <v>2.32301890317533</v>
      </c>
      <c r="O39" s="13">
        <f t="shared" si="19"/>
        <v>2.15364991271284</v>
      </c>
      <c r="P39" s="13">
        <f t="shared" si="19"/>
        <v>0.977405725004726</v>
      </c>
      <c r="Q39" s="13">
        <f t="shared" si="19"/>
        <v>1.85489987878443</v>
      </c>
      <c r="R39" s="13">
        <f t="shared" si="19"/>
        <v>0.966972848887923</v>
      </c>
      <c r="S39" s="13">
        <f t="shared" si="19"/>
        <v>1.65787984853636</v>
      </c>
      <c r="T39" s="13">
        <f t="shared" si="19"/>
        <v>1.05188367025702</v>
      </c>
      <c r="U39" s="13">
        <f t="shared" si="19"/>
        <v>1.31388222381891</v>
      </c>
      <c r="V39" s="13">
        <f t="shared" si="19"/>
        <v>1.09901851233168</v>
      </c>
      <c r="W39" s="13">
        <f t="shared" si="19"/>
        <v>1.88389894333276</v>
      </c>
      <c r="X39" s="13">
        <f t="shared" si="19"/>
        <v>0.874745229710056</v>
      </c>
      <c r="Y39" s="13">
        <f t="shared" si="19"/>
        <v>1.06881800155895</v>
      </c>
      <c r="Z39" s="13">
        <f t="shared" si="19"/>
        <v>1.30899965892041</v>
      </c>
      <c r="AA39" s="13">
        <f t="shared" si="19"/>
        <v>0.981661759846606</v>
      </c>
      <c r="AB39" s="13">
        <f t="shared" si="19"/>
        <v>0.724860289438925</v>
      </c>
      <c r="AC39" s="13">
        <f t="shared" si="19"/>
        <v>0.789034469473519</v>
      </c>
      <c r="AD39" s="13">
        <f t="shared" ref="AD39" si="20">1/ABS(AD6)</f>
        <v>0.85811025952948</v>
      </c>
      <c r="AE39" s="13">
        <f t="shared" si="12"/>
        <v>1.21193393038391</v>
      </c>
      <c r="AF39" s="13">
        <f t="shared" si="12"/>
        <v>0.685735060146151</v>
      </c>
      <c r="AG39" s="13">
        <f t="shared" si="7"/>
        <v>1.02152177892293</v>
      </c>
      <c r="AH39" s="13">
        <f t="shared" si="7"/>
        <v>1.10310586187115</v>
      </c>
      <c r="AI39" s="13">
        <f t="shared" si="7"/>
        <v>1.08496217760148</v>
      </c>
      <c r="AJ39" s="13">
        <f t="shared" si="13"/>
        <v>42.8652107695159</v>
      </c>
      <c r="AK39" s="13">
        <f t="shared" si="14"/>
        <v>42.8652107695159</v>
      </c>
      <c r="AL39" s="13">
        <f t="shared" si="8"/>
        <v>42.8652107695159</v>
      </c>
      <c r="AM39" s="13">
        <f t="shared" si="8"/>
        <v>42.8652107695159</v>
      </c>
      <c r="AN39" s="13">
        <f t="shared" si="8"/>
        <v>42.8652107695159</v>
      </c>
      <c r="AO39" s="13">
        <f t="shared" si="8"/>
        <v>42.8652107695159</v>
      </c>
      <c r="AP39" s="13">
        <f t="shared" si="8"/>
        <v>42.8652107695159</v>
      </c>
      <c r="AQ39" s="13">
        <f t="shared" si="8"/>
        <v>42.8652107695159</v>
      </c>
      <c r="AR39" s="13">
        <f t="shared" si="8"/>
        <v>42.8652107695159</v>
      </c>
      <c r="AS39" s="13">
        <f t="shared" si="8"/>
        <v>42.8652107695159</v>
      </c>
      <c r="AT39" s="13">
        <f t="shared" si="8"/>
        <v>42.8652107695159</v>
      </c>
      <c r="AU39" s="13">
        <f t="shared" si="8"/>
        <v>42.8652107695159</v>
      </c>
      <c r="AV39" s="13">
        <f t="shared" si="8"/>
        <v>42.8652107695159</v>
      </c>
      <c r="AW39" s="13">
        <f t="shared" si="8"/>
        <v>42.8652107695159</v>
      </c>
      <c r="AX39" s="13">
        <f t="shared" si="8"/>
        <v>42.8652107695159</v>
      </c>
      <c r="AY39" s="13">
        <f t="shared" si="8"/>
        <v>42.8652107695159</v>
      </c>
      <c r="AZ39" s="13">
        <f t="shared" si="8"/>
        <v>42.8652107695159</v>
      </c>
      <c r="BA39" s="13">
        <f t="shared" si="8"/>
        <v>42.8652107695159</v>
      </c>
      <c r="BB39" s="13">
        <f t="shared" si="8"/>
        <v>42.8652107695159</v>
      </c>
      <c r="BC39" s="13">
        <f t="shared" si="8"/>
        <v>42.8652107695159</v>
      </c>
      <c r="BD39" s="13">
        <f t="shared" si="8"/>
        <v>42.8652107695159</v>
      </c>
      <c r="BE39" s="13">
        <f t="shared" si="8"/>
        <v>42.8652107695159</v>
      </c>
      <c r="BF39" s="13">
        <f t="shared" si="8"/>
        <v>42.8652107695159</v>
      </c>
      <c r="BG39" s="13">
        <f t="shared" si="8"/>
        <v>42.8652107695159</v>
      </c>
      <c r="BH39" s="13">
        <f t="shared" si="8"/>
        <v>42.8652107695159</v>
      </c>
      <c r="BI39" s="13">
        <f t="shared" si="8"/>
        <v>42.8652107695159</v>
      </c>
      <c r="BJ39" s="13">
        <f t="shared" si="8"/>
        <v>42.8652107695159</v>
      </c>
      <c r="BK39" s="13">
        <f t="shared" si="8"/>
        <v>42.8652107695159</v>
      </c>
      <c r="BL39" s="13">
        <f t="shared" si="8"/>
        <v>42.8652107695159</v>
      </c>
      <c r="BM39" s="13">
        <f t="shared" si="8"/>
        <v>42.8652107695159</v>
      </c>
      <c r="BN39" s="13">
        <f t="shared" si="8"/>
        <v>42.8652107695159</v>
      </c>
    </row>
    <row r="40" spans="1:66">
      <c r="A40" s="13"/>
      <c r="B40" s="13"/>
      <c r="C40" s="13"/>
      <c r="D40" s="14" t="s">
        <v>4</v>
      </c>
      <c r="E40" s="13">
        <f t="shared" si="9"/>
        <v>1.8898448994547</v>
      </c>
      <c r="F40" s="13">
        <f t="shared" si="15"/>
        <v>1.63935374849405</v>
      </c>
      <c r="G40" s="13">
        <f t="shared" si="18"/>
        <v>0.665856532165623</v>
      </c>
      <c r="H40" s="13">
        <f t="shared" ref="H40:H60" si="21">1/ABS(H7)</f>
        <v>0.595326634278132</v>
      </c>
      <c r="I40" s="13">
        <v>0</v>
      </c>
      <c r="J40" s="13">
        <f t="shared" ref="J40:AC40" si="22">1/ABS(J7)</f>
        <v>0.914359053351534</v>
      </c>
      <c r="K40" s="13">
        <f t="shared" si="22"/>
        <v>0.738153787381783</v>
      </c>
      <c r="L40" s="13">
        <f t="shared" si="22"/>
        <v>0.627749284166773</v>
      </c>
      <c r="M40" s="13">
        <f t="shared" si="22"/>
        <v>1.97204715957048</v>
      </c>
      <c r="N40" s="13">
        <f t="shared" si="22"/>
        <v>1.38295502499185</v>
      </c>
      <c r="O40" s="13">
        <f t="shared" si="22"/>
        <v>1.28212515394873</v>
      </c>
      <c r="P40" s="13">
        <f t="shared" si="22"/>
        <v>0.581875660591241</v>
      </c>
      <c r="Q40" s="13">
        <f t="shared" si="22"/>
        <v>1.10427130175965</v>
      </c>
      <c r="R40" s="13">
        <f t="shared" si="22"/>
        <v>0.575664691566784</v>
      </c>
      <c r="S40" s="13">
        <f t="shared" si="22"/>
        <v>0.986980030266689</v>
      </c>
      <c r="T40" s="13">
        <f t="shared" si="22"/>
        <v>0.626214365066239</v>
      </c>
      <c r="U40" s="13">
        <f t="shared" si="22"/>
        <v>0.782189082143979</v>
      </c>
      <c r="V40" s="13">
        <f t="shared" si="22"/>
        <v>0.654274991955779</v>
      </c>
      <c r="W40" s="13">
        <f t="shared" si="22"/>
        <v>1.12153521725442</v>
      </c>
      <c r="X40" s="13">
        <f t="shared" si="22"/>
        <v>0.520759133454139</v>
      </c>
      <c r="Y40" s="13">
        <f t="shared" si="22"/>
        <v>0.636295823523969</v>
      </c>
      <c r="Z40" s="13">
        <f t="shared" si="22"/>
        <v>0.779282361216311</v>
      </c>
      <c r="AA40" s="13">
        <f t="shared" si="22"/>
        <v>0.584409391489028</v>
      </c>
      <c r="AB40" s="13">
        <f t="shared" si="22"/>
        <v>0.431528636433548</v>
      </c>
      <c r="AC40" s="13">
        <f t="shared" si="22"/>
        <v>0.469733235041102</v>
      </c>
      <c r="AD40" s="13">
        <f t="shared" ref="AD40" si="23">1/ABS(AD7)</f>
        <v>0.51085589264522</v>
      </c>
      <c r="AE40" s="13">
        <f t="shared" si="12"/>
        <v>0.721496547742923</v>
      </c>
      <c r="AF40" s="13">
        <f t="shared" si="12"/>
        <v>0.408236345363321</v>
      </c>
      <c r="AG40" s="13">
        <f t="shared" si="7"/>
        <v>0.608139122487996</v>
      </c>
      <c r="AH40" s="13">
        <f t="shared" si="7"/>
        <v>0.65670830000023</v>
      </c>
      <c r="AI40" s="13">
        <f t="shared" si="7"/>
        <v>0.645906881510559</v>
      </c>
      <c r="AJ40" s="13">
        <f t="shared" si="13"/>
        <v>25.1141282893168</v>
      </c>
      <c r="AK40" s="13">
        <f t="shared" si="14"/>
        <v>25.1141282893168</v>
      </c>
      <c r="AL40" s="13">
        <f t="shared" si="8"/>
        <v>25.1141282893168</v>
      </c>
      <c r="AM40" s="13">
        <f t="shared" si="8"/>
        <v>25.1141282893168</v>
      </c>
      <c r="AN40" s="13">
        <f t="shared" si="8"/>
        <v>25.1141282893168</v>
      </c>
      <c r="AO40" s="13">
        <f t="shared" si="8"/>
        <v>25.1141282893168</v>
      </c>
      <c r="AP40" s="13">
        <f t="shared" si="8"/>
        <v>25.1141282893168</v>
      </c>
      <c r="AQ40" s="13">
        <f t="shared" si="8"/>
        <v>25.1141282893168</v>
      </c>
      <c r="AR40" s="13">
        <f t="shared" si="8"/>
        <v>25.1141282893168</v>
      </c>
      <c r="AS40" s="13">
        <f t="shared" si="8"/>
        <v>25.1141282893168</v>
      </c>
      <c r="AT40" s="13">
        <f t="shared" si="8"/>
        <v>25.1141282893168</v>
      </c>
      <c r="AU40" s="13">
        <f t="shared" si="8"/>
        <v>25.1141282893168</v>
      </c>
      <c r="AV40" s="13">
        <f t="shared" si="8"/>
        <v>25.1141282893168</v>
      </c>
      <c r="AW40" s="13">
        <f t="shared" si="8"/>
        <v>25.1141282893168</v>
      </c>
      <c r="AX40" s="13">
        <f t="shared" si="8"/>
        <v>25.1141282893168</v>
      </c>
      <c r="AY40" s="13">
        <f t="shared" si="8"/>
        <v>25.1141282893168</v>
      </c>
      <c r="AZ40" s="13">
        <f t="shared" si="8"/>
        <v>25.1141282893168</v>
      </c>
      <c r="BA40" s="13">
        <f t="shared" si="8"/>
        <v>25.1141282893168</v>
      </c>
      <c r="BB40" s="13">
        <f t="shared" si="8"/>
        <v>25.1141282893168</v>
      </c>
      <c r="BC40" s="13">
        <f t="shared" si="8"/>
        <v>25.1141282893168</v>
      </c>
      <c r="BD40" s="13">
        <f t="shared" si="8"/>
        <v>25.1141282893168</v>
      </c>
      <c r="BE40" s="13">
        <f t="shared" si="8"/>
        <v>25.1141282893168</v>
      </c>
      <c r="BF40" s="13">
        <f t="shared" si="8"/>
        <v>25.1141282893168</v>
      </c>
      <c r="BG40" s="13">
        <f t="shared" si="8"/>
        <v>25.1141282893168</v>
      </c>
      <c r="BH40" s="13">
        <f t="shared" si="8"/>
        <v>25.1141282893168</v>
      </c>
      <c r="BI40" s="13">
        <f t="shared" si="8"/>
        <v>25.1141282893168</v>
      </c>
      <c r="BJ40" s="13">
        <f t="shared" si="8"/>
        <v>25.1141282893168</v>
      </c>
      <c r="BK40" s="13">
        <f t="shared" si="8"/>
        <v>25.1141282893168</v>
      </c>
      <c r="BL40" s="13">
        <f t="shared" si="8"/>
        <v>25.1141282893168</v>
      </c>
      <c r="BM40" s="13">
        <f t="shared" si="8"/>
        <v>25.1141282893168</v>
      </c>
      <c r="BN40" s="13">
        <f t="shared" si="8"/>
        <v>25.1141282893168</v>
      </c>
    </row>
    <row r="41" spans="1:66">
      <c r="A41" s="13"/>
      <c r="B41" s="13"/>
      <c r="C41" s="13"/>
      <c r="D41" s="14" t="s">
        <v>5</v>
      </c>
      <c r="E41" s="13">
        <f t="shared" si="9"/>
        <v>2.06685206706006</v>
      </c>
      <c r="F41" s="13">
        <f t="shared" si="15"/>
        <v>1.7928993457057</v>
      </c>
      <c r="G41" s="13">
        <f t="shared" si="18"/>
        <v>0.728222168003873</v>
      </c>
      <c r="H41" s="13">
        <f t="shared" si="21"/>
        <v>0.651086279614113</v>
      </c>
      <c r="I41" s="13">
        <f t="shared" ref="I41:I60" si="24">1/ABS(I8)</f>
        <v>1.09366227231475</v>
      </c>
      <c r="J41" s="13">
        <v>0</v>
      </c>
      <c r="K41" s="13">
        <f t="shared" ref="K41:AC41" si="25">1/ABS(K8)</f>
        <v>0.807290948425698</v>
      </c>
      <c r="L41" s="13">
        <f t="shared" si="25"/>
        <v>0.68654570856579</v>
      </c>
      <c r="M41" s="13">
        <f t="shared" si="25"/>
        <v>2.1567535776477</v>
      </c>
      <c r="N41" s="13">
        <f t="shared" si="25"/>
        <v>1.51248573514168</v>
      </c>
      <c r="O41" s="13">
        <f t="shared" si="25"/>
        <v>1.40221190925946</v>
      </c>
      <c r="P41" s="13">
        <f t="shared" si="25"/>
        <v>0.636375457166862</v>
      </c>
      <c r="Q41" s="13">
        <f t="shared" si="25"/>
        <v>1.20769986113443</v>
      </c>
      <c r="R41" s="13">
        <f t="shared" si="25"/>
        <v>0.629582754670298</v>
      </c>
      <c r="S41" s="13">
        <f t="shared" si="25"/>
        <v>1.07942282263074</v>
      </c>
      <c r="T41" s="13">
        <f t="shared" si="25"/>
        <v>0.684867025454479</v>
      </c>
      <c r="U41" s="13">
        <f t="shared" si="25"/>
        <v>0.855450688957371</v>
      </c>
      <c r="V41" s="13">
        <f t="shared" si="25"/>
        <v>0.715555874421071</v>
      </c>
      <c r="W41" s="13">
        <f t="shared" si="25"/>
        <v>1.22658075418349</v>
      </c>
      <c r="X41" s="13">
        <f t="shared" si="25"/>
        <v>0.569534617222113</v>
      </c>
      <c r="Y41" s="13">
        <f t="shared" si="25"/>
        <v>0.695892736219607</v>
      </c>
      <c r="Z41" s="13">
        <f t="shared" si="25"/>
        <v>0.852271717942632</v>
      </c>
      <c r="AA41" s="13">
        <f t="shared" si="25"/>
        <v>0.639146503057969</v>
      </c>
      <c r="AB41" s="13">
        <f t="shared" si="25"/>
        <v>0.471946589090799</v>
      </c>
      <c r="AC41" s="13">
        <f t="shared" si="25"/>
        <v>0.513729517216809</v>
      </c>
      <c r="AD41" s="13">
        <f t="shared" ref="AD41" si="26">1/ABS(AD8)</f>
        <v>0.55870381637575</v>
      </c>
      <c r="AE41" s="13">
        <f t="shared" si="12"/>
        <v>0.789073553871771</v>
      </c>
      <c r="AF41" s="13">
        <f t="shared" si="12"/>
        <v>0.446472689111517</v>
      </c>
      <c r="AG41" s="13">
        <f t="shared" si="7"/>
        <v>0.665098814583719</v>
      </c>
      <c r="AH41" s="13">
        <f t="shared" si="7"/>
        <v>0.718217091626206</v>
      </c>
      <c r="AI41" s="13">
        <f t="shared" si="7"/>
        <v>0.706403987736571</v>
      </c>
      <c r="AJ41" s="13">
        <f t="shared" si="13"/>
        <v>27.560036884413</v>
      </c>
      <c r="AK41" s="13">
        <f t="shared" si="14"/>
        <v>27.560036884413</v>
      </c>
      <c r="AL41" s="13">
        <f t="shared" si="8"/>
        <v>27.560036884413</v>
      </c>
      <c r="AM41" s="13">
        <f t="shared" si="8"/>
        <v>27.560036884413</v>
      </c>
      <c r="AN41" s="13">
        <f t="shared" si="8"/>
        <v>27.560036884413</v>
      </c>
      <c r="AO41" s="13">
        <f t="shared" si="8"/>
        <v>27.560036884413</v>
      </c>
      <c r="AP41" s="13">
        <f t="shared" si="8"/>
        <v>27.560036884413</v>
      </c>
      <c r="AQ41" s="13">
        <f t="shared" si="8"/>
        <v>27.560036884413</v>
      </c>
      <c r="AR41" s="13">
        <f t="shared" si="8"/>
        <v>27.560036884413</v>
      </c>
      <c r="AS41" s="13">
        <f t="shared" si="8"/>
        <v>27.560036884413</v>
      </c>
      <c r="AT41" s="13">
        <f t="shared" si="8"/>
        <v>27.560036884413</v>
      </c>
      <c r="AU41" s="13">
        <f t="shared" si="8"/>
        <v>27.560036884413</v>
      </c>
      <c r="AV41" s="13">
        <f t="shared" si="8"/>
        <v>27.560036884413</v>
      </c>
      <c r="AW41" s="13">
        <f t="shared" si="8"/>
        <v>27.560036884413</v>
      </c>
      <c r="AX41" s="13">
        <f t="shared" si="8"/>
        <v>27.560036884413</v>
      </c>
      <c r="AY41" s="13">
        <f t="shared" si="8"/>
        <v>27.560036884413</v>
      </c>
      <c r="AZ41" s="13">
        <f t="shared" si="8"/>
        <v>27.560036884413</v>
      </c>
      <c r="BA41" s="13">
        <f t="shared" si="8"/>
        <v>27.560036884413</v>
      </c>
      <c r="BB41" s="13">
        <f t="shared" si="8"/>
        <v>27.560036884413</v>
      </c>
      <c r="BC41" s="13">
        <f t="shared" si="8"/>
        <v>27.560036884413</v>
      </c>
      <c r="BD41" s="13">
        <f t="shared" si="8"/>
        <v>27.560036884413</v>
      </c>
      <c r="BE41" s="13">
        <f t="shared" si="8"/>
        <v>27.560036884413</v>
      </c>
      <c r="BF41" s="13">
        <f t="shared" si="8"/>
        <v>27.560036884413</v>
      </c>
      <c r="BG41" s="13">
        <f t="shared" si="8"/>
        <v>27.560036884413</v>
      </c>
      <c r="BH41" s="13">
        <f t="shared" si="8"/>
        <v>27.560036884413</v>
      </c>
      <c r="BI41" s="13">
        <f t="shared" si="8"/>
        <v>27.560036884413</v>
      </c>
      <c r="BJ41" s="13">
        <f t="shared" si="8"/>
        <v>27.560036884413</v>
      </c>
      <c r="BK41" s="13">
        <f t="shared" si="8"/>
        <v>27.560036884413</v>
      </c>
      <c r="BL41" s="13">
        <f t="shared" si="8"/>
        <v>27.560036884413</v>
      </c>
      <c r="BM41" s="13">
        <f t="shared" si="8"/>
        <v>27.560036884413</v>
      </c>
      <c r="BN41" s="13">
        <f t="shared" si="8"/>
        <v>27.560036884413</v>
      </c>
    </row>
    <row r="42" spans="1:66">
      <c r="A42" s="13"/>
      <c r="B42" s="13"/>
      <c r="C42" s="13"/>
      <c r="D42" s="14" t="s">
        <v>6</v>
      </c>
      <c r="E42" s="13">
        <f t="shared" si="9"/>
        <v>2.56023193507947</v>
      </c>
      <c r="F42" s="13">
        <f t="shared" si="15"/>
        <v>2.22088374606707</v>
      </c>
      <c r="G42" s="13">
        <f t="shared" si="18"/>
        <v>0.902056649370321</v>
      </c>
      <c r="H42" s="13">
        <f t="shared" si="21"/>
        <v>0.80650759293635</v>
      </c>
      <c r="I42" s="13">
        <f t="shared" si="24"/>
        <v>1.35473124583832</v>
      </c>
      <c r="J42" s="13">
        <f t="shared" ref="J42:J60" si="27">1/ABS(J9)</f>
        <v>1.23871077949047</v>
      </c>
      <c r="K42" s="13">
        <v>0</v>
      </c>
      <c r="L42" s="13">
        <f t="shared" ref="L42:AC42" si="28">1/ABS(L9)</f>
        <v>0.850431569813369</v>
      </c>
      <c r="M42" s="13">
        <f t="shared" si="28"/>
        <v>2.67159390533685</v>
      </c>
      <c r="N42" s="13">
        <f t="shared" si="28"/>
        <v>1.87353238394557</v>
      </c>
      <c r="O42" s="13">
        <f t="shared" si="28"/>
        <v>1.73693500712962</v>
      </c>
      <c r="P42" s="13">
        <f t="shared" si="28"/>
        <v>0.78828513859577</v>
      </c>
      <c r="Q42" s="13">
        <f t="shared" si="28"/>
        <v>1.49599083637636</v>
      </c>
      <c r="R42" s="13">
        <f t="shared" si="28"/>
        <v>0.779870944791404</v>
      </c>
      <c r="S42" s="13">
        <f t="shared" si="28"/>
        <v>1.33709268602074</v>
      </c>
      <c r="T42" s="13">
        <f t="shared" si="28"/>
        <v>0.84835216694804</v>
      </c>
      <c r="U42" s="13">
        <f t="shared" si="28"/>
        <v>1.05965598973405</v>
      </c>
      <c r="V42" s="13">
        <f t="shared" si="28"/>
        <v>0.886366774973113</v>
      </c>
      <c r="W42" s="13">
        <f t="shared" si="28"/>
        <v>1.51937880212264</v>
      </c>
      <c r="X42" s="13">
        <f t="shared" si="28"/>
        <v>0.705488669646012</v>
      </c>
      <c r="Y42" s="13">
        <f t="shared" si="28"/>
        <v>0.862009833724348</v>
      </c>
      <c r="Z42" s="13">
        <f t="shared" si="28"/>
        <v>1.0557181640704</v>
      </c>
      <c r="AA42" s="13">
        <f t="shared" si="28"/>
        <v>0.791717663011548</v>
      </c>
      <c r="AB42" s="13">
        <f t="shared" si="28"/>
        <v>0.584605327250534</v>
      </c>
      <c r="AC42" s="13">
        <f t="shared" si="28"/>
        <v>0.636362290718898</v>
      </c>
      <c r="AD42" s="13">
        <f t="shared" ref="AD42" si="29">1/ABS(AD9)</f>
        <v>0.692072439887108</v>
      </c>
      <c r="AE42" s="13">
        <f t="shared" si="12"/>
        <v>0.97743391699182</v>
      </c>
      <c r="AF42" s="13">
        <f t="shared" si="12"/>
        <v>0.553050532750536</v>
      </c>
      <c r="AG42" s="13">
        <f t="shared" si="7"/>
        <v>0.823865071051188</v>
      </c>
      <c r="AH42" s="13">
        <f t="shared" si="7"/>
        <v>0.889663253411679</v>
      </c>
      <c r="AI42" s="13">
        <f t="shared" si="7"/>
        <v>0.875030234284347</v>
      </c>
      <c r="AJ42" s="13">
        <f t="shared" si="13"/>
        <v>34.3776255513679</v>
      </c>
      <c r="AK42" s="13">
        <f t="shared" si="14"/>
        <v>34.3776255513679</v>
      </c>
      <c r="AL42" s="13">
        <f t="shared" si="8"/>
        <v>34.3776255513679</v>
      </c>
      <c r="AM42" s="13">
        <f t="shared" si="8"/>
        <v>34.3776255513679</v>
      </c>
      <c r="AN42" s="13">
        <f t="shared" si="8"/>
        <v>34.3776255513679</v>
      </c>
      <c r="AO42" s="13">
        <f t="shared" si="8"/>
        <v>34.3776255513679</v>
      </c>
      <c r="AP42" s="13">
        <f t="shared" si="8"/>
        <v>34.3776255513679</v>
      </c>
      <c r="AQ42" s="13">
        <f t="shared" si="8"/>
        <v>34.3776255513679</v>
      </c>
      <c r="AR42" s="13">
        <f t="shared" si="8"/>
        <v>34.3776255513679</v>
      </c>
      <c r="AS42" s="13">
        <f t="shared" si="8"/>
        <v>34.3776255513679</v>
      </c>
      <c r="AT42" s="13">
        <f t="shared" si="8"/>
        <v>34.3776255513679</v>
      </c>
      <c r="AU42" s="13">
        <f t="shared" si="8"/>
        <v>34.3776255513679</v>
      </c>
      <c r="AV42" s="13">
        <f t="shared" si="8"/>
        <v>34.3776255513679</v>
      </c>
      <c r="AW42" s="13">
        <f t="shared" si="8"/>
        <v>34.3776255513679</v>
      </c>
      <c r="AX42" s="13">
        <f t="shared" si="8"/>
        <v>34.3776255513679</v>
      </c>
      <c r="AY42" s="13">
        <f t="shared" si="8"/>
        <v>34.3776255513679</v>
      </c>
      <c r="AZ42" s="13">
        <f t="shared" si="8"/>
        <v>34.3776255513679</v>
      </c>
      <c r="BA42" s="13">
        <f t="shared" si="8"/>
        <v>34.3776255513679</v>
      </c>
      <c r="BB42" s="13">
        <f t="shared" si="8"/>
        <v>34.3776255513679</v>
      </c>
      <c r="BC42" s="13">
        <f t="shared" si="8"/>
        <v>34.3776255513679</v>
      </c>
      <c r="BD42" s="13">
        <f t="shared" si="8"/>
        <v>34.3776255513679</v>
      </c>
      <c r="BE42" s="13">
        <f t="shared" si="8"/>
        <v>34.3776255513679</v>
      </c>
      <c r="BF42" s="13">
        <f t="shared" si="8"/>
        <v>34.3776255513679</v>
      </c>
      <c r="BG42" s="13">
        <f t="shared" si="8"/>
        <v>34.3776255513679</v>
      </c>
      <c r="BH42" s="13">
        <f t="shared" si="8"/>
        <v>34.3776255513679</v>
      </c>
      <c r="BI42" s="13">
        <f t="shared" si="8"/>
        <v>34.3776255513679</v>
      </c>
      <c r="BJ42" s="13">
        <f t="shared" si="8"/>
        <v>34.3776255513679</v>
      </c>
      <c r="BK42" s="13">
        <f t="shared" si="8"/>
        <v>34.3776255513679</v>
      </c>
      <c r="BL42" s="13">
        <f t="shared" si="8"/>
        <v>34.3776255513679</v>
      </c>
      <c r="BM42" s="13">
        <f t="shared" si="8"/>
        <v>34.3776255513679</v>
      </c>
      <c r="BN42" s="13">
        <f t="shared" si="8"/>
        <v>34.3776255513679</v>
      </c>
    </row>
    <row r="43" spans="1:66">
      <c r="A43" s="13"/>
      <c r="B43" s="13"/>
      <c r="C43" s="13"/>
      <c r="D43" s="14" t="s">
        <v>7</v>
      </c>
      <c r="E43" s="13">
        <f t="shared" si="9"/>
        <v>3.01050904735501</v>
      </c>
      <c r="F43" s="13">
        <f t="shared" si="15"/>
        <v>2.61147848327697</v>
      </c>
      <c r="G43" s="13">
        <f t="shared" si="18"/>
        <v>1.06070456623368</v>
      </c>
      <c r="H43" s="13">
        <f t="shared" si="21"/>
        <v>0.948350956812836</v>
      </c>
      <c r="I43" s="13">
        <f t="shared" si="24"/>
        <v>1.59299265681732</v>
      </c>
      <c r="J43" s="13">
        <f t="shared" si="27"/>
        <v>1.45656725768343</v>
      </c>
      <c r="K43" s="13">
        <f t="shared" ref="K43:K60" si="30">1/ABS(K10)</f>
        <v>1.17587356290107</v>
      </c>
      <c r="L43" s="13">
        <v>0</v>
      </c>
      <c r="M43" s="13">
        <f t="shared" ref="M43:AC43" si="31">1/ABS(M10)</f>
        <v>3.14145664409323</v>
      </c>
      <c r="N43" s="13">
        <f t="shared" si="31"/>
        <v>2.20303719952062</v>
      </c>
      <c r="O43" s="13">
        <f t="shared" si="31"/>
        <v>2.0424159553611</v>
      </c>
      <c r="P43" s="13">
        <f t="shared" si="31"/>
        <v>0.926923654502575</v>
      </c>
      <c r="Q43" s="13">
        <f t="shared" si="31"/>
        <v>1.75909607483723</v>
      </c>
      <c r="R43" s="13">
        <f t="shared" si="31"/>
        <v>0.917029626454895</v>
      </c>
      <c r="S43" s="13">
        <f t="shared" si="31"/>
        <v>1.57225194064017</v>
      </c>
      <c r="T43" s="13">
        <f t="shared" si="31"/>
        <v>0.997554885144039</v>
      </c>
      <c r="U43" s="13">
        <f t="shared" si="31"/>
        <v>1.24602146409804</v>
      </c>
      <c r="V43" s="13">
        <f t="shared" si="31"/>
        <v>1.04225525772477</v>
      </c>
      <c r="W43" s="13">
        <f t="shared" si="31"/>
        <v>1.78659736544831</v>
      </c>
      <c r="X43" s="13">
        <f t="shared" si="31"/>
        <v>0.829565475562995</v>
      </c>
      <c r="Y43" s="13">
        <f t="shared" si="31"/>
        <v>1.01361457443721</v>
      </c>
      <c r="Z43" s="13">
        <f t="shared" si="31"/>
        <v>1.24139107900485</v>
      </c>
      <c r="AA43" s="13">
        <f t="shared" si="31"/>
        <v>0.930959869217101</v>
      </c>
      <c r="AB43" s="13">
        <f t="shared" si="31"/>
        <v>0.687421949045034</v>
      </c>
      <c r="AC43" s="13">
        <f t="shared" si="31"/>
        <v>0.74828159408352</v>
      </c>
      <c r="AD43" s="13">
        <f t="shared" ref="AD43" si="32">1/ABS(AD10)</f>
        <v>0.813789685675693</v>
      </c>
      <c r="AE43" s="13">
        <f t="shared" si="12"/>
        <v>1.14933870247352</v>
      </c>
      <c r="AF43" s="13">
        <f t="shared" si="12"/>
        <v>0.65031750040971</v>
      </c>
      <c r="AG43" s="13">
        <f t="shared" si="7"/>
        <v>0.968761156446708</v>
      </c>
      <c r="AH43" s="13">
        <f t="shared" si="7"/>
        <v>1.04613149957135</v>
      </c>
      <c r="AI43" s="13">
        <f t="shared" si="7"/>
        <v>1.0289249192341</v>
      </c>
      <c r="AJ43" s="13">
        <f t="shared" si="13"/>
        <v>40.5996146040671</v>
      </c>
      <c r="AK43" s="13">
        <f t="shared" si="14"/>
        <v>40.5996146040671</v>
      </c>
      <c r="AL43" s="13">
        <f t="shared" si="8"/>
        <v>40.5996146040671</v>
      </c>
      <c r="AM43" s="13">
        <f t="shared" si="8"/>
        <v>40.5996146040671</v>
      </c>
      <c r="AN43" s="13">
        <f t="shared" si="8"/>
        <v>40.5996146040671</v>
      </c>
      <c r="AO43" s="13">
        <f t="shared" si="8"/>
        <v>40.5996146040671</v>
      </c>
      <c r="AP43" s="13">
        <f t="shared" si="8"/>
        <v>40.5996146040671</v>
      </c>
      <c r="AQ43" s="13">
        <f t="shared" si="8"/>
        <v>40.5996146040671</v>
      </c>
      <c r="AR43" s="13">
        <f t="shared" si="8"/>
        <v>40.5996146040671</v>
      </c>
      <c r="AS43" s="13">
        <f t="shared" si="8"/>
        <v>40.5996146040671</v>
      </c>
      <c r="AT43" s="13">
        <f t="shared" si="8"/>
        <v>40.5996146040671</v>
      </c>
      <c r="AU43" s="13">
        <f t="shared" si="8"/>
        <v>40.5996146040671</v>
      </c>
      <c r="AV43" s="13">
        <f t="shared" si="8"/>
        <v>40.5996146040671</v>
      </c>
      <c r="AW43" s="13">
        <f t="shared" si="8"/>
        <v>40.5996146040671</v>
      </c>
      <c r="AX43" s="13">
        <f t="shared" si="8"/>
        <v>40.5996146040671</v>
      </c>
      <c r="AY43" s="13">
        <f t="shared" si="8"/>
        <v>40.5996146040671</v>
      </c>
      <c r="AZ43" s="13">
        <f t="shared" si="8"/>
        <v>40.5996146040671</v>
      </c>
      <c r="BA43" s="13">
        <f t="shared" si="8"/>
        <v>40.5996146040671</v>
      </c>
      <c r="BB43" s="13">
        <f t="shared" si="8"/>
        <v>40.5996146040671</v>
      </c>
      <c r="BC43" s="13">
        <f t="shared" si="8"/>
        <v>40.5996146040671</v>
      </c>
      <c r="BD43" s="13">
        <f t="shared" si="8"/>
        <v>40.5996146040671</v>
      </c>
      <c r="BE43" s="13">
        <f t="shared" si="8"/>
        <v>40.5996146040671</v>
      </c>
      <c r="BF43" s="13">
        <f t="shared" si="8"/>
        <v>40.5996146040671</v>
      </c>
      <c r="BG43" s="13">
        <f t="shared" si="8"/>
        <v>40.5996146040671</v>
      </c>
      <c r="BH43" s="13">
        <f t="shared" si="8"/>
        <v>40.5996146040671</v>
      </c>
      <c r="BI43" s="13">
        <f t="shared" si="8"/>
        <v>40.5996146040671</v>
      </c>
      <c r="BJ43" s="13">
        <f t="shared" si="8"/>
        <v>40.5996146040671</v>
      </c>
      <c r="BK43" s="13">
        <f t="shared" si="8"/>
        <v>40.5996146040671</v>
      </c>
      <c r="BL43" s="13">
        <f t="shared" si="8"/>
        <v>40.5996146040671</v>
      </c>
      <c r="BM43" s="13">
        <f t="shared" si="8"/>
        <v>40.5996146040671</v>
      </c>
      <c r="BN43" s="13">
        <f t="shared" si="8"/>
        <v>40.5996146040671</v>
      </c>
    </row>
    <row r="44" spans="1:66">
      <c r="A44" s="13"/>
      <c r="B44" s="13"/>
      <c r="C44" s="13"/>
      <c r="D44" s="14" t="s">
        <v>8</v>
      </c>
      <c r="E44" s="13">
        <f t="shared" si="9"/>
        <v>0.958316280765981</v>
      </c>
      <c r="F44" s="13">
        <f t="shared" si="15"/>
        <v>0.831295408194551</v>
      </c>
      <c r="G44" s="13">
        <f t="shared" si="18"/>
        <v>0.337647367576468</v>
      </c>
      <c r="H44" s="13">
        <f t="shared" si="21"/>
        <v>0.301882554577344</v>
      </c>
      <c r="I44" s="13">
        <f t="shared" si="24"/>
        <v>0.507087264696958</v>
      </c>
      <c r="J44" s="13">
        <f t="shared" si="27"/>
        <v>0.463659831314929</v>
      </c>
      <c r="K44" s="13">
        <f t="shared" si="30"/>
        <v>0.374308384969128</v>
      </c>
      <c r="L44" s="13">
        <f t="shared" ref="L44:L60" si="33">1/ABS(L11)</f>
        <v>0.318323667423602</v>
      </c>
      <c r="M44" s="13">
        <v>0</v>
      </c>
      <c r="N44" s="13">
        <f t="shared" ref="N44:AC44" si="34">1/ABS(N11)</f>
        <v>0.701278880822028</v>
      </c>
      <c r="O44" s="13">
        <f t="shared" si="34"/>
        <v>0.650149337315027</v>
      </c>
      <c r="P44" s="13">
        <f t="shared" si="34"/>
        <v>0.295061737122948</v>
      </c>
      <c r="Q44" s="13">
        <f t="shared" si="34"/>
        <v>0.559961913892651</v>
      </c>
      <c r="R44" s="13">
        <f t="shared" si="34"/>
        <v>0.291912233829218</v>
      </c>
      <c r="S44" s="13">
        <f t="shared" si="34"/>
        <v>0.500485003858456</v>
      </c>
      <c r="T44" s="13">
        <f t="shared" si="34"/>
        <v>0.317545329495381</v>
      </c>
      <c r="U44" s="13">
        <f t="shared" si="34"/>
        <v>0.396638122140214</v>
      </c>
      <c r="V44" s="13">
        <f t="shared" si="34"/>
        <v>0.33177451603048</v>
      </c>
      <c r="W44" s="13">
        <f t="shared" si="34"/>
        <v>0.568716225578853</v>
      </c>
      <c r="X44" s="13">
        <f t="shared" si="34"/>
        <v>0.264070324549217</v>
      </c>
      <c r="Y44" s="13">
        <f t="shared" si="34"/>
        <v>0.322657508688867</v>
      </c>
      <c r="Z44" s="13">
        <f t="shared" si="34"/>
        <v>0.395164160975766</v>
      </c>
      <c r="AA44" s="13">
        <f t="shared" si="34"/>
        <v>0.296346559793385</v>
      </c>
      <c r="AB44" s="13">
        <f t="shared" si="34"/>
        <v>0.218822675887496</v>
      </c>
      <c r="AC44" s="13">
        <f t="shared" si="34"/>
        <v>0.238195741294246</v>
      </c>
      <c r="AD44" s="13">
        <f t="shared" ref="AD44" si="35">1/ABS(AD11)</f>
        <v>0.259048517255787</v>
      </c>
      <c r="AE44" s="13">
        <f t="shared" si="12"/>
        <v>0.365861710883257</v>
      </c>
      <c r="AF44" s="13">
        <f t="shared" si="12"/>
        <v>0.207011451720169</v>
      </c>
      <c r="AG44" s="13">
        <f t="shared" si="7"/>
        <v>0.308379604177646</v>
      </c>
      <c r="AH44" s="13">
        <f t="shared" si="7"/>
        <v>0.333008415550906</v>
      </c>
      <c r="AI44" s="13">
        <f t="shared" si="7"/>
        <v>0.327531153794132</v>
      </c>
      <c r="AJ44" s="13">
        <f t="shared" si="13"/>
        <v>12.2421418841751</v>
      </c>
      <c r="AK44" s="13">
        <f t="shared" si="14"/>
        <v>12.2421418841751</v>
      </c>
      <c r="AL44" s="13">
        <f t="shared" si="8"/>
        <v>12.2421418841751</v>
      </c>
      <c r="AM44" s="13">
        <f t="shared" si="8"/>
        <v>12.2421418841751</v>
      </c>
      <c r="AN44" s="13">
        <f t="shared" si="8"/>
        <v>12.2421418841751</v>
      </c>
      <c r="AO44" s="13">
        <f t="shared" si="8"/>
        <v>12.2421418841751</v>
      </c>
      <c r="AP44" s="13">
        <f t="shared" si="8"/>
        <v>12.2421418841751</v>
      </c>
      <c r="AQ44" s="13">
        <f t="shared" si="8"/>
        <v>12.2421418841751</v>
      </c>
      <c r="AR44" s="13">
        <f t="shared" si="8"/>
        <v>12.2421418841751</v>
      </c>
      <c r="AS44" s="13">
        <f t="shared" si="8"/>
        <v>12.2421418841751</v>
      </c>
      <c r="AT44" s="13">
        <f t="shared" si="8"/>
        <v>12.2421418841751</v>
      </c>
      <c r="AU44" s="13">
        <f t="shared" si="8"/>
        <v>12.2421418841751</v>
      </c>
      <c r="AV44" s="13">
        <f t="shared" si="8"/>
        <v>12.2421418841751</v>
      </c>
      <c r="AW44" s="13">
        <f t="shared" si="8"/>
        <v>12.2421418841751</v>
      </c>
      <c r="AX44" s="13">
        <f t="shared" si="8"/>
        <v>12.2421418841751</v>
      </c>
      <c r="AY44" s="13">
        <f t="shared" si="8"/>
        <v>12.2421418841751</v>
      </c>
      <c r="AZ44" s="13">
        <f t="shared" si="8"/>
        <v>12.2421418841751</v>
      </c>
      <c r="BA44" s="13">
        <f t="shared" si="8"/>
        <v>12.2421418841751</v>
      </c>
      <c r="BB44" s="13">
        <f t="shared" si="8"/>
        <v>12.2421418841751</v>
      </c>
      <c r="BC44" s="13">
        <f t="shared" si="8"/>
        <v>12.2421418841751</v>
      </c>
      <c r="BD44" s="13">
        <f t="shared" si="8"/>
        <v>12.2421418841751</v>
      </c>
      <c r="BE44" s="13">
        <f t="shared" si="8"/>
        <v>12.2421418841751</v>
      </c>
      <c r="BF44" s="13">
        <f t="shared" si="8"/>
        <v>12.2421418841751</v>
      </c>
      <c r="BG44" s="13">
        <f t="shared" si="8"/>
        <v>12.2421418841751</v>
      </c>
      <c r="BH44" s="13">
        <f t="shared" si="8"/>
        <v>12.2421418841751</v>
      </c>
      <c r="BI44" s="13">
        <f t="shared" ref="BI44:BN44" si="36">$AJ44</f>
        <v>12.2421418841751</v>
      </c>
      <c r="BJ44" s="13">
        <f t="shared" si="36"/>
        <v>12.2421418841751</v>
      </c>
      <c r="BK44" s="13">
        <f t="shared" si="36"/>
        <v>12.2421418841751</v>
      </c>
      <c r="BL44" s="13">
        <f t="shared" si="36"/>
        <v>12.2421418841751</v>
      </c>
      <c r="BM44" s="13">
        <f t="shared" si="36"/>
        <v>12.2421418841751</v>
      </c>
      <c r="BN44" s="13">
        <f t="shared" si="36"/>
        <v>12.2421418841751</v>
      </c>
    </row>
    <row r="45" spans="1:66">
      <c r="A45" s="13"/>
      <c r="B45" s="13"/>
      <c r="C45" s="13"/>
      <c r="D45" s="14" t="s">
        <v>9</v>
      </c>
      <c r="E45" s="13">
        <f t="shared" si="9"/>
        <v>1.36652665148373</v>
      </c>
      <c r="F45" s="13">
        <f t="shared" si="15"/>
        <v>1.18539917702943</v>
      </c>
      <c r="G45" s="13">
        <f t="shared" si="18"/>
        <v>0.481473742914777</v>
      </c>
      <c r="H45" s="13">
        <f t="shared" si="21"/>
        <v>0.430474327450846</v>
      </c>
      <c r="I45" s="13">
        <f t="shared" si="24"/>
        <v>0.723089313772801</v>
      </c>
      <c r="J45" s="13">
        <f t="shared" si="27"/>
        <v>0.661163260429908</v>
      </c>
      <c r="K45" s="13">
        <f t="shared" si="30"/>
        <v>0.533751115576687</v>
      </c>
      <c r="L45" s="13">
        <f t="shared" si="33"/>
        <v>0.453918799109519</v>
      </c>
      <c r="M45" s="13">
        <f t="shared" ref="M45:M60" si="37">1/ABS(M12)</f>
        <v>1.42596622734142</v>
      </c>
      <c r="N45" s="13">
        <v>0</v>
      </c>
      <c r="O45" s="13">
        <f t="shared" ref="O45:AC45" si="38">1/ABS(O12)</f>
        <v>0.927090997739633</v>
      </c>
      <c r="P45" s="13">
        <f t="shared" si="38"/>
        <v>0.420748072118016</v>
      </c>
      <c r="Q45" s="13">
        <f t="shared" si="38"/>
        <v>0.798486777808385</v>
      </c>
      <c r="R45" s="13">
        <f t="shared" si="38"/>
        <v>0.416256986788257</v>
      </c>
      <c r="S45" s="13">
        <f t="shared" si="38"/>
        <v>0.713674712792998</v>
      </c>
      <c r="T45" s="13">
        <f t="shared" si="38"/>
        <v>0.452808915510417</v>
      </c>
      <c r="U45" s="13">
        <f t="shared" si="38"/>
        <v>0.565592566648067</v>
      </c>
      <c r="V45" s="13">
        <f t="shared" si="38"/>
        <v>0.473099254952009</v>
      </c>
      <c r="W45" s="13">
        <f t="shared" si="38"/>
        <v>0.810970130616529</v>
      </c>
      <c r="X45" s="13">
        <f t="shared" si="38"/>
        <v>0.376555364450272</v>
      </c>
      <c r="Y45" s="13">
        <f t="shared" si="38"/>
        <v>0.460098710388446</v>
      </c>
      <c r="Z45" s="13">
        <f t="shared" si="38"/>
        <v>0.56349074780715</v>
      </c>
      <c r="AA45" s="13">
        <f t="shared" si="38"/>
        <v>0.422580185854182</v>
      </c>
      <c r="AB45" s="13">
        <f t="shared" si="38"/>
        <v>0.312033745592047</v>
      </c>
      <c r="AC45" s="13">
        <f t="shared" si="38"/>
        <v>0.339659082582148</v>
      </c>
      <c r="AD45" s="13">
        <f t="shared" ref="AD45" si="39">1/ABS(AD12)</f>
        <v>0.369394436849624</v>
      </c>
      <c r="AE45" s="13">
        <f t="shared" si="12"/>
        <v>0.521706443596875</v>
      </c>
      <c r="AF45" s="13">
        <f t="shared" si="12"/>
        <v>0.29519133882588</v>
      </c>
      <c r="AG45" s="13">
        <f t="shared" si="7"/>
        <v>0.439738900758239</v>
      </c>
      <c r="AH45" s="13">
        <f t="shared" si="7"/>
        <v>0.474858753996069</v>
      </c>
      <c r="AI45" s="13">
        <f t="shared" si="7"/>
        <v>0.4670483637126</v>
      </c>
      <c r="AJ45" s="13">
        <f t="shared" si="13"/>
        <v>17.882847104497</v>
      </c>
      <c r="AK45" s="13">
        <f t="shared" si="14"/>
        <v>17.882847104497</v>
      </c>
      <c r="AL45" s="13">
        <f t="shared" si="14"/>
        <v>17.882847104497</v>
      </c>
      <c r="AM45" s="13">
        <f t="shared" si="14"/>
        <v>17.882847104497</v>
      </c>
      <c r="AN45" s="13">
        <f t="shared" si="14"/>
        <v>17.882847104497</v>
      </c>
      <c r="AO45" s="13">
        <f t="shared" si="14"/>
        <v>17.882847104497</v>
      </c>
      <c r="AP45" s="13">
        <f t="shared" si="14"/>
        <v>17.882847104497</v>
      </c>
      <c r="AQ45" s="13">
        <f t="shared" si="14"/>
        <v>17.882847104497</v>
      </c>
      <c r="AR45" s="13">
        <f t="shared" si="14"/>
        <v>17.882847104497</v>
      </c>
      <c r="AS45" s="13">
        <f t="shared" si="14"/>
        <v>17.882847104497</v>
      </c>
      <c r="AT45" s="13">
        <f t="shared" si="14"/>
        <v>17.882847104497</v>
      </c>
      <c r="AU45" s="13">
        <f t="shared" si="14"/>
        <v>17.882847104497</v>
      </c>
      <c r="AV45" s="13">
        <f t="shared" si="14"/>
        <v>17.882847104497</v>
      </c>
      <c r="AW45" s="13">
        <f t="shared" si="14"/>
        <v>17.882847104497</v>
      </c>
      <c r="AX45" s="13">
        <f t="shared" si="14"/>
        <v>17.882847104497</v>
      </c>
      <c r="AY45" s="13">
        <f t="shared" si="14"/>
        <v>17.882847104497</v>
      </c>
      <c r="AZ45" s="13">
        <f t="shared" si="14"/>
        <v>17.882847104497</v>
      </c>
      <c r="BA45" s="13">
        <f t="shared" ref="BA45:BN66" si="40">$AJ45</f>
        <v>17.882847104497</v>
      </c>
      <c r="BB45" s="13">
        <f t="shared" si="40"/>
        <v>17.882847104497</v>
      </c>
      <c r="BC45" s="13">
        <f t="shared" si="40"/>
        <v>17.882847104497</v>
      </c>
      <c r="BD45" s="13">
        <f t="shared" si="40"/>
        <v>17.882847104497</v>
      </c>
      <c r="BE45" s="13">
        <f t="shared" si="40"/>
        <v>17.882847104497</v>
      </c>
      <c r="BF45" s="13">
        <f t="shared" si="40"/>
        <v>17.882847104497</v>
      </c>
      <c r="BG45" s="13">
        <f t="shared" si="40"/>
        <v>17.882847104497</v>
      </c>
      <c r="BH45" s="13">
        <f t="shared" si="40"/>
        <v>17.882847104497</v>
      </c>
      <c r="BI45" s="13">
        <f t="shared" si="40"/>
        <v>17.882847104497</v>
      </c>
      <c r="BJ45" s="13">
        <f t="shared" si="40"/>
        <v>17.882847104497</v>
      </c>
      <c r="BK45" s="13">
        <f t="shared" si="40"/>
        <v>17.882847104497</v>
      </c>
      <c r="BL45" s="13">
        <f t="shared" si="40"/>
        <v>17.882847104497</v>
      </c>
      <c r="BM45" s="13">
        <f t="shared" si="40"/>
        <v>17.882847104497</v>
      </c>
      <c r="BN45" s="13">
        <f t="shared" si="40"/>
        <v>17.882847104497</v>
      </c>
    </row>
    <row r="46" spans="1:66">
      <c r="A46" s="13"/>
      <c r="B46" s="13"/>
      <c r="C46" s="13"/>
      <c r="D46" s="14" t="s">
        <v>10</v>
      </c>
      <c r="E46" s="13">
        <f t="shared" si="9"/>
        <v>1.47399408991727</v>
      </c>
      <c r="F46" s="13">
        <f t="shared" si="15"/>
        <v>1.27862224950904</v>
      </c>
      <c r="G46" s="13">
        <f t="shared" si="18"/>
        <v>0.519338170782234</v>
      </c>
      <c r="H46" s="13">
        <f t="shared" si="21"/>
        <v>0.464328020119273</v>
      </c>
      <c r="I46" s="13">
        <f t="shared" si="24"/>
        <v>0.779955058927101</v>
      </c>
      <c r="J46" s="13">
        <f t="shared" si="27"/>
        <v>0.713158969337324</v>
      </c>
      <c r="K46" s="13">
        <f t="shared" si="30"/>
        <v>0.575726780734621</v>
      </c>
      <c r="L46" s="13">
        <f t="shared" si="33"/>
        <v>0.489616229923741</v>
      </c>
      <c r="M46" s="13">
        <f t="shared" si="37"/>
        <v>1.53810815854982</v>
      </c>
      <c r="N46" s="13">
        <f t="shared" ref="N46:N60" si="41">1/ABS(N13)</f>
        <v>1.07864276801105</v>
      </c>
      <c r="O46" s="13">
        <v>0</v>
      </c>
      <c r="P46" s="13">
        <f t="shared" ref="P46:Y46" si="42">1/ABS(P13)</f>
        <v>0.453836865144688</v>
      </c>
      <c r="Q46" s="13">
        <f t="shared" si="42"/>
        <v>0.861281988235457</v>
      </c>
      <c r="R46" s="13">
        <f t="shared" si="42"/>
        <v>0.448992588433223</v>
      </c>
      <c r="S46" s="13">
        <f t="shared" si="42"/>
        <v>0.769800067666527</v>
      </c>
      <c r="T46" s="13">
        <f t="shared" si="42"/>
        <v>0.488419062006235</v>
      </c>
      <c r="U46" s="13">
        <f t="shared" si="42"/>
        <v>0.610072331655742</v>
      </c>
      <c r="V46" s="13">
        <f t="shared" si="42"/>
        <v>0.510305089905399</v>
      </c>
      <c r="W46" s="13">
        <f t="shared" si="42"/>
        <v>0.874747066462492</v>
      </c>
      <c r="X46" s="13">
        <f t="shared" si="42"/>
        <v>0.406168720620049</v>
      </c>
      <c r="Y46" s="13">
        <f t="shared" si="42"/>
        <v>0.496282146531705</v>
      </c>
      <c r="Z46" s="13">
        <f t="shared" ref="Z46:AI46" si="43">1/ABS(Z13)</f>
        <v>0.607805219963318</v>
      </c>
      <c r="AA46" s="13">
        <f t="shared" si="43"/>
        <v>0.455813061376376</v>
      </c>
      <c r="AB46" s="13">
        <f t="shared" si="43"/>
        <v>0.33657294305826</v>
      </c>
      <c r="AC46" s="13">
        <f t="shared" si="43"/>
        <v>0.3663708130165</v>
      </c>
      <c r="AD46" s="13">
        <f t="shared" si="43"/>
        <v>0.39844463785136</v>
      </c>
      <c r="AE46" s="13">
        <f t="shared" si="43"/>
        <v>0.562734882410532</v>
      </c>
      <c r="AF46" s="13">
        <f t="shared" si="43"/>
        <v>0.318406002804033</v>
      </c>
      <c r="AG46" s="13">
        <f t="shared" si="43"/>
        <v>0.474321185116001</v>
      </c>
      <c r="AH46" s="13">
        <f t="shared" si="43"/>
        <v>0.512202960824596</v>
      </c>
      <c r="AI46" s="13">
        <f t="shared" si="43"/>
        <v>0.503778339829989</v>
      </c>
      <c r="AJ46" s="13">
        <f t="shared" si="13"/>
        <v>19.367846468724</v>
      </c>
      <c r="AK46" s="13">
        <f t="shared" si="14"/>
        <v>19.367846468724</v>
      </c>
      <c r="AL46" s="13">
        <f t="shared" si="14"/>
        <v>19.367846468724</v>
      </c>
      <c r="AM46" s="13">
        <f t="shared" si="14"/>
        <v>19.367846468724</v>
      </c>
      <c r="AN46" s="13">
        <f t="shared" si="14"/>
        <v>19.367846468724</v>
      </c>
      <c r="AO46" s="13">
        <f t="shared" si="14"/>
        <v>19.367846468724</v>
      </c>
      <c r="AP46" s="13">
        <f t="shared" si="14"/>
        <v>19.367846468724</v>
      </c>
      <c r="AQ46" s="13">
        <f t="shared" si="14"/>
        <v>19.367846468724</v>
      </c>
      <c r="AR46" s="13">
        <f t="shared" si="14"/>
        <v>19.367846468724</v>
      </c>
      <c r="AS46" s="13">
        <f t="shared" si="14"/>
        <v>19.367846468724</v>
      </c>
      <c r="AT46" s="13">
        <f t="shared" si="14"/>
        <v>19.367846468724</v>
      </c>
      <c r="AU46" s="13">
        <f t="shared" si="14"/>
        <v>19.367846468724</v>
      </c>
      <c r="AV46" s="13">
        <f t="shared" si="14"/>
        <v>19.367846468724</v>
      </c>
      <c r="AW46" s="13">
        <f t="shared" si="14"/>
        <v>19.367846468724</v>
      </c>
      <c r="AX46" s="13">
        <f t="shared" si="14"/>
        <v>19.367846468724</v>
      </c>
      <c r="AY46" s="13">
        <f t="shared" si="14"/>
        <v>19.367846468724</v>
      </c>
      <c r="AZ46" s="13">
        <f t="shared" si="14"/>
        <v>19.367846468724</v>
      </c>
      <c r="BA46" s="13">
        <f t="shared" si="40"/>
        <v>19.367846468724</v>
      </c>
      <c r="BB46" s="13">
        <f t="shared" si="40"/>
        <v>19.367846468724</v>
      </c>
      <c r="BC46" s="13">
        <f t="shared" si="40"/>
        <v>19.367846468724</v>
      </c>
      <c r="BD46" s="13">
        <f t="shared" si="40"/>
        <v>19.367846468724</v>
      </c>
      <c r="BE46" s="13">
        <f t="shared" si="40"/>
        <v>19.367846468724</v>
      </c>
      <c r="BF46" s="13">
        <f t="shared" si="40"/>
        <v>19.367846468724</v>
      </c>
      <c r="BG46" s="13">
        <f t="shared" si="40"/>
        <v>19.367846468724</v>
      </c>
      <c r="BH46" s="13">
        <f t="shared" si="40"/>
        <v>19.367846468724</v>
      </c>
      <c r="BI46" s="13">
        <f t="shared" si="40"/>
        <v>19.367846468724</v>
      </c>
      <c r="BJ46" s="13">
        <f t="shared" si="40"/>
        <v>19.367846468724</v>
      </c>
      <c r="BK46" s="13">
        <f t="shared" si="40"/>
        <v>19.367846468724</v>
      </c>
      <c r="BL46" s="13">
        <f t="shared" si="40"/>
        <v>19.367846468724</v>
      </c>
      <c r="BM46" s="13">
        <f t="shared" si="40"/>
        <v>19.367846468724</v>
      </c>
      <c r="BN46" s="13">
        <f t="shared" si="40"/>
        <v>19.367846468724</v>
      </c>
    </row>
    <row r="47" spans="1:66">
      <c r="A47" s="13"/>
      <c r="B47" s="13"/>
      <c r="C47" s="13"/>
      <c r="D47" s="14" t="s">
        <v>11</v>
      </c>
      <c r="E47" s="13">
        <f t="shared" si="9"/>
        <v>3.24785006049993</v>
      </c>
      <c r="F47" s="13">
        <f t="shared" si="15"/>
        <v>2.81736092351467</v>
      </c>
      <c r="G47" s="13">
        <f t="shared" si="18"/>
        <v>1.14432786463185</v>
      </c>
      <c r="H47" s="13">
        <f t="shared" si="21"/>
        <v>1.02311657729973</v>
      </c>
      <c r="I47" s="13">
        <f t="shared" si="24"/>
        <v>1.71858021863967</v>
      </c>
      <c r="J47" s="13">
        <f t="shared" si="27"/>
        <v>1.57139938182404</v>
      </c>
      <c r="K47" s="13">
        <f t="shared" si="30"/>
        <v>1.26857649730829</v>
      </c>
      <c r="L47" s="13">
        <f t="shared" si="33"/>
        <v>1.07883750203423</v>
      </c>
      <c r="M47" s="13">
        <f t="shared" si="37"/>
        <v>3.38912123866238</v>
      </c>
      <c r="N47" s="13">
        <f t="shared" si="41"/>
        <v>2.37671914921932</v>
      </c>
      <c r="O47" s="13">
        <f t="shared" ref="O47:O60" si="44">1/ABS(O14)</f>
        <v>2.20343492739663</v>
      </c>
      <c r="P47" s="13">
        <v>0</v>
      </c>
      <c r="Q47" s="13">
        <f t="shared" ref="Q47:AC47" si="45">1/ABS(Q14)</f>
        <v>1.89777881521562</v>
      </c>
      <c r="R47" s="13">
        <f t="shared" si="45"/>
        <v>0.989325951495984</v>
      </c>
      <c r="S47" s="13">
        <f t="shared" si="45"/>
        <v>1.69620435620872</v>
      </c>
      <c r="T47" s="13">
        <f t="shared" si="45"/>
        <v>1.07619962043084</v>
      </c>
      <c r="U47" s="13">
        <f t="shared" si="45"/>
        <v>1.34425468380856</v>
      </c>
      <c r="V47" s="13">
        <f t="shared" si="45"/>
        <v>1.12442405872583</v>
      </c>
      <c r="W47" s="13">
        <f t="shared" si="45"/>
        <v>1.9274482388812</v>
      </c>
      <c r="X47" s="13">
        <f t="shared" si="45"/>
        <v>0.894966345430221</v>
      </c>
      <c r="Y47" s="13">
        <f t="shared" si="45"/>
        <v>1.09352541551133</v>
      </c>
      <c r="Z47" s="13">
        <f t="shared" si="45"/>
        <v>1.33925925072117</v>
      </c>
      <c r="AA47" s="13">
        <f t="shared" si="45"/>
        <v>1.00435441980029</v>
      </c>
      <c r="AB47" s="13">
        <f t="shared" si="45"/>
        <v>0.741616578351247</v>
      </c>
      <c r="AC47" s="13">
        <f t="shared" si="45"/>
        <v>0.807274245779258</v>
      </c>
      <c r="AD47" s="13">
        <f t="shared" ref="AD47" si="46">1/ABS(AD14)</f>
        <v>0.877946831675588</v>
      </c>
      <c r="AE47" s="13">
        <f t="shared" ref="AE47:AI60" si="47">1/ABS(AE14)</f>
        <v>1.2399496947678</v>
      </c>
      <c r="AF47" s="13">
        <f t="shared" si="47"/>
        <v>0.701586907671157</v>
      </c>
      <c r="AG47" s="13">
        <f t="shared" si="47"/>
        <v>1.04513586608876</v>
      </c>
      <c r="AH47" s="13">
        <f t="shared" si="47"/>
        <v>1.12860589379688</v>
      </c>
      <c r="AI47" s="13">
        <f t="shared" si="47"/>
        <v>1.11004278964729</v>
      </c>
      <c r="AJ47" s="13">
        <f t="shared" si="13"/>
        <v>43.8792243050385</v>
      </c>
      <c r="AK47" s="13">
        <f t="shared" si="14"/>
        <v>43.8792243050385</v>
      </c>
      <c r="AL47" s="13">
        <f t="shared" si="14"/>
        <v>43.8792243050385</v>
      </c>
      <c r="AM47" s="13">
        <f t="shared" si="14"/>
        <v>43.8792243050385</v>
      </c>
      <c r="AN47" s="13">
        <f t="shared" si="14"/>
        <v>43.8792243050385</v>
      </c>
      <c r="AO47" s="13">
        <f t="shared" si="14"/>
        <v>43.8792243050385</v>
      </c>
      <c r="AP47" s="13">
        <f t="shared" si="14"/>
        <v>43.8792243050385</v>
      </c>
      <c r="AQ47" s="13">
        <f t="shared" si="14"/>
        <v>43.8792243050385</v>
      </c>
      <c r="AR47" s="13">
        <f t="shared" si="14"/>
        <v>43.8792243050385</v>
      </c>
      <c r="AS47" s="13">
        <f t="shared" si="14"/>
        <v>43.8792243050385</v>
      </c>
      <c r="AT47" s="13">
        <f t="shared" si="14"/>
        <v>43.8792243050385</v>
      </c>
      <c r="AU47" s="13">
        <f t="shared" si="14"/>
        <v>43.8792243050385</v>
      </c>
      <c r="AV47" s="13">
        <f t="shared" si="14"/>
        <v>43.8792243050385</v>
      </c>
      <c r="AW47" s="13">
        <f t="shared" si="14"/>
        <v>43.8792243050385</v>
      </c>
      <c r="AX47" s="13">
        <f t="shared" si="14"/>
        <v>43.8792243050385</v>
      </c>
      <c r="AY47" s="13">
        <f t="shared" si="14"/>
        <v>43.8792243050385</v>
      </c>
      <c r="AZ47" s="13">
        <f t="shared" si="14"/>
        <v>43.8792243050385</v>
      </c>
      <c r="BA47" s="13">
        <f t="shared" si="40"/>
        <v>43.8792243050385</v>
      </c>
      <c r="BB47" s="13">
        <f t="shared" si="40"/>
        <v>43.8792243050385</v>
      </c>
      <c r="BC47" s="13">
        <f t="shared" si="40"/>
        <v>43.8792243050385</v>
      </c>
      <c r="BD47" s="13">
        <f t="shared" si="40"/>
        <v>43.8792243050385</v>
      </c>
      <c r="BE47" s="13">
        <f t="shared" si="40"/>
        <v>43.8792243050385</v>
      </c>
      <c r="BF47" s="13">
        <f t="shared" si="40"/>
        <v>43.8792243050385</v>
      </c>
      <c r="BG47" s="13">
        <f t="shared" si="40"/>
        <v>43.8792243050385</v>
      </c>
      <c r="BH47" s="13">
        <f t="shared" si="40"/>
        <v>43.8792243050385</v>
      </c>
      <c r="BI47" s="13">
        <f t="shared" si="40"/>
        <v>43.8792243050385</v>
      </c>
      <c r="BJ47" s="13">
        <f t="shared" si="40"/>
        <v>43.8792243050385</v>
      </c>
      <c r="BK47" s="13">
        <f t="shared" si="40"/>
        <v>43.8792243050385</v>
      </c>
      <c r="BL47" s="13">
        <f t="shared" si="40"/>
        <v>43.8792243050385</v>
      </c>
      <c r="BM47" s="13">
        <f t="shared" si="40"/>
        <v>43.8792243050385</v>
      </c>
      <c r="BN47" s="13">
        <f t="shared" si="40"/>
        <v>43.8792243050385</v>
      </c>
    </row>
    <row r="48" spans="1:66">
      <c r="A48" s="13"/>
      <c r="B48" s="13"/>
      <c r="C48" s="13"/>
      <c r="D48" s="14" t="s">
        <v>12</v>
      </c>
      <c r="E48" s="13">
        <f t="shared" si="9"/>
        <v>1.71139546635255</v>
      </c>
      <c r="F48" s="13">
        <f t="shared" si="15"/>
        <v>1.48455705213179</v>
      </c>
      <c r="G48" s="13">
        <f t="shared" si="18"/>
        <v>0.60298273721737</v>
      </c>
      <c r="H48" s="13">
        <f t="shared" si="21"/>
        <v>0.539112655856836</v>
      </c>
      <c r="I48" s="13">
        <f t="shared" si="24"/>
        <v>0.905574561619507</v>
      </c>
      <c r="J48" s="13">
        <f t="shared" si="27"/>
        <v>0.828020298901643</v>
      </c>
      <c r="K48" s="13">
        <f t="shared" si="30"/>
        <v>0.668453292416037</v>
      </c>
      <c r="L48" s="13">
        <f t="shared" si="33"/>
        <v>0.568473782816285</v>
      </c>
      <c r="M48" s="13">
        <f t="shared" si="37"/>
        <v>1.78583574202103</v>
      </c>
      <c r="N48" s="13">
        <f t="shared" si="41"/>
        <v>1.25236889049648</v>
      </c>
      <c r="O48" s="13">
        <f t="shared" si="44"/>
        <v>1.16105992422846</v>
      </c>
      <c r="P48" s="13">
        <f t="shared" ref="P48:P60" si="48">1/ABS(P15)</f>
        <v>0.526931796256975</v>
      </c>
      <c r="Q48" s="13">
        <v>0</v>
      </c>
      <c r="R48" s="13">
        <f t="shared" ref="R48:AC48" si="49">1/ABS(R15)</f>
        <v>0.52130730070542</v>
      </c>
      <c r="S48" s="13">
        <f t="shared" si="49"/>
        <v>0.893784008235964</v>
      </c>
      <c r="T48" s="13">
        <f t="shared" si="49"/>
        <v>0.567083799124697</v>
      </c>
      <c r="U48" s="13">
        <f t="shared" si="49"/>
        <v>0.708330535166098</v>
      </c>
      <c r="V48" s="13">
        <f t="shared" si="49"/>
        <v>0.592494789018962</v>
      </c>
      <c r="W48" s="13">
        <f t="shared" si="49"/>
        <v>1.01563376270601</v>
      </c>
      <c r="X48" s="13">
        <f t="shared" si="49"/>
        <v>0.471586223987087</v>
      </c>
      <c r="Y48" s="13">
        <f t="shared" si="49"/>
        <v>0.576213311448041</v>
      </c>
      <c r="Z48" s="13">
        <f t="shared" si="49"/>
        <v>0.705698282636275</v>
      </c>
      <c r="AA48" s="13">
        <f t="shared" si="49"/>
        <v>0.529226278504</v>
      </c>
      <c r="AB48" s="13">
        <f t="shared" si="49"/>
        <v>0.390781355764574</v>
      </c>
      <c r="AC48" s="13">
        <f t="shared" si="49"/>
        <v>0.425378468400459</v>
      </c>
      <c r="AD48" s="13">
        <f t="shared" ref="AD48" si="50">1/ABS(AD15)</f>
        <v>0.462618101032937</v>
      </c>
      <c r="AE48" s="13">
        <f t="shared" si="47"/>
        <v>0.653368919932286</v>
      </c>
      <c r="AF48" s="13">
        <f t="shared" si="47"/>
        <v>0.369688449489539</v>
      </c>
      <c r="AG48" s="13">
        <f t="shared" si="47"/>
        <v>0.550715319250739</v>
      </c>
      <c r="AH48" s="13">
        <f t="shared" si="47"/>
        <v>0.5946983308846</v>
      </c>
      <c r="AI48" s="13">
        <f t="shared" si="47"/>
        <v>0.584916841070948</v>
      </c>
      <c r="AJ48" s="13">
        <f t="shared" si="13"/>
        <v>22.6482902776736</v>
      </c>
      <c r="AK48" s="13">
        <f t="shared" si="14"/>
        <v>22.6482902776736</v>
      </c>
      <c r="AL48" s="13">
        <f t="shared" si="14"/>
        <v>22.6482902776736</v>
      </c>
      <c r="AM48" s="13">
        <f t="shared" si="14"/>
        <v>22.6482902776736</v>
      </c>
      <c r="AN48" s="13">
        <f t="shared" si="14"/>
        <v>22.6482902776736</v>
      </c>
      <c r="AO48" s="13">
        <f t="shared" si="14"/>
        <v>22.6482902776736</v>
      </c>
      <c r="AP48" s="13">
        <f t="shared" si="14"/>
        <v>22.6482902776736</v>
      </c>
      <c r="AQ48" s="13">
        <f t="shared" si="14"/>
        <v>22.6482902776736</v>
      </c>
      <c r="AR48" s="13">
        <f t="shared" si="14"/>
        <v>22.6482902776736</v>
      </c>
      <c r="AS48" s="13">
        <f t="shared" si="14"/>
        <v>22.6482902776736</v>
      </c>
      <c r="AT48" s="13">
        <f t="shared" si="14"/>
        <v>22.6482902776736</v>
      </c>
      <c r="AU48" s="13">
        <f t="shared" si="14"/>
        <v>22.6482902776736</v>
      </c>
      <c r="AV48" s="13">
        <f t="shared" si="14"/>
        <v>22.6482902776736</v>
      </c>
      <c r="AW48" s="13">
        <f t="shared" si="14"/>
        <v>22.6482902776736</v>
      </c>
      <c r="AX48" s="13">
        <f t="shared" si="14"/>
        <v>22.6482902776736</v>
      </c>
      <c r="AY48" s="13">
        <f t="shared" si="14"/>
        <v>22.6482902776736</v>
      </c>
      <c r="AZ48" s="13">
        <f t="shared" si="14"/>
        <v>22.6482902776736</v>
      </c>
      <c r="BA48" s="13">
        <f t="shared" si="40"/>
        <v>22.6482902776736</v>
      </c>
      <c r="BB48" s="13">
        <f t="shared" si="40"/>
        <v>22.6482902776736</v>
      </c>
      <c r="BC48" s="13">
        <f t="shared" si="40"/>
        <v>22.6482902776736</v>
      </c>
      <c r="BD48" s="13">
        <f t="shared" si="40"/>
        <v>22.6482902776736</v>
      </c>
      <c r="BE48" s="13">
        <f t="shared" si="40"/>
        <v>22.6482902776736</v>
      </c>
      <c r="BF48" s="13">
        <f t="shared" si="40"/>
        <v>22.6482902776736</v>
      </c>
      <c r="BG48" s="13">
        <f t="shared" si="40"/>
        <v>22.6482902776736</v>
      </c>
      <c r="BH48" s="13">
        <f t="shared" si="40"/>
        <v>22.6482902776736</v>
      </c>
      <c r="BI48" s="13">
        <f t="shared" si="40"/>
        <v>22.6482902776736</v>
      </c>
      <c r="BJ48" s="13">
        <f t="shared" si="40"/>
        <v>22.6482902776736</v>
      </c>
      <c r="BK48" s="13">
        <f t="shared" si="40"/>
        <v>22.6482902776736</v>
      </c>
      <c r="BL48" s="13">
        <f t="shared" si="40"/>
        <v>22.6482902776736</v>
      </c>
      <c r="BM48" s="13">
        <f t="shared" si="40"/>
        <v>22.6482902776736</v>
      </c>
      <c r="BN48" s="13">
        <f t="shared" si="40"/>
        <v>22.6482902776736</v>
      </c>
    </row>
    <row r="49" spans="1:66">
      <c r="A49" s="13"/>
      <c r="B49" s="13"/>
      <c r="C49" s="13"/>
      <c r="D49" s="14" t="s">
        <v>13</v>
      </c>
      <c r="E49" s="13">
        <f t="shared" si="9"/>
        <v>3.28289180688001</v>
      </c>
      <c r="F49" s="13">
        <f t="shared" si="15"/>
        <v>2.84775803086381</v>
      </c>
      <c r="G49" s="13">
        <f t="shared" si="18"/>
        <v>1.15667426180571</v>
      </c>
      <c r="H49" s="13">
        <f t="shared" si="21"/>
        <v>1.03415520006592</v>
      </c>
      <c r="I49" s="13">
        <f t="shared" si="24"/>
        <v>1.73712234682712</v>
      </c>
      <c r="J49" s="13">
        <f t="shared" si="27"/>
        <v>1.58835354460064</v>
      </c>
      <c r="K49" s="13">
        <f t="shared" si="30"/>
        <v>1.28226343945597</v>
      </c>
      <c r="L49" s="13">
        <f t="shared" si="33"/>
        <v>1.09047730973083</v>
      </c>
      <c r="M49" s="13">
        <f t="shared" si="37"/>
        <v>3.42568718988682</v>
      </c>
      <c r="N49" s="13">
        <f t="shared" si="41"/>
        <v>2.40236207857019</v>
      </c>
      <c r="O49" s="13">
        <f t="shared" si="44"/>
        <v>2.22720825635349</v>
      </c>
      <c r="P49" s="13">
        <f t="shared" si="48"/>
        <v>1.01078921308784</v>
      </c>
      <c r="Q49" s="13">
        <f t="shared" ref="Q49:Q60" si="51">1/ABS(Q16)</f>
        <v>1.91825435524656</v>
      </c>
      <c r="R49" s="13">
        <v>0</v>
      </c>
      <c r="S49" s="13">
        <f t="shared" ref="S49:AC49" si="52">1/ABS(S16)</f>
        <v>1.71450506644837</v>
      </c>
      <c r="T49" s="13">
        <f t="shared" si="52"/>
        <v>1.08781096746072</v>
      </c>
      <c r="U49" s="13">
        <f t="shared" si="52"/>
        <v>1.3587581340365</v>
      </c>
      <c r="V49" s="13">
        <f t="shared" si="52"/>
        <v>1.13655570949652</v>
      </c>
      <c r="W49" s="13">
        <f t="shared" si="52"/>
        <v>1.94824388864626</v>
      </c>
      <c r="X49" s="13">
        <f t="shared" si="52"/>
        <v>0.90462232803751</v>
      </c>
      <c r="Y49" s="13">
        <f t="shared" si="52"/>
        <v>1.10532369423625</v>
      </c>
      <c r="Z49" s="13">
        <f t="shared" si="52"/>
        <v>1.35370880415705</v>
      </c>
      <c r="AA49" s="13">
        <f t="shared" si="52"/>
        <v>1.01519061365123</v>
      </c>
      <c r="AB49" s="13">
        <f t="shared" si="52"/>
        <v>0.74961803764455</v>
      </c>
      <c r="AC49" s="13">
        <f t="shared" si="52"/>
        <v>0.815984099637292</v>
      </c>
      <c r="AD49" s="13">
        <f t="shared" ref="AD49" si="53">1/ABS(AD16)</f>
        <v>0.887419187122326</v>
      </c>
      <c r="AE49" s="13">
        <f t="shared" si="47"/>
        <v>1.25332777624285</v>
      </c>
      <c r="AF49" s="13">
        <f t="shared" si="47"/>
        <v>0.709156478317657</v>
      </c>
      <c r="AG49" s="13">
        <f t="shared" si="47"/>
        <v>1.05641205965373</v>
      </c>
      <c r="AH49" s="13">
        <f t="shared" si="47"/>
        <v>1.14078266327724</v>
      </c>
      <c r="AI49" s="13">
        <f t="shared" si="47"/>
        <v>1.12201927784141</v>
      </c>
      <c r="AJ49" s="13">
        <f t="shared" si="13"/>
        <v>44.3634358192824</v>
      </c>
      <c r="AK49" s="13">
        <f t="shared" si="14"/>
        <v>44.3634358192824</v>
      </c>
      <c r="AL49" s="13">
        <f t="shared" si="14"/>
        <v>44.3634358192824</v>
      </c>
      <c r="AM49" s="13">
        <f t="shared" si="14"/>
        <v>44.3634358192824</v>
      </c>
      <c r="AN49" s="13">
        <f t="shared" si="14"/>
        <v>44.3634358192824</v>
      </c>
      <c r="AO49" s="13">
        <f t="shared" si="14"/>
        <v>44.3634358192824</v>
      </c>
      <c r="AP49" s="13">
        <f t="shared" si="14"/>
        <v>44.3634358192824</v>
      </c>
      <c r="AQ49" s="13">
        <f t="shared" si="14"/>
        <v>44.3634358192824</v>
      </c>
      <c r="AR49" s="13">
        <f t="shared" si="14"/>
        <v>44.3634358192824</v>
      </c>
      <c r="AS49" s="13">
        <f t="shared" si="14"/>
        <v>44.3634358192824</v>
      </c>
      <c r="AT49" s="13">
        <f t="shared" si="14"/>
        <v>44.3634358192824</v>
      </c>
      <c r="AU49" s="13">
        <f t="shared" si="14"/>
        <v>44.3634358192824</v>
      </c>
      <c r="AV49" s="13">
        <f t="shared" si="14"/>
        <v>44.3634358192824</v>
      </c>
      <c r="AW49" s="13">
        <f t="shared" si="14"/>
        <v>44.3634358192824</v>
      </c>
      <c r="AX49" s="13">
        <f t="shared" si="14"/>
        <v>44.3634358192824</v>
      </c>
      <c r="AY49" s="13">
        <f t="shared" si="14"/>
        <v>44.3634358192824</v>
      </c>
      <c r="AZ49" s="13">
        <f t="shared" si="14"/>
        <v>44.3634358192824</v>
      </c>
      <c r="BA49" s="13">
        <f t="shared" si="40"/>
        <v>44.3634358192824</v>
      </c>
      <c r="BB49" s="13">
        <f t="shared" si="40"/>
        <v>44.3634358192824</v>
      </c>
      <c r="BC49" s="13">
        <f t="shared" si="40"/>
        <v>44.3634358192824</v>
      </c>
      <c r="BD49" s="13">
        <f t="shared" si="40"/>
        <v>44.3634358192824</v>
      </c>
      <c r="BE49" s="13">
        <f t="shared" si="40"/>
        <v>44.3634358192824</v>
      </c>
      <c r="BF49" s="13">
        <f t="shared" si="40"/>
        <v>44.3634358192824</v>
      </c>
      <c r="BG49" s="13">
        <f t="shared" si="40"/>
        <v>44.3634358192824</v>
      </c>
      <c r="BH49" s="13">
        <f t="shared" si="40"/>
        <v>44.3634358192824</v>
      </c>
      <c r="BI49" s="13">
        <f t="shared" si="40"/>
        <v>44.3634358192824</v>
      </c>
      <c r="BJ49" s="13">
        <f t="shared" si="40"/>
        <v>44.3634358192824</v>
      </c>
      <c r="BK49" s="13">
        <f t="shared" si="40"/>
        <v>44.3634358192824</v>
      </c>
      <c r="BL49" s="13">
        <f t="shared" si="40"/>
        <v>44.3634358192824</v>
      </c>
      <c r="BM49" s="13">
        <f t="shared" si="40"/>
        <v>44.3634358192824</v>
      </c>
      <c r="BN49" s="13">
        <f t="shared" si="40"/>
        <v>44.3634358192824</v>
      </c>
    </row>
    <row r="50" spans="1:66">
      <c r="A50" s="13"/>
      <c r="B50" s="13"/>
      <c r="C50" s="13"/>
      <c r="D50" s="14" t="s">
        <v>14</v>
      </c>
      <c r="E50" s="13">
        <f t="shared" si="9"/>
        <v>1.91477521479746</v>
      </c>
      <c r="F50" s="13">
        <f t="shared" si="15"/>
        <v>1.66097965330776</v>
      </c>
      <c r="G50" s="13">
        <f t="shared" si="18"/>
        <v>0.674640328827833</v>
      </c>
      <c r="H50" s="13">
        <f t="shared" si="21"/>
        <v>0.603180019880717</v>
      </c>
      <c r="I50" s="13">
        <f t="shared" si="24"/>
        <v>1.01319172560137</v>
      </c>
      <c r="J50" s="13">
        <f t="shared" si="27"/>
        <v>0.926421027084477</v>
      </c>
      <c r="K50" s="13">
        <f t="shared" si="30"/>
        <v>0.747891309596536</v>
      </c>
      <c r="L50" s="13">
        <f t="shared" si="33"/>
        <v>0.636030380469959</v>
      </c>
      <c r="M50" s="13">
        <f t="shared" si="37"/>
        <v>1.9980618645725</v>
      </c>
      <c r="N50" s="13">
        <f t="shared" si="41"/>
        <v>1.40119858820058</v>
      </c>
      <c r="O50" s="13">
        <f t="shared" si="44"/>
        <v>1.29903859716624</v>
      </c>
      <c r="P50" s="13">
        <f t="shared" si="48"/>
        <v>0.589551604639878</v>
      </c>
      <c r="Q50" s="13">
        <f t="shared" si="51"/>
        <v>1.11883854576193</v>
      </c>
      <c r="R50" s="13">
        <f t="shared" ref="R50:R60" si="54">1/ABS(R17)</f>
        <v>0.583258702216331</v>
      </c>
      <c r="S50" s="13">
        <v>0</v>
      </c>
      <c r="T50" s="13">
        <f t="shared" ref="T50:AC50" si="55">1/ABS(T17)</f>
        <v>0.634475213137829</v>
      </c>
      <c r="U50" s="13">
        <f t="shared" si="55"/>
        <v>0.792507505884011</v>
      </c>
      <c r="V50" s="13">
        <f t="shared" si="55"/>
        <v>0.6629060081175</v>
      </c>
      <c r="W50" s="13">
        <f t="shared" si="55"/>
        <v>1.13633020209272</v>
      </c>
      <c r="X50" s="13">
        <f t="shared" si="55"/>
        <v>0.527628845047074</v>
      </c>
      <c r="Y50" s="13">
        <f t="shared" si="55"/>
        <v>0.644689663429195</v>
      </c>
      <c r="Z50" s="13">
        <f t="shared" si="55"/>
        <v>0.789562440291465</v>
      </c>
      <c r="AA50" s="13">
        <f t="shared" si="55"/>
        <v>0.592118759820416</v>
      </c>
      <c r="AB50" s="13">
        <f t="shared" si="55"/>
        <v>0.437221243794513</v>
      </c>
      <c r="AC50" s="13">
        <f t="shared" si="55"/>
        <v>0.475929826983609</v>
      </c>
      <c r="AD50" s="13">
        <f t="shared" ref="AD50" si="56">1/ABS(AD17)</f>
        <v>0.517594963402839</v>
      </c>
      <c r="AE50" s="13">
        <f t="shared" si="47"/>
        <v>0.731014332223085</v>
      </c>
      <c r="AF50" s="13">
        <f t="shared" si="47"/>
        <v>0.41362168721186</v>
      </c>
      <c r="AG50" s="13">
        <f t="shared" si="47"/>
        <v>0.616161526919317</v>
      </c>
      <c r="AH50" s="13">
        <f t="shared" si="47"/>
        <v>0.665371415693976</v>
      </c>
      <c r="AI50" s="13">
        <f t="shared" si="47"/>
        <v>0.654427507855484</v>
      </c>
      <c r="AJ50" s="13">
        <f t="shared" si="13"/>
        <v>25.4586187040285</v>
      </c>
      <c r="AK50" s="13">
        <f t="shared" si="14"/>
        <v>25.4586187040285</v>
      </c>
      <c r="AL50" s="13">
        <f t="shared" si="14"/>
        <v>25.4586187040285</v>
      </c>
      <c r="AM50" s="13">
        <f t="shared" si="14"/>
        <v>25.4586187040285</v>
      </c>
      <c r="AN50" s="13">
        <f t="shared" si="14"/>
        <v>25.4586187040285</v>
      </c>
      <c r="AO50" s="13">
        <f t="shared" si="14"/>
        <v>25.4586187040285</v>
      </c>
      <c r="AP50" s="13">
        <f t="shared" si="14"/>
        <v>25.4586187040285</v>
      </c>
      <c r="AQ50" s="13">
        <f t="shared" si="14"/>
        <v>25.4586187040285</v>
      </c>
      <c r="AR50" s="13">
        <f t="shared" si="14"/>
        <v>25.4586187040285</v>
      </c>
      <c r="AS50" s="13">
        <f t="shared" si="14"/>
        <v>25.4586187040285</v>
      </c>
      <c r="AT50" s="13">
        <f t="shared" si="14"/>
        <v>25.4586187040285</v>
      </c>
      <c r="AU50" s="13">
        <f t="shared" si="14"/>
        <v>25.4586187040285</v>
      </c>
      <c r="AV50" s="13">
        <f t="shared" si="14"/>
        <v>25.4586187040285</v>
      </c>
      <c r="AW50" s="13">
        <f t="shared" si="14"/>
        <v>25.4586187040285</v>
      </c>
      <c r="AX50" s="13">
        <f t="shared" si="14"/>
        <v>25.4586187040285</v>
      </c>
      <c r="AY50" s="13">
        <f t="shared" si="14"/>
        <v>25.4586187040285</v>
      </c>
      <c r="AZ50" s="13">
        <f t="shared" si="14"/>
        <v>25.4586187040285</v>
      </c>
      <c r="BA50" s="13">
        <f t="shared" si="40"/>
        <v>25.4586187040285</v>
      </c>
      <c r="BB50" s="13">
        <f t="shared" si="40"/>
        <v>25.4586187040285</v>
      </c>
      <c r="BC50" s="13">
        <f t="shared" si="40"/>
        <v>25.4586187040285</v>
      </c>
      <c r="BD50" s="13">
        <f t="shared" si="40"/>
        <v>25.4586187040285</v>
      </c>
      <c r="BE50" s="13">
        <f t="shared" si="40"/>
        <v>25.4586187040285</v>
      </c>
      <c r="BF50" s="13">
        <f t="shared" si="40"/>
        <v>25.4586187040285</v>
      </c>
      <c r="BG50" s="13">
        <f t="shared" si="40"/>
        <v>25.4586187040285</v>
      </c>
      <c r="BH50" s="13">
        <f t="shared" si="40"/>
        <v>25.4586187040285</v>
      </c>
      <c r="BI50" s="13">
        <f t="shared" si="40"/>
        <v>25.4586187040285</v>
      </c>
      <c r="BJ50" s="13">
        <f t="shared" si="40"/>
        <v>25.4586187040285</v>
      </c>
      <c r="BK50" s="13">
        <f t="shared" si="40"/>
        <v>25.4586187040285</v>
      </c>
      <c r="BL50" s="13">
        <f t="shared" si="40"/>
        <v>25.4586187040285</v>
      </c>
      <c r="BM50" s="13">
        <f t="shared" si="40"/>
        <v>25.4586187040285</v>
      </c>
      <c r="BN50" s="13">
        <f t="shared" si="40"/>
        <v>25.4586187040285</v>
      </c>
    </row>
    <row r="51" spans="1:66">
      <c r="A51" s="13"/>
      <c r="B51" s="13"/>
      <c r="C51" s="13"/>
      <c r="D51" s="14" t="s">
        <v>15</v>
      </c>
      <c r="E51" s="13">
        <f t="shared" si="9"/>
        <v>3.01788813045642</v>
      </c>
      <c r="F51" s="13">
        <f t="shared" si="15"/>
        <v>2.6178794993319</v>
      </c>
      <c r="G51" s="13">
        <f t="shared" si="18"/>
        <v>1.06330446778427</v>
      </c>
      <c r="H51" s="13">
        <f t="shared" si="21"/>
        <v>0.95067546752167</v>
      </c>
      <c r="I51" s="13">
        <f t="shared" si="24"/>
        <v>1.59689725401656</v>
      </c>
      <c r="J51" s="13">
        <f t="shared" si="27"/>
        <v>1.46013746148225</v>
      </c>
      <c r="K51" s="13">
        <f t="shared" si="30"/>
        <v>1.17875575611189</v>
      </c>
      <c r="L51" s="13">
        <f t="shared" si="33"/>
        <v>1.00245110809678</v>
      </c>
      <c r="M51" s="13">
        <f t="shared" si="37"/>
        <v>3.14915669390926</v>
      </c>
      <c r="N51" s="13">
        <f t="shared" si="41"/>
        <v>2.20843708183788</v>
      </c>
      <c r="O51" s="13">
        <f t="shared" si="44"/>
        <v>2.04742213764628</v>
      </c>
      <c r="P51" s="13">
        <f t="shared" si="48"/>
        <v>0.929195644577225</v>
      </c>
      <c r="Q51" s="13">
        <f t="shared" si="51"/>
        <v>1.76340780946928</v>
      </c>
      <c r="R51" s="13">
        <f t="shared" si="54"/>
        <v>0.919277365197288</v>
      </c>
      <c r="S51" s="13">
        <f t="shared" ref="S51:S60" si="57">1/ABS(S18)</f>
        <v>1.57610570010206</v>
      </c>
      <c r="T51" s="13">
        <v>0</v>
      </c>
      <c r="U51" s="13">
        <f t="shared" ref="U51:AC51" si="58">1/ABS(U18)</f>
        <v>1.24907559739745</v>
      </c>
      <c r="V51" s="13">
        <f t="shared" si="58"/>
        <v>1.04480993802589</v>
      </c>
      <c r="W51" s="13">
        <f t="shared" si="58"/>
        <v>1.79097650871645</v>
      </c>
      <c r="X51" s="13">
        <f t="shared" si="58"/>
        <v>0.831598830216958</v>
      </c>
      <c r="Y51" s="13">
        <f t="shared" si="58"/>
        <v>1.01609905332763</v>
      </c>
      <c r="Z51" s="13">
        <f t="shared" si="58"/>
        <v>1.24443386272987</v>
      </c>
      <c r="AA51" s="13">
        <f t="shared" si="58"/>
        <v>0.933241752490318</v>
      </c>
      <c r="AB51" s="13">
        <f t="shared" si="58"/>
        <v>0.689106894550244</v>
      </c>
      <c r="AC51" s="13">
        <f t="shared" si="58"/>
        <v>0.750115713157451</v>
      </c>
      <c r="AD51" s="13">
        <f t="shared" ref="AD51" si="59">1/ABS(AD18)</f>
        <v>0.81578437216333</v>
      </c>
      <c r="AE51" s="13">
        <f t="shared" si="47"/>
        <v>1.1521558558731</v>
      </c>
      <c r="AF51" s="13">
        <f t="shared" si="47"/>
        <v>0.651911498900443</v>
      </c>
      <c r="AG51" s="13">
        <f t="shared" si="47"/>
        <v>0.971135694761122</v>
      </c>
      <c r="AH51" s="13">
        <f t="shared" si="47"/>
        <v>1.04869568096025</v>
      </c>
      <c r="AI51" s="13">
        <f t="shared" si="47"/>
        <v>1.03144692543461</v>
      </c>
      <c r="AJ51" s="13">
        <f t="shared" si="13"/>
        <v>40.7015797562461</v>
      </c>
      <c r="AK51" s="13">
        <f t="shared" si="14"/>
        <v>40.7015797562461</v>
      </c>
      <c r="AL51" s="13">
        <f t="shared" si="14"/>
        <v>40.7015797562461</v>
      </c>
      <c r="AM51" s="13">
        <f t="shared" si="14"/>
        <v>40.7015797562461</v>
      </c>
      <c r="AN51" s="13">
        <f t="shared" si="14"/>
        <v>40.7015797562461</v>
      </c>
      <c r="AO51" s="13">
        <f t="shared" si="14"/>
        <v>40.7015797562461</v>
      </c>
      <c r="AP51" s="13">
        <f t="shared" si="14"/>
        <v>40.7015797562461</v>
      </c>
      <c r="AQ51" s="13">
        <f t="shared" si="14"/>
        <v>40.7015797562461</v>
      </c>
      <c r="AR51" s="13">
        <f t="shared" si="14"/>
        <v>40.7015797562461</v>
      </c>
      <c r="AS51" s="13">
        <f t="shared" si="14"/>
        <v>40.7015797562461</v>
      </c>
      <c r="AT51" s="13">
        <f t="shared" si="14"/>
        <v>40.7015797562461</v>
      </c>
      <c r="AU51" s="13">
        <f t="shared" si="14"/>
        <v>40.7015797562461</v>
      </c>
      <c r="AV51" s="13">
        <f t="shared" si="14"/>
        <v>40.7015797562461</v>
      </c>
      <c r="AW51" s="13">
        <f t="shared" si="14"/>
        <v>40.7015797562461</v>
      </c>
      <c r="AX51" s="13">
        <f t="shared" si="14"/>
        <v>40.7015797562461</v>
      </c>
      <c r="AY51" s="13">
        <f t="shared" si="14"/>
        <v>40.7015797562461</v>
      </c>
      <c r="AZ51" s="13">
        <f t="shared" si="14"/>
        <v>40.7015797562461</v>
      </c>
      <c r="BA51" s="13">
        <f t="shared" si="40"/>
        <v>40.7015797562461</v>
      </c>
      <c r="BB51" s="13">
        <f t="shared" si="40"/>
        <v>40.7015797562461</v>
      </c>
      <c r="BC51" s="13">
        <f t="shared" si="40"/>
        <v>40.7015797562461</v>
      </c>
      <c r="BD51" s="13">
        <f t="shared" si="40"/>
        <v>40.7015797562461</v>
      </c>
      <c r="BE51" s="13">
        <f t="shared" si="40"/>
        <v>40.7015797562461</v>
      </c>
      <c r="BF51" s="13">
        <f t="shared" si="40"/>
        <v>40.7015797562461</v>
      </c>
      <c r="BG51" s="13">
        <f t="shared" si="40"/>
        <v>40.7015797562461</v>
      </c>
      <c r="BH51" s="13">
        <f t="shared" si="40"/>
        <v>40.7015797562461</v>
      </c>
      <c r="BI51" s="13">
        <f t="shared" si="40"/>
        <v>40.7015797562461</v>
      </c>
      <c r="BJ51" s="13">
        <f t="shared" si="40"/>
        <v>40.7015797562461</v>
      </c>
      <c r="BK51" s="13">
        <f t="shared" si="40"/>
        <v>40.7015797562461</v>
      </c>
      <c r="BL51" s="13">
        <f t="shared" si="40"/>
        <v>40.7015797562461</v>
      </c>
      <c r="BM51" s="13">
        <f t="shared" si="40"/>
        <v>40.7015797562461</v>
      </c>
      <c r="BN51" s="13">
        <f t="shared" si="40"/>
        <v>40.7015797562461</v>
      </c>
    </row>
    <row r="52" spans="1:66">
      <c r="A52" s="13"/>
      <c r="B52" s="13"/>
      <c r="C52" s="13"/>
      <c r="D52" s="14" t="s">
        <v>16</v>
      </c>
      <c r="E52" s="13">
        <f t="shared" si="9"/>
        <v>2.41609726164247</v>
      </c>
      <c r="F52" s="13">
        <f t="shared" si="15"/>
        <v>2.09585352943125</v>
      </c>
      <c r="G52" s="13">
        <f t="shared" si="18"/>
        <v>0.851273109489731</v>
      </c>
      <c r="H52" s="13">
        <f t="shared" si="21"/>
        <v>0.761103226660161</v>
      </c>
      <c r="I52" s="13">
        <f t="shared" si="24"/>
        <v>1.27846325502141</v>
      </c>
      <c r="J52" s="13">
        <f t="shared" si="27"/>
        <v>1.1689744516061</v>
      </c>
      <c r="K52" s="13">
        <f t="shared" si="30"/>
        <v>0.943702493722495</v>
      </c>
      <c r="L52" s="13">
        <f t="shared" si="33"/>
        <v>0.802554393173213</v>
      </c>
      <c r="M52" s="13">
        <f t="shared" si="37"/>
        <v>2.5211898306802</v>
      </c>
      <c r="N52" s="13">
        <f t="shared" si="41"/>
        <v>1.76805718279929</v>
      </c>
      <c r="O52" s="13">
        <f t="shared" si="44"/>
        <v>1.63914989766212</v>
      </c>
      <c r="P52" s="13">
        <f t="shared" si="48"/>
        <v>0.743906651057211</v>
      </c>
      <c r="Q52" s="13">
        <f t="shared" si="51"/>
        <v>1.41177028287437</v>
      </c>
      <c r="R52" s="13">
        <f t="shared" si="54"/>
        <v>0.735966155381367</v>
      </c>
      <c r="S52" s="13">
        <f t="shared" si="57"/>
        <v>1.26181770213588</v>
      </c>
      <c r="T52" s="13">
        <f t="shared" ref="T52:T60" si="60">1/ABS(T19)</f>
        <v>0.800592055503749</v>
      </c>
      <c r="U52" s="13">
        <v>0</v>
      </c>
      <c r="V52" s="13">
        <f t="shared" ref="V52:AC52" si="61">1/ABS(V19)</f>
        <v>0.836466535894893</v>
      </c>
      <c r="W52" s="13">
        <f t="shared" si="61"/>
        <v>1.43384156447223</v>
      </c>
      <c r="X52" s="13">
        <f t="shared" si="61"/>
        <v>0.665771416837908</v>
      </c>
      <c r="Y52" s="13">
        <f t="shared" si="61"/>
        <v>0.813480829698981</v>
      </c>
      <c r="Z52" s="13">
        <f t="shared" si="61"/>
        <v>0.996283864101375</v>
      </c>
      <c r="AA52" s="13">
        <f t="shared" si="61"/>
        <v>0.747145932908144</v>
      </c>
      <c r="AB52" s="13">
        <f t="shared" si="61"/>
        <v>0.551693505169784</v>
      </c>
      <c r="AC52" s="13">
        <f t="shared" si="61"/>
        <v>0.600536680662384</v>
      </c>
      <c r="AD52" s="13">
        <f t="shared" ref="AD52" si="62">1/ABS(AD19)</f>
        <v>0.653110487358076</v>
      </c>
      <c r="AE52" s="13">
        <f t="shared" si="47"/>
        <v>0.922406824914128</v>
      </c>
      <c r="AF52" s="13">
        <f t="shared" si="47"/>
        <v>0.521915166911235</v>
      </c>
      <c r="AG52" s="13">
        <f t="shared" si="47"/>
        <v>0.777483522041868</v>
      </c>
      <c r="AH52" s="13">
        <f t="shared" si="47"/>
        <v>0.83957743081787</v>
      </c>
      <c r="AI52" s="13">
        <f t="shared" si="47"/>
        <v>0.825768214176718</v>
      </c>
      <c r="AJ52" s="13">
        <f t="shared" si="13"/>
        <v>32.3859534548066</v>
      </c>
      <c r="AK52" s="13">
        <f t="shared" si="14"/>
        <v>32.3859534548066</v>
      </c>
      <c r="AL52" s="13">
        <f t="shared" si="14"/>
        <v>32.3859534548066</v>
      </c>
      <c r="AM52" s="13">
        <f t="shared" si="14"/>
        <v>32.3859534548066</v>
      </c>
      <c r="AN52" s="13">
        <f t="shared" si="14"/>
        <v>32.3859534548066</v>
      </c>
      <c r="AO52" s="13">
        <f t="shared" si="14"/>
        <v>32.3859534548066</v>
      </c>
      <c r="AP52" s="13">
        <f t="shared" si="14"/>
        <v>32.3859534548066</v>
      </c>
      <c r="AQ52" s="13">
        <f t="shared" si="14"/>
        <v>32.3859534548066</v>
      </c>
      <c r="AR52" s="13">
        <f t="shared" si="14"/>
        <v>32.3859534548066</v>
      </c>
      <c r="AS52" s="13">
        <f t="shared" si="14"/>
        <v>32.3859534548066</v>
      </c>
      <c r="AT52" s="13">
        <f t="shared" si="14"/>
        <v>32.3859534548066</v>
      </c>
      <c r="AU52" s="13">
        <f t="shared" si="14"/>
        <v>32.3859534548066</v>
      </c>
      <c r="AV52" s="13">
        <f t="shared" si="14"/>
        <v>32.3859534548066</v>
      </c>
      <c r="AW52" s="13">
        <f t="shared" si="14"/>
        <v>32.3859534548066</v>
      </c>
      <c r="AX52" s="13">
        <f t="shared" si="14"/>
        <v>32.3859534548066</v>
      </c>
      <c r="AY52" s="13">
        <f t="shared" si="14"/>
        <v>32.3859534548066</v>
      </c>
      <c r="AZ52" s="13">
        <f t="shared" si="14"/>
        <v>32.3859534548066</v>
      </c>
      <c r="BA52" s="13">
        <f t="shared" si="40"/>
        <v>32.3859534548066</v>
      </c>
      <c r="BB52" s="13">
        <f t="shared" si="40"/>
        <v>32.3859534548066</v>
      </c>
      <c r="BC52" s="13">
        <f t="shared" si="40"/>
        <v>32.3859534548066</v>
      </c>
      <c r="BD52" s="13">
        <f t="shared" si="40"/>
        <v>32.3859534548066</v>
      </c>
      <c r="BE52" s="13">
        <f t="shared" si="40"/>
        <v>32.3859534548066</v>
      </c>
      <c r="BF52" s="13">
        <f t="shared" si="40"/>
        <v>32.3859534548066</v>
      </c>
      <c r="BG52" s="13">
        <f t="shared" si="40"/>
        <v>32.3859534548066</v>
      </c>
      <c r="BH52" s="13">
        <f t="shared" si="40"/>
        <v>32.3859534548066</v>
      </c>
      <c r="BI52" s="13">
        <f t="shared" si="40"/>
        <v>32.3859534548066</v>
      </c>
      <c r="BJ52" s="13">
        <f t="shared" si="40"/>
        <v>32.3859534548066</v>
      </c>
      <c r="BK52" s="13">
        <f t="shared" si="40"/>
        <v>32.3859534548066</v>
      </c>
      <c r="BL52" s="13">
        <f t="shared" si="40"/>
        <v>32.3859534548066</v>
      </c>
      <c r="BM52" s="13">
        <f t="shared" si="40"/>
        <v>32.3859534548066</v>
      </c>
      <c r="BN52" s="13">
        <f t="shared" si="40"/>
        <v>32.3859534548066</v>
      </c>
    </row>
    <row r="53" spans="1:66">
      <c r="A53" s="13"/>
      <c r="B53" s="13"/>
      <c r="C53" s="13"/>
      <c r="D53" s="14" t="s">
        <v>17</v>
      </c>
      <c r="E53" s="13">
        <f t="shared" si="9"/>
        <v>2.88845657054004</v>
      </c>
      <c r="F53" s="13">
        <f t="shared" si="15"/>
        <v>2.50560355912984</v>
      </c>
      <c r="G53" s="13">
        <f t="shared" si="18"/>
        <v>1.01770133407548</v>
      </c>
      <c r="H53" s="13">
        <f t="shared" si="21"/>
        <v>0.90990278032569</v>
      </c>
      <c r="I53" s="13">
        <f t="shared" si="24"/>
        <v>1.52840932680427</v>
      </c>
      <c r="J53" s="13">
        <f t="shared" si="27"/>
        <v>1.3975149051904</v>
      </c>
      <c r="K53" s="13">
        <f t="shared" si="30"/>
        <v>1.12820113325021</v>
      </c>
      <c r="L53" s="13">
        <f t="shared" si="33"/>
        <v>0.959457860815198</v>
      </c>
      <c r="M53" s="13">
        <f t="shared" si="37"/>
        <v>3.01409527158538</v>
      </c>
      <c r="N53" s="13">
        <f t="shared" si="41"/>
        <v>2.11372135874836</v>
      </c>
      <c r="O53" s="13">
        <f t="shared" si="44"/>
        <v>1.95961204342559</v>
      </c>
      <c r="P53" s="13">
        <f t="shared" si="48"/>
        <v>0.889344186688047</v>
      </c>
      <c r="Q53" s="13">
        <f t="shared" si="51"/>
        <v>1.68777855693174</v>
      </c>
      <c r="R53" s="13">
        <f t="shared" si="54"/>
        <v>0.879851283702575</v>
      </c>
      <c r="S53" s="13">
        <f t="shared" si="57"/>
        <v>1.50850948362916</v>
      </c>
      <c r="T53" s="13">
        <f t="shared" si="60"/>
        <v>0.957111876146051</v>
      </c>
      <c r="U53" s="13">
        <f t="shared" ref="U53:U60" si="63">1/ABS(U20)</f>
        <v>1.19550508847333</v>
      </c>
      <c r="V53" s="13">
        <v>0</v>
      </c>
      <c r="W53" s="13">
        <f t="shared" ref="W53:AC53" si="64">1/ABS(W20)</f>
        <v>1.71416488639111</v>
      </c>
      <c r="X53" s="13">
        <f t="shared" si="64"/>
        <v>0.795933116589814</v>
      </c>
      <c r="Y53" s="13">
        <f t="shared" si="64"/>
        <v>0.972520471280635</v>
      </c>
      <c r="Z53" s="13">
        <f t="shared" si="64"/>
        <v>1.19106242909706</v>
      </c>
      <c r="AA53" s="13">
        <f t="shared" si="64"/>
        <v>0.893216764623837</v>
      </c>
      <c r="AB53" s="13">
        <f t="shared" si="64"/>
        <v>0.659552392708162</v>
      </c>
      <c r="AC53" s="13">
        <f t="shared" si="64"/>
        <v>0.717944657546761</v>
      </c>
      <c r="AD53" s="13">
        <f t="shared" ref="AD53" si="65">1/ABS(AD20)</f>
        <v>0.780796910971874</v>
      </c>
      <c r="AE53" s="13">
        <f t="shared" si="47"/>
        <v>1.10274205282736</v>
      </c>
      <c r="AF53" s="13">
        <f t="shared" si="47"/>
        <v>0.623952237793787</v>
      </c>
      <c r="AG53" s="13">
        <f t="shared" si="47"/>
        <v>0.929485506805216</v>
      </c>
      <c r="AH53" s="13">
        <f t="shared" si="47"/>
        <v>1.00371909071013</v>
      </c>
      <c r="AI53" s="13">
        <f t="shared" si="47"/>
        <v>0.987210101947797</v>
      </c>
      <c r="AJ53" s="13">
        <f t="shared" si="13"/>
        <v>38.9130772387549</v>
      </c>
      <c r="AK53" s="13">
        <f t="shared" si="14"/>
        <v>38.9130772387549</v>
      </c>
      <c r="AL53" s="13">
        <f t="shared" si="14"/>
        <v>38.9130772387549</v>
      </c>
      <c r="AM53" s="13">
        <f t="shared" si="14"/>
        <v>38.9130772387549</v>
      </c>
      <c r="AN53" s="13">
        <f t="shared" si="14"/>
        <v>38.9130772387549</v>
      </c>
      <c r="AO53" s="13">
        <f t="shared" si="14"/>
        <v>38.9130772387549</v>
      </c>
      <c r="AP53" s="13">
        <f t="shared" si="14"/>
        <v>38.9130772387549</v>
      </c>
      <c r="AQ53" s="13">
        <f t="shared" si="14"/>
        <v>38.9130772387549</v>
      </c>
      <c r="AR53" s="13">
        <f t="shared" si="14"/>
        <v>38.9130772387549</v>
      </c>
      <c r="AS53" s="13">
        <f t="shared" si="14"/>
        <v>38.9130772387549</v>
      </c>
      <c r="AT53" s="13">
        <f t="shared" si="14"/>
        <v>38.9130772387549</v>
      </c>
      <c r="AU53" s="13">
        <f t="shared" si="14"/>
        <v>38.9130772387549</v>
      </c>
      <c r="AV53" s="13">
        <f t="shared" si="14"/>
        <v>38.9130772387549</v>
      </c>
      <c r="AW53" s="13">
        <f t="shared" si="14"/>
        <v>38.9130772387549</v>
      </c>
      <c r="AX53" s="13">
        <f t="shared" si="14"/>
        <v>38.9130772387549</v>
      </c>
      <c r="AY53" s="13">
        <f t="shared" si="14"/>
        <v>38.9130772387549</v>
      </c>
      <c r="AZ53" s="13">
        <f t="shared" si="14"/>
        <v>38.9130772387549</v>
      </c>
      <c r="BA53" s="13">
        <f t="shared" si="40"/>
        <v>38.9130772387549</v>
      </c>
      <c r="BB53" s="13">
        <f t="shared" si="40"/>
        <v>38.9130772387549</v>
      </c>
      <c r="BC53" s="13">
        <f t="shared" si="40"/>
        <v>38.9130772387549</v>
      </c>
      <c r="BD53" s="13">
        <f t="shared" si="40"/>
        <v>38.9130772387549</v>
      </c>
      <c r="BE53" s="13">
        <f t="shared" si="40"/>
        <v>38.9130772387549</v>
      </c>
      <c r="BF53" s="13">
        <f t="shared" si="40"/>
        <v>38.9130772387549</v>
      </c>
      <c r="BG53" s="13">
        <f t="shared" si="40"/>
        <v>38.9130772387549</v>
      </c>
      <c r="BH53" s="13">
        <f t="shared" si="40"/>
        <v>38.9130772387549</v>
      </c>
      <c r="BI53" s="13">
        <f t="shared" si="40"/>
        <v>38.9130772387549</v>
      </c>
      <c r="BJ53" s="13">
        <f t="shared" si="40"/>
        <v>38.9130772387549</v>
      </c>
      <c r="BK53" s="13">
        <f t="shared" si="40"/>
        <v>38.9130772387549</v>
      </c>
      <c r="BL53" s="13">
        <f t="shared" si="40"/>
        <v>38.9130772387549</v>
      </c>
      <c r="BM53" s="13">
        <f t="shared" si="40"/>
        <v>38.9130772387549</v>
      </c>
      <c r="BN53" s="13">
        <f t="shared" si="40"/>
        <v>38.9130772387549</v>
      </c>
    </row>
    <row r="54" spans="1:66">
      <c r="A54" s="13"/>
      <c r="B54" s="13"/>
      <c r="C54" s="13"/>
      <c r="D54" s="14" t="s">
        <v>18</v>
      </c>
      <c r="E54" s="13">
        <f t="shared" si="9"/>
        <v>1.68505176688178</v>
      </c>
      <c r="F54" s="13">
        <f t="shared" si="15"/>
        <v>1.46170510142987</v>
      </c>
      <c r="G54" s="13">
        <f t="shared" si="18"/>
        <v>0.593700957332107</v>
      </c>
      <c r="H54" s="13">
        <f t="shared" si="21"/>
        <v>0.53081403518966</v>
      </c>
      <c r="I54" s="13">
        <f t="shared" si="24"/>
        <v>0.891634952354018</v>
      </c>
      <c r="J54" s="13">
        <f t="shared" si="27"/>
        <v>0.81527449096956</v>
      </c>
      <c r="K54" s="13">
        <f t="shared" si="30"/>
        <v>0.658163717042094</v>
      </c>
      <c r="L54" s="13">
        <f t="shared" si="33"/>
        <v>0.55972320307831</v>
      </c>
      <c r="M54" s="13">
        <f t="shared" si="37"/>
        <v>1.7583461751635</v>
      </c>
      <c r="N54" s="13">
        <f t="shared" si="41"/>
        <v>1.23309103781635</v>
      </c>
      <c r="O54" s="13">
        <f t="shared" si="44"/>
        <v>1.14318760055296</v>
      </c>
      <c r="P54" s="13">
        <f t="shared" si="48"/>
        <v>0.518820676907234</v>
      </c>
      <c r="Q54" s="13">
        <f t="shared" si="51"/>
        <v>0.984606889530378</v>
      </c>
      <c r="R54" s="13">
        <f t="shared" si="54"/>
        <v>0.51328275983704</v>
      </c>
      <c r="S54" s="13">
        <f t="shared" si="57"/>
        <v>0.880025892261206</v>
      </c>
      <c r="T54" s="13">
        <f t="shared" si="60"/>
        <v>0.558354615559237</v>
      </c>
      <c r="U54" s="13">
        <f t="shared" si="63"/>
        <v>0.69742712498928</v>
      </c>
      <c r="V54" s="13">
        <f t="shared" ref="V54:V60" si="66">1/ABS(V21)</f>
        <v>0.583374451278917</v>
      </c>
      <c r="W54" s="13">
        <v>0</v>
      </c>
      <c r="X54" s="13">
        <f t="shared" ref="X54:AC54" si="67">1/ABS(X21)</f>
        <v>0.464327045145301</v>
      </c>
      <c r="Y54" s="13">
        <f t="shared" si="67"/>
        <v>0.567343596290854</v>
      </c>
      <c r="Z54" s="13">
        <f t="shared" si="67"/>
        <v>0.694835391013432</v>
      </c>
      <c r="AA54" s="13">
        <f t="shared" si="67"/>
        <v>0.52107983993556</v>
      </c>
      <c r="AB54" s="13">
        <f t="shared" si="67"/>
        <v>0.384766015185821</v>
      </c>
      <c r="AC54" s="13">
        <f t="shared" si="67"/>
        <v>0.418830570644972</v>
      </c>
      <c r="AD54" s="13">
        <f t="shared" ref="AD54" si="68">1/ABS(AD21)</f>
        <v>0.45549696949849</v>
      </c>
      <c r="AE54" s="13">
        <f t="shared" si="47"/>
        <v>0.64331153997035</v>
      </c>
      <c r="AF54" s="13">
        <f t="shared" si="47"/>
        <v>0.363997794347203</v>
      </c>
      <c r="AG54" s="13">
        <f t="shared" si="47"/>
        <v>0.542238097504199</v>
      </c>
      <c r="AH54" s="13">
        <f t="shared" si="47"/>
        <v>0.585544073781193</v>
      </c>
      <c r="AI54" s="13">
        <f t="shared" si="47"/>
        <v>0.5759131515208</v>
      </c>
      <c r="AJ54" s="13">
        <f t="shared" si="13"/>
        <v>22.2842695330117</v>
      </c>
      <c r="AK54" s="13">
        <f t="shared" si="14"/>
        <v>22.2842695330117</v>
      </c>
      <c r="AL54" s="13">
        <f t="shared" si="14"/>
        <v>22.2842695330117</v>
      </c>
      <c r="AM54" s="13">
        <f t="shared" si="14"/>
        <v>22.2842695330117</v>
      </c>
      <c r="AN54" s="13">
        <f t="shared" si="14"/>
        <v>22.2842695330117</v>
      </c>
      <c r="AO54" s="13">
        <f t="shared" si="14"/>
        <v>22.2842695330117</v>
      </c>
      <c r="AP54" s="13">
        <f t="shared" si="14"/>
        <v>22.2842695330117</v>
      </c>
      <c r="AQ54" s="13">
        <f t="shared" si="14"/>
        <v>22.2842695330117</v>
      </c>
      <c r="AR54" s="13">
        <f t="shared" si="14"/>
        <v>22.2842695330117</v>
      </c>
      <c r="AS54" s="13">
        <f t="shared" si="14"/>
        <v>22.2842695330117</v>
      </c>
      <c r="AT54" s="13">
        <f t="shared" si="14"/>
        <v>22.2842695330117</v>
      </c>
      <c r="AU54" s="13">
        <f t="shared" si="14"/>
        <v>22.2842695330117</v>
      </c>
      <c r="AV54" s="13">
        <f t="shared" si="14"/>
        <v>22.2842695330117</v>
      </c>
      <c r="AW54" s="13">
        <f t="shared" si="14"/>
        <v>22.2842695330117</v>
      </c>
      <c r="AX54" s="13">
        <f t="shared" si="14"/>
        <v>22.2842695330117</v>
      </c>
      <c r="AY54" s="13">
        <f t="shared" si="14"/>
        <v>22.2842695330117</v>
      </c>
      <c r="AZ54" s="13">
        <f t="shared" si="14"/>
        <v>22.2842695330117</v>
      </c>
      <c r="BA54" s="13">
        <f t="shared" si="40"/>
        <v>22.2842695330117</v>
      </c>
      <c r="BB54" s="13">
        <f t="shared" si="40"/>
        <v>22.2842695330117</v>
      </c>
      <c r="BC54" s="13">
        <f t="shared" si="40"/>
        <v>22.2842695330117</v>
      </c>
      <c r="BD54" s="13">
        <f t="shared" si="40"/>
        <v>22.2842695330117</v>
      </c>
      <c r="BE54" s="13">
        <f t="shared" si="40"/>
        <v>22.2842695330117</v>
      </c>
      <c r="BF54" s="13">
        <f t="shared" si="40"/>
        <v>22.2842695330117</v>
      </c>
      <c r="BG54" s="13">
        <f t="shared" si="40"/>
        <v>22.2842695330117</v>
      </c>
      <c r="BH54" s="13">
        <f t="shared" si="40"/>
        <v>22.2842695330117</v>
      </c>
      <c r="BI54" s="13">
        <f t="shared" si="40"/>
        <v>22.2842695330117</v>
      </c>
      <c r="BJ54" s="13">
        <f t="shared" si="40"/>
        <v>22.2842695330117</v>
      </c>
      <c r="BK54" s="13">
        <f t="shared" si="40"/>
        <v>22.2842695330117</v>
      </c>
      <c r="BL54" s="13">
        <f t="shared" si="40"/>
        <v>22.2842695330117</v>
      </c>
      <c r="BM54" s="13">
        <f t="shared" si="40"/>
        <v>22.2842695330117</v>
      </c>
      <c r="BN54" s="13">
        <f t="shared" si="40"/>
        <v>22.2842695330117</v>
      </c>
    </row>
    <row r="55" spans="1:66">
      <c r="A55" s="13"/>
      <c r="B55" s="13"/>
      <c r="C55" s="13"/>
      <c r="D55" s="14" t="s">
        <v>19</v>
      </c>
      <c r="E55" s="13">
        <f t="shared" si="9"/>
        <v>3.62901921070412</v>
      </c>
      <c r="F55" s="13">
        <f t="shared" si="15"/>
        <v>3.14800767414369</v>
      </c>
      <c r="G55" s="13">
        <f t="shared" si="18"/>
        <v>1.27862669973557</v>
      </c>
      <c r="H55" s="13">
        <f t="shared" si="21"/>
        <v>1.14319000096915</v>
      </c>
      <c r="I55" s="13">
        <f t="shared" si="24"/>
        <v>1.92027356940839</v>
      </c>
      <c r="J55" s="13">
        <f t="shared" si="27"/>
        <v>1.75581952310023</v>
      </c>
      <c r="K55" s="13">
        <f t="shared" si="30"/>
        <v>1.41745720806794</v>
      </c>
      <c r="L55" s="13">
        <f t="shared" si="33"/>
        <v>1.20545035860049</v>
      </c>
      <c r="M55" s="13">
        <f t="shared" si="37"/>
        <v>3.78687003815008</v>
      </c>
      <c r="N55" s="13">
        <f t="shared" si="41"/>
        <v>2.65565198217236</v>
      </c>
      <c r="O55" s="13">
        <f t="shared" si="44"/>
        <v>2.46203104580141</v>
      </c>
      <c r="P55" s="13">
        <f t="shared" si="48"/>
        <v>1.11736045171541</v>
      </c>
      <c r="Q55" s="13">
        <f t="shared" si="51"/>
        <v>2.12050299422526</v>
      </c>
      <c r="R55" s="13">
        <f t="shared" si="54"/>
        <v>1.10543369205733</v>
      </c>
      <c r="S55" s="13">
        <f t="shared" si="57"/>
        <v>1.89527166565501</v>
      </c>
      <c r="T55" s="13">
        <f t="shared" si="60"/>
        <v>1.20250289402055</v>
      </c>
      <c r="U55" s="13">
        <f t="shared" si="63"/>
        <v>1.50201702072089</v>
      </c>
      <c r="V55" s="13">
        <f t="shared" si="66"/>
        <v>1.25638697417757</v>
      </c>
      <c r="W55" s="13">
        <f t="shared" ref="W55:W60" si="69">1/ABS(W22)</f>
        <v>2.15365443485436</v>
      </c>
      <c r="X55" s="13">
        <v>0</v>
      </c>
      <c r="Y55" s="13">
        <f>1/ABS(Y22)</f>
        <v>1.22186205223802</v>
      </c>
      <c r="Z55" s="13">
        <f>1/ABS(Z22)</f>
        <v>1.49643532134984</v>
      </c>
      <c r="AA55" s="13">
        <f>1/ABS(AA22)</f>
        <v>1.12222590819042</v>
      </c>
      <c r="AB55" s="13">
        <f>1/ABS(AB22)</f>
        <v>0.828653034986185</v>
      </c>
      <c r="AC55" s="13">
        <f>1/ABS(AC22)</f>
        <v>0.902016315922127</v>
      </c>
      <c r="AD55" s="13">
        <f t="shared" ref="AD55" si="70">1/ABS(AD22)</f>
        <v>0.980983068423146</v>
      </c>
      <c r="AE55" s="13">
        <f t="shared" si="47"/>
        <v>1.38547075105013</v>
      </c>
      <c r="AF55" s="13">
        <f t="shared" si="47"/>
        <v>0.78392546407306</v>
      </c>
      <c r="AG55" s="13">
        <f t="shared" si="47"/>
        <v>1.16779348343691</v>
      </c>
      <c r="AH55" s="13">
        <f t="shared" si="47"/>
        <v>1.26105959130156</v>
      </c>
      <c r="AI55" s="13">
        <f t="shared" si="47"/>
        <v>1.24031791286372</v>
      </c>
      <c r="AJ55" s="13">
        <f t="shared" si="13"/>
        <v>49.1462703421149</v>
      </c>
      <c r="AK55" s="13">
        <f t="shared" si="14"/>
        <v>49.1462703421149</v>
      </c>
      <c r="AL55" s="13">
        <f t="shared" si="14"/>
        <v>49.1462703421149</v>
      </c>
      <c r="AM55" s="13">
        <f t="shared" si="14"/>
        <v>49.1462703421149</v>
      </c>
      <c r="AN55" s="13">
        <f t="shared" si="14"/>
        <v>49.1462703421149</v>
      </c>
      <c r="AO55" s="13">
        <f t="shared" si="14"/>
        <v>49.1462703421149</v>
      </c>
      <c r="AP55" s="13">
        <f t="shared" si="14"/>
        <v>49.1462703421149</v>
      </c>
      <c r="AQ55" s="13">
        <f t="shared" si="14"/>
        <v>49.1462703421149</v>
      </c>
      <c r="AR55" s="13">
        <f t="shared" si="14"/>
        <v>49.1462703421149</v>
      </c>
      <c r="AS55" s="13">
        <f t="shared" si="14"/>
        <v>49.1462703421149</v>
      </c>
      <c r="AT55" s="13">
        <f t="shared" si="14"/>
        <v>49.1462703421149</v>
      </c>
      <c r="AU55" s="13">
        <f t="shared" si="14"/>
        <v>49.1462703421149</v>
      </c>
      <c r="AV55" s="13">
        <f t="shared" si="14"/>
        <v>49.1462703421149</v>
      </c>
      <c r="AW55" s="13">
        <f t="shared" si="14"/>
        <v>49.1462703421149</v>
      </c>
      <c r="AX55" s="13">
        <f t="shared" si="14"/>
        <v>49.1462703421149</v>
      </c>
      <c r="AY55" s="13">
        <f t="shared" si="14"/>
        <v>49.1462703421149</v>
      </c>
      <c r="AZ55" s="13">
        <f t="shared" si="14"/>
        <v>49.1462703421149</v>
      </c>
      <c r="BA55" s="13">
        <f t="shared" si="40"/>
        <v>49.1462703421149</v>
      </c>
      <c r="BB55" s="13">
        <f t="shared" si="40"/>
        <v>49.1462703421149</v>
      </c>
      <c r="BC55" s="13">
        <f t="shared" si="40"/>
        <v>49.1462703421149</v>
      </c>
      <c r="BD55" s="13">
        <f t="shared" si="40"/>
        <v>49.1462703421149</v>
      </c>
      <c r="BE55" s="13">
        <f t="shared" si="40"/>
        <v>49.1462703421149</v>
      </c>
      <c r="BF55" s="13">
        <f t="shared" si="40"/>
        <v>49.1462703421149</v>
      </c>
      <c r="BG55" s="13">
        <f t="shared" si="40"/>
        <v>49.1462703421149</v>
      </c>
      <c r="BH55" s="13">
        <f t="shared" si="40"/>
        <v>49.1462703421149</v>
      </c>
      <c r="BI55" s="13">
        <f t="shared" si="40"/>
        <v>49.1462703421149</v>
      </c>
      <c r="BJ55" s="13">
        <f t="shared" si="40"/>
        <v>49.1462703421149</v>
      </c>
      <c r="BK55" s="13">
        <f t="shared" si="40"/>
        <v>49.1462703421149</v>
      </c>
      <c r="BL55" s="13">
        <f t="shared" si="40"/>
        <v>49.1462703421149</v>
      </c>
      <c r="BM55" s="13">
        <f t="shared" si="40"/>
        <v>49.1462703421149</v>
      </c>
      <c r="BN55" s="13">
        <f t="shared" si="40"/>
        <v>49.1462703421149</v>
      </c>
    </row>
    <row r="56" spans="1:66">
      <c r="A56" s="13"/>
      <c r="B56" s="13"/>
      <c r="C56" s="13"/>
      <c r="D56" s="14" t="s">
        <v>20</v>
      </c>
      <c r="E56" s="13">
        <f t="shared" si="9"/>
        <v>2.9700727705366</v>
      </c>
      <c r="F56" s="13">
        <f t="shared" si="15"/>
        <v>2.57640186826135</v>
      </c>
      <c r="G56" s="13">
        <f t="shared" si="18"/>
        <v>1.04645749280255</v>
      </c>
      <c r="H56" s="13">
        <f t="shared" si="21"/>
        <v>0.93561298419509</v>
      </c>
      <c r="I56" s="13">
        <f t="shared" si="24"/>
        <v>1.57159604547103</v>
      </c>
      <c r="J56" s="13">
        <f t="shared" si="27"/>
        <v>1.4370030723879</v>
      </c>
      <c r="K56" s="13">
        <f t="shared" si="30"/>
        <v>1.16007957319867</v>
      </c>
      <c r="L56" s="13">
        <f t="shared" si="33"/>
        <v>0.98656829254377</v>
      </c>
      <c r="M56" s="13">
        <f t="shared" si="37"/>
        <v>3.09926151746334</v>
      </c>
      <c r="N56" s="13">
        <f t="shared" si="41"/>
        <v>2.17344664834147</v>
      </c>
      <c r="O56" s="13">
        <f t="shared" si="44"/>
        <v>2.01498282174476</v>
      </c>
      <c r="P56" s="13">
        <f t="shared" si="48"/>
        <v>0.914473487141037</v>
      </c>
      <c r="Q56" s="13">
        <f t="shared" si="51"/>
        <v>1.73546841097261</v>
      </c>
      <c r="R56" s="13">
        <f t="shared" si="54"/>
        <v>0.904712352783657</v>
      </c>
      <c r="S56" s="13">
        <f t="shared" si="57"/>
        <v>1.551133912526</v>
      </c>
      <c r="T56" s="13">
        <f t="shared" si="60"/>
        <v>0.984156019755251</v>
      </c>
      <c r="U56" s="13">
        <f t="shared" si="63"/>
        <v>1.22928526830809</v>
      </c>
      <c r="V56" s="13">
        <f t="shared" si="66"/>
        <v>1.02825599000829</v>
      </c>
      <c r="W56" s="13">
        <f t="shared" si="69"/>
        <v>1.76260031229354</v>
      </c>
      <c r="X56" s="13">
        <f>1/ABS(X23)</f>
        <v>0.818422994779445</v>
      </c>
      <c r="Y56" s="13">
        <v>0</v>
      </c>
      <c r="Z56" s="13">
        <f>1/ABS(Z23)</f>
        <v>1.22471707719288</v>
      </c>
      <c r="AA56" s="13">
        <f>1/ABS(AA23)</f>
        <v>0.918455488600287</v>
      </c>
      <c r="AB56" s="13">
        <f>1/ABS(AB23)</f>
        <v>0.678188698526469</v>
      </c>
      <c r="AC56" s="13">
        <f>1/ABS(AC23)</f>
        <v>0.738230894616909</v>
      </c>
      <c r="AD56" s="13">
        <f t="shared" ref="AD56" si="71">1/ABS(AD23)</f>
        <v>0.8028591006868</v>
      </c>
      <c r="AE56" s="13">
        <f t="shared" si="47"/>
        <v>1.13390112125378</v>
      </c>
      <c r="AF56" s="13">
        <f t="shared" si="47"/>
        <v>0.64158262599054</v>
      </c>
      <c r="AG56" s="13">
        <f t="shared" si="47"/>
        <v>0.955749039998356</v>
      </c>
      <c r="AH56" s="13">
        <f t="shared" si="47"/>
        <v>1.03208016730836</v>
      </c>
      <c r="AI56" s="13">
        <f t="shared" si="47"/>
        <v>1.01510470072452</v>
      </c>
      <c r="AJ56" s="13">
        <f t="shared" si="13"/>
        <v>40.0408607504134</v>
      </c>
      <c r="AK56" s="13">
        <f t="shared" si="14"/>
        <v>40.0408607504134</v>
      </c>
      <c r="AL56" s="13">
        <f t="shared" si="14"/>
        <v>40.0408607504134</v>
      </c>
      <c r="AM56" s="13">
        <f t="shared" si="14"/>
        <v>40.0408607504134</v>
      </c>
      <c r="AN56" s="13">
        <f t="shared" si="14"/>
        <v>40.0408607504134</v>
      </c>
      <c r="AO56" s="13">
        <f t="shared" si="14"/>
        <v>40.0408607504134</v>
      </c>
      <c r="AP56" s="13">
        <f t="shared" si="14"/>
        <v>40.0408607504134</v>
      </c>
      <c r="AQ56" s="13">
        <f t="shared" si="14"/>
        <v>40.0408607504134</v>
      </c>
      <c r="AR56" s="13">
        <f t="shared" si="14"/>
        <v>40.0408607504134</v>
      </c>
      <c r="AS56" s="13">
        <f t="shared" si="14"/>
        <v>40.0408607504134</v>
      </c>
      <c r="AT56" s="13">
        <f t="shared" si="14"/>
        <v>40.0408607504134</v>
      </c>
      <c r="AU56" s="13">
        <f t="shared" si="14"/>
        <v>40.0408607504134</v>
      </c>
      <c r="AV56" s="13">
        <f t="shared" si="14"/>
        <v>40.0408607504134</v>
      </c>
      <c r="AW56" s="13">
        <f t="shared" si="14"/>
        <v>40.0408607504134</v>
      </c>
      <c r="AX56" s="13">
        <f t="shared" si="14"/>
        <v>40.0408607504134</v>
      </c>
      <c r="AY56" s="13">
        <f t="shared" si="14"/>
        <v>40.0408607504134</v>
      </c>
      <c r="AZ56" s="13">
        <f t="shared" si="14"/>
        <v>40.0408607504134</v>
      </c>
      <c r="BA56" s="13">
        <f t="shared" si="40"/>
        <v>40.0408607504134</v>
      </c>
      <c r="BB56" s="13">
        <f t="shared" si="40"/>
        <v>40.0408607504134</v>
      </c>
      <c r="BC56" s="13">
        <f t="shared" si="40"/>
        <v>40.0408607504134</v>
      </c>
      <c r="BD56" s="13">
        <f t="shared" si="40"/>
        <v>40.0408607504134</v>
      </c>
      <c r="BE56" s="13">
        <f t="shared" si="40"/>
        <v>40.0408607504134</v>
      </c>
      <c r="BF56" s="13">
        <f t="shared" si="40"/>
        <v>40.0408607504134</v>
      </c>
      <c r="BG56" s="13">
        <f t="shared" si="40"/>
        <v>40.0408607504134</v>
      </c>
      <c r="BH56" s="13">
        <f t="shared" si="40"/>
        <v>40.0408607504134</v>
      </c>
      <c r="BI56" s="13">
        <f t="shared" si="40"/>
        <v>40.0408607504134</v>
      </c>
      <c r="BJ56" s="13">
        <f t="shared" si="40"/>
        <v>40.0408607504134</v>
      </c>
      <c r="BK56" s="13">
        <f t="shared" si="40"/>
        <v>40.0408607504134</v>
      </c>
      <c r="BL56" s="13">
        <f t="shared" si="40"/>
        <v>40.0408607504134</v>
      </c>
      <c r="BM56" s="13">
        <f t="shared" si="40"/>
        <v>40.0408607504134</v>
      </c>
      <c r="BN56" s="13">
        <f t="shared" si="40"/>
        <v>40.0408607504134</v>
      </c>
    </row>
    <row r="57" spans="1:66">
      <c r="A57" s="13"/>
      <c r="B57" s="13"/>
      <c r="C57" s="13"/>
      <c r="D57" s="14" t="s">
        <v>21</v>
      </c>
      <c r="E57" s="13">
        <f t="shared" si="9"/>
        <v>2.42510929736047</v>
      </c>
      <c r="F57" s="13">
        <f t="shared" si="15"/>
        <v>2.10367105696494</v>
      </c>
      <c r="G57" s="13">
        <f t="shared" si="18"/>
        <v>0.854448355697861</v>
      </c>
      <c r="H57" s="13">
        <f t="shared" si="21"/>
        <v>0.763942139469115</v>
      </c>
      <c r="I57" s="13">
        <f t="shared" si="24"/>
        <v>1.28323191922269</v>
      </c>
      <c r="J57" s="13">
        <f t="shared" si="27"/>
        <v>1.17333472289094</v>
      </c>
      <c r="K57" s="13">
        <f t="shared" si="30"/>
        <v>0.947222501263426</v>
      </c>
      <c r="L57" s="13">
        <f t="shared" si="33"/>
        <v>0.805547918712001</v>
      </c>
      <c r="M57" s="13">
        <f t="shared" si="37"/>
        <v>2.53059386137329</v>
      </c>
      <c r="N57" s="13">
        <f t="shared" si="41"/>
        <v>1.77465203091896</v>
      </c>
      <c r="O57" s="13">
        <f t="shared" si="44"/>
        <v>1.64526392198532</v>
      </c>
      <c r="P57" s="13">
        <f t="shared" si="48"/>
        <v>0.746681420689472</v>
      </c>
      <c r="Q57" s="13">
        <f t="shared" si="51"/>
        <v>1.41703618189958</v>
      </c>
      <c r="R57" s="13">
        <f t="shared" si="54"/>
        <v>0.738711306987985</v>
      </c>
      <c r="S57" s="13">
        <f t="shared" si="57"/>
        <v>1.2665242784736</v>
      </c>
      <c r="T57" s="13">
        <f t="shared" si="60"/>
        <v>0.803578261528771</v>
      </c>
      <c r="U57" s="13">
        <f t="shared" si="63"/>
        <v>1.00372999707466</v>
      </c>
      <c r="V57" s="13">
        <f t="shared" si="66"/>
        <v>0.839586553626828</v>
      </c>
      <c r="W57" s="13">
        <f t="shared" si="69"/>
        <v>1.43918978931323</v>
      </c>
      <c r="X57" s="13">
        <f>1/ABS(X24)</f>
        <v>0.668254742275103</v>
      </c>
      <c r="Y57" s="13">
        <f>1/ABS(Y24)</f>
        <v>0.816515110814047</v>
      </c>
      <c r="Z57" s="13">
        <v>0</v>
      </c>
      <c r="AA57" s="13">
        <f>1/ABS(AA24)</f>
        <v>0.749932785052233</v>
      </c>
      <c r="AB57" s="13">
        <f>1/ABS(AB24)</f>
        <v>0.553751320330174</v>
      </c>
      <c r="AC57" s="13">
        <f>1/ABS(AC24)</f>
        <v>0.602776680724478</v>
      </c>
      <c r="AD57" s="13">
        <f t="shared" ref="AD57" si="72">1/ABS(AD24)</f>
        <v>0.655546587565349</v>
      </c>
      <c r="AE57" s="13">
        <f t="shared" si="47"/>
        <v>0.9258473996727</v>
      </c>
      <c r="AF57" s="13">
        <f t="shared" si="47"/>
        <v>0.523861908957033</v>
      </c>
      <c r="AG57" s="13">
        <f t="shared" si="47"/>
        <v>0.780383533304677</v>
      </c>
      <c r="AH57" s="13">
        <f t="shared" si="47"/>
        <v>0.842709052178768</v>
      </c>
      <c r="AI57" s="13">
        <f t="shared" si="47"/>
        <v>0.828848327199941</v>
      </c>
      <c r="AJ57" s="13">
        <f t="shared" si="13"/>
        <v>32.5104829635277</v>
      </c>
      <c r="AK57" s="13">
        <f t="shared" si="14"/>
        <v>32.5104829635277</v>
      </c>
      <c r="AL57" s="13">
        <f t="shared" si="14"/>
        <v>32.5104829635277</v>
      </c>
      <c r="AM57" s="13">
        <f t="shared" si="14"/>
        <v>32.5104829635277</v>
      </c>
      <c r="AN57" s="13">
        <f t="shared" si="14"/>
        <v>32.5104829635277</v>
      </c>
      <c r="AO57" s="13">
        <f t="shared" si="14"/>
        <v>32.5104829635277</v>
      </c>
      <c r="AP57" s="13">
        <f t="shared" si="14"/>
        <v>32.5104829635277</v>
      </c>
      <c r="AQ57" s="13">
        <f t="shared" si="14"/>
        <v>32.5104829635277</v>
      </c>
      <c r="AR57" s="13">
        <f t="shared" si="14"/>
        <v>32.5104829635277</v>
      </c>
      <c r="AS57" s="13">
        <f t="shared" si="14"/>
        <v>32.5104829635277</v>
      </c>
      <c r="AT57" s="13">
        <f t="shared" si="14"/>
        <v>32.5104829635277</v>
      </c>
      <c r="AU57" s="13">
        <f t="shared" si="14"/>
        <v>32.5104829635277</v>
      </c>
      <c r="AV57" s="13">
        <f t="shared" si="14"/>
        <v>32.5104829635277</v>
      </c>
      <c r="AW57" s="13">
        <f t="shared" si="14"/>
        <v>32.5104829635277</v>
      </c>
      <c r="AX57" s="13">
        <f t="shared" si="14"/>
        <v>32.5104829635277</v>
      </c>
      <c r="AY57" s="13">
        <f t="shared" si="14"/>
        <v>32.5104829635277</v>
      </c>
      <c r="AZ57" s="13">
        <f t="shared" si="14"/>
        <v>32.5104829635277</v>
      </c>
      <c r="BA57" s="13">
        <f t="shared" si="40"/>
        <v>32.5104829635277</v>
      </c>
      <c r="BB57" s="13">
        <f t="shared" si="40"/>
        <v>32.5104829635277</v>
      </c>
      <c r="BC57" s="13">
        <f t="shared" si="40"/>
        <v>32.5104829635277</v>
      </c>
      <c r="BD57" s="13">
        <f t="shared" si="40"/>
        <v>32.5104829635277</v>
      </c>
      <c r="BE57" s="13">
        <f t="shared" si="40"/>
        <v>32.5104829635277</v>
      </c>
      <c r="BF57" s="13">
        <f t="shared" si="40"/>
        <v>32.5104829635277</v>
      </c>
      <c r="BG57" s="13">
        <f t="shared" si="40"/>
        <v>32.5104829635277</v>
      </c>
      <c r="BH57" s="13">
        <f t="shared" si="40"/>
        <v>32.5104829635277</v>
      </c>
      <c r="BI57" s="13">
        <f t="shared" si="40"/>
        <v>32.5104829635277</v>
      </c>
      <c r="BJ57" s="13">
        <f t="shared" si="40"/>
        <v>32.5104829635277</v>
      </c>
      <c r="BK57" s="13">
        <f t="shared" si="40"/>
        <v>32.5104829635277</v>
      </c>
      <c r="BL57" s="13">
        <f t="shared" si="40"/>
        <v>32.5104829635277</v>
      </c>
      <c r="BM57" s="13">
        <f t="shared" si="40"/>
        <v>32.5104829635277</v>
      </c>
      <c r="BN57" s="13">
        <f t="shared" si="40"/>
        <v>32.5104829635277</v>
      </c>
    </row>
    <row r="58" spans="1:66">
      <c r="A58" s="13"/>
      <c r="B58" s="13"/>
      <c r="C58" s="13"/>
      <c r="D58" s="14" t="s">
        <v>22</v>
      </c>
      <c r="E58" s="13">
        <f t="shared" si="9"/>
        <v>3.23376887328851</v>
      </c>
      <c r="F58" s="13">
        <f t="shared" si="15"/>
        <v>2.80514613962159</v>
      </c>
      <c r="G58" s="13">
        <f t="shared" si="18"/>
        <v>1.13936658421774</v>
      </c>
      <c r="H58" s="13">
        <f t="shared" si="21"/>
        <v>1.01868081339571</v>
      </c>
      <c r="I58" s="13">
        <f t="shared" si="24"/>
        <v>1.71112924358057</v>
      </c>
      <c r="J58" s="13">
        <f t="shared" si="27"/>
        <v>1.56458651532245</v>
      </c>
      <c r="K58" s="13">
        <f t="shared" si="30"/>
        <v>1.26307653184872</v>
      </c>
      <c r="L58" s="13">
        <f t="shared" si="33"/>
        <v>1.07416015777453</v>
      </c>
      <c r="M58" s="13">
        <f t="shared" si="37"/>
        <v>3.37442756446104</v>
      </c>
      <c r="N58" s="13">
        <f t="shared" si="41"/>
        <v>2.36641478582024</v>
      </c>
      <c r="O58" s="13">
        <f t="shared" si="44"/>
        <v>2.19388184485191</v>
      </c>
      <c r="P58" s="13">
        <f t="shared" si="48"/>
        <v>0.995664458965433</v>
      </c>
      <c r="Q58" s="13">
        <f t="shared" si="51"/>
        <v>1.88955091728772</v>
      </c>
      <c r="R58" s="13">
        <f t="shared" si="54"/>
        <v>0.985036688236712</v>
      </c>
      <c r="S58" s="13">
        <f t="shared" si="57"/>
        <v>1.68885039261936</v>
      </c>
      <c r="T58" s="13">
        <f t="shared" si="60"/>
        <v>1.07153371281508</v>
      </c>
      <c r="U58" s="13">
        <f t="shared" si="63"/>
        <v>1.338426612466</v>
      </c>
      <c r="V58" s="13">
        <f t="shared" si="66"/>
        <v>1.11954907207897</v>
      </c>
      <c r="W58" s="13">
        <f t="shared" si="69"/>
        <v>1.91909170794953</v>
      </c>
      <c r="X58" s="13">
        <f>1/ABS(X25)</f>
        <v>0.891086182115053</v>
      </c>
      <c r="Y58" s="13">
        <f>1/ABS(Y25)</f>
        <v>1.08878439120004</v>
      </c>
      <c r="Z58" s="13">
        <f>1/ABS(Z25)</f>
        <v>1.33345283728374</v>
      </c>
      <c r="AA58" s="13">
        <v>0</v>
      </c>
      <c r="AB58" s="13">
        <f>1/ABS(AB25)</f>
        <v>0.738401269243891</v>
      </c>
      <c r="AC58" s="13">
        <f>1/ABS(AC25)</f>
        <v>0.803774275160533</v>
      </c>
      <c r="AD58" s="13">
        <f t="shared" ref="AD58" si="73">1/ABS(AD25)</f>
        <v>0.874140457160691</v>
      </c>
      <c r="AE58" s="13">
        <f t="shared" si="47"/>
        <v>1.23457384198534</v>
      </c>
      <c r="AF58" s="13">
        <f t="shared" si="47"/>
        <v>0.698545148843634</v>
      </c>
      <c r="AG58" s="13">
        <f t="shared" si="47"/>
        <v>1.04060463665463</v>
      </c>
      <c r="AH58" s="13">
        <f t="shared" si="47"/>
        <v>1.12371277663247</v>
      </c>
      <c r="AI58" s="13">
        <f t="shared" si="47"/>
        <v>1.10523015358265</v>
      </c>
      <c r="AJ58" s="13">
        <f t="shared" si="13"/>
        <v>43.6846485864645</v>
      </c>
      <c r="AK58" s="13">
        <f t="shared" si="14"/>
        <v>43.6846485864645</v>
      </c>
      <c r="AL58" s="13">
        <f t="shared" si="14"/>
        <v>43.6846485864645</v>
      </c>
      <c r="AM58" s="13">
        <f t="shared" si="14"/>
        <v>43.6846485864645</v>
      </c>
      <c r="AN58" s="13">
        <f t="shared" si="14"/>
        <v>43.6846485864645</v>
      </c>
      <c r="AO58" s="13">
        <f t="shared" si="14"/>
        <v>43.6846485864645</v>
      </c>
      <c r="AP58" s="13">
        <f t="shared" si="14"/>
        <v>43.6846485864645</v>
      </c>
      <c r="AQ58" s="13">
        <f t="shared" si="14"/>
        <v>43.6846485864645</v>
      </c>
      <c r="AR58" s="13">
        <f t="shared" si="14"/>
        <v>43.6846485864645</v>
      </c>
      <c r="AS58" s="13">
        <f t="shared" si="14"/>
        <v>43.6846485864645</v>
      </c>
      <c r="AT58" s="13">
        <f t="shared" si="14"/>
        <v>43.6846485864645</v>
      </c>
      <c r="AU58" s="13">
        <f t="shared" si="14"/>
        <v>43.6846485864645</v>
      </c>
      <c r="AV58" s="13">
        <f t="shared" si="14"/>
        <v>43.6846485864645</v>
      </c>
      <c r="AW58" s="13">
        <f t="shared" si="14"/>
        <v>43.6846485864645</v>
      </c>
      <c r="AX58" s="13">
        <f t="shared" si="14"/>
        <v>43.6846485864645</v>
      </c>
      <c r="AY58" s="13">
        <f t="shared" si="14"/>
        <v>43.6846485864645</v>
      </c>
      <c r="AZ58" s="13">
        <f t="shared" si="14"/>
        <v>43.6846485864645</v>
      </c>
      <c r="BA58" s="13">
        <f t="shared" si="40"/>
        <v>43.6846485864645</v>
      </c>
      <c r="BB58" s="13">
        <f t="shared" si="40"/>
        <v>43.6846485864645</v>
      </c>
      <c r="BC58" s="13">
        <f t="shared" si="40"/>
        <v>43.6846485864645</v>
      </c>
      <c r="BD58" s="13">
        <f t="shared" si="40"/>
        <v>43.6846485864645</v>
      </c>
      <c r="BE58" s="13">
        <f t="shared" si="40"/>
        <v>43.6846485864645</v>
      </c>
      <c r="BF58" s="13">
        <f t="shared" si="40"/>
        <v>43.6846485864645</v>
      </c>
      <c r="BG58" s="13">
        <f t="shared" si="40"/>
        <v>43.6846485864645</v>
      </c>
      <c r="BH58" s="13">
        <f t="shared" si="40"/>
        <v>43.6846485864645</v>
      </c>
      <c r="BI58" s="13">
        <f t="shared" si="40"/>
        <v>43.6846485864645</v>
      </c>
      <c r="BJ58" s="13">
        <f t="shared" si="40"/>
        <v>43.6846485864645</v>
      </c>
      <c r="BK58" s="13">
        <f t="shared" si="40"/>
        <v>43.6846485864645</v>
      </c>
      <c r="BL58" s="13">
        <f t="shared" si="40"/>
        <v>43.6846485864645</v>
      </c>
      <c r="BM58" s="13">
        <f t="shared" si="40"/>
        <v>43.6846485864645</v>
      </c>
      <c r="BN58" s="13">
        <f t="shared" si="40"/>
        <v>43.6846485864645</v>
      </c>
    </row>
    <row r="59" spans="1:66">
      <c r="A59" s="13"/>
      <c r="B59" s="13"/>
      <c r="C59" s="13"/>
      <c r="D59" s="14" t="s">
        <v>23</v>
      </c>
      <c r="E59" s="13">
        <f t="shared" si="9"/>
        <v>4.37941944032658</v>
      </c>
      <c r="F59" s="13">
        <f t="shared" si="15"/>
        <v>3.79894544668647</v>
      </c>
      <c r="G59" s="13">
        <f t="shared" si="18"/>
        <v>1.54301818222013</v>
      </c>
      <c r="H59" s="13">
        <f t="shared" si="21"/>
        <v>1.37957619498517</v>
      </c>
      <c r="I59" s="13">
        <f t="shared" si="24"/>
        <v>2.3173433129831</v>
      </c>
      <c r="J59" s="13">
        <f t="shared" si="27"/>
        <v>2.11888383794974</v>
      </c>
      <c r="K59" s="13">
        <f t="shared" si="30"/>
        <v>1.71055574314233</v>
      </c>
      <c r="L59" s="13">
        <f t="shared" si="33"/>
        <v>1.4547106058938</v>
      </c>
      <c r="M59" s="13">
        <f t="shared" si="37"/>
        <v>4.56991029811798</v>
      </c>
      <c r="N59" s="13">
        <f t="shared" si="41"/>
        <v>3.20478157932123</v>
      </c>
      <c r="O59" s="13">
        <f t="shared" si="44"/>
        <v>2.97112415191052</v>
      </c>
      <c r="P59" s="13">
        <f t="shared" si="48"/>
        <v>1.34840567105874</v>
      </c>
      <c r="Q59" s="13">
        <f t="shared" si="51"/>
        <v>2.55897571685188</v>
      </c>
      <c r="R59" s="13">
        <f t="shared" si="54"/>
        <v>1.33401272352277</v>
      </c>
      <c r="S59" s="13">
        <f t="shared" si="57"/>
        <v>2.28717157318637</v>
      </c>
      <c r="T59" s="13">
        <f t="shared" si="60"/>
        <v>1.45115367138021</v>
      </c>
      <c r="U59" s="13">
        <f t="shared" si="63"/>
        <v>1.81260063899474</v>
      </c>
      <c r="V59" s="13">
        <f t="shared" si="66"/>
        <v>1.5161797774608</v>
      </c>
      <c r="W59" s="13">
        <f t="shared" si="69"/>
        <v>2.59898213597959</v>
      </c>
      <c r="X59" s="13">
        <f>1/ABS(X26)</f>
        <v>1.20677769558483</v>
      </c>
      <c r="Y59" s="13">
        <f>1/ABS(Y26)</f>
        <v>1.47451587172235</v>
      </c>
      <c r="Z59" s="13">
        <f>1/ABS(Z26)</f>
        <v>1.8058647686903</v>
      </c>
      <c r="AA59" s="13">
        <f>1/ABS(AA26)</f>
        <v>1.35427719541162</v>
      </c>
      <c r="AB59" s="13">
        <v>0</v>
      </c>
      <c r="AC59" s="13">
        <f>1/ABS(AC26)</f>
        <v>1.08853317110842</v>
      </c>
      <c r="AD59" s="13">
        <f t="shared" ref="AD59" si="74">1/ABS(AD26)</f>
        <v>1.18382848671942</v>
      </c>
      <c r="AE59" s="13">
        <f t="shared" si="47"/>
        <v>1.67195520025246</v>
      </c>
      <c r="AF59" s="13">
        <f t="shared" si="47"/>
        <v>0.946023765044352</v>
      </c>
      <c r="AG59" s="13">
        <f t="shared" si="47"/>
        <v>1.40926712886097</v>
      </c>
      <c r="AH59" s="13">
        <f t="shared" si="47"/>
        <v>1.52181858758604</v>
      </c>
      <c r="AI59" s="13">
        <f t="shared" si="47"/>
        <v>1.49678799267827</v>
      </c>
      <c r="AJ59" s="13">
        <f t="shared" si="13"/>
        <v>59.5154005656312</v>
      </c>
      <c r="AK59" s="13">
        <f t="shared" si="14"/>
        <v>59.5154005656312</v>
      </c>
      <c r="AL59" s="13">
        <f t="shared" si="14"/>
        <v>59.5154005656312</v>
      </c>
      <c r="AM59" s="13">
        <f t="shared" si="14"/>
        <v>59.5154005656312</v>
      </c>
      <c r="AN59" s="13">
        <f t="shared" si="14"/>
        <v>59.5154005656312</v>
      </c>
      <c r="AO59" s="13">
        <f t="shared" si="14"/>
        <v>59.5154005656312</v>
      </c>
      <c r="AP59" s="13">
        <f t="shared" si="14"/>
        <v>59.5154005656312</v>
      </c>
      <c r="AQ59" s="13">
        <f t="shared" si="14"/>
        <v>59.5154005656312</v>
      </c>
      <c r="AR59" s="13">
        <f t="shared" si="14"/>
        <v>59.5154005656312</v>
      </c>
      <c r="AS59" s="13">
        <f t="shared" si="14"/>
        <v>59.5154005656312</v>
      </c>
      <c r="AT59" s="13">
        <f t="shared" si="14"/>
        <v>59.5154005656312</v>
      </c>
      <c r="AU59" s="13">
        <f t="shared" si="14"/>
        <v>59.5154005656312</v>
      </c>
      <c r="AV59" s="13">
        <f t="shared" si="14"/>
        <v>59.5154005656312</v>
      </c>
      <c r="AW59" s="13">
        <f t="shared" si="14"/>
        <v>59.5154005656312</v>
      </c>
      <c r="AX59" s="13">
        <f t="shared" si="14"/>
        <v>59.5154005656312</v>
      </c>
      <c r="AY59" s="13">
        <f t="shared" si="14"/>
        <v>59.5154005656312</v>
      </c>
      <c r="AZ59" s="13">
        <f t="shared" si="14"/>
        <v>59.5154005656312</v>
      </c>
      <c r="BA59" s="13">
        <f t="shared" si="40"/>
        <v>59.5154005656312</v>
      </c>
      <c r="BB59" s="13">
        <f t="shared" si="40"/>
        <v>59.5154005656312</v>
      </c>
      <c r="BC59" s="13">
        <f t="shared" si="40"/>
        <v>59.5154005656312</v>
      </c>
      <c r="BD59" s="13">
        <f t="shared" si="40"/>
        <v>59.5154005656312</v>
      </c>
      <c r="BE59" s="13">
        <f t="shared" si="40"/>
        <v>59.5154005656312</v>
      </c>
      <c r="BF59" s="13">
        <f t="shared" si="40"/>
        <v>59.5154005656312</v>
      </c>
      <c r="BG59" s="13">
        <f t="shared" si="40"/>
        <v>59.5154005656312</v>
      </c>
      <c r="BH59" s="13">
        <f t="shared" si="40"/>
        <v>59.5154005656312</v>
      </c>
      <c r="BI59" s="13">
        <f t="shared" si="40"/>
        <v>59.5154005656312</v>
      </c>
      <c r="BJ59" s="13">
        <f t="shared" si="40"/>
        <v>59.5154005656312</v>
      </c>
      <c r="BK59" s="13">
        <f t="shared" si="40"/>
        <v>59.5154005656312</v>
      </c>
      <c r="BL59" s="13">
        <f t="shared" si="40"/>
        <v>59.5154005656312</v>
      </c>
      <c r="BM59" s="13">
        <f t="shared" si="40"/>
        <v>59.5154005656312</v>
      </c>
      <c r="BN59" s="13">
        <f t="shared" si="40"/>
        <v>59.5154005656312</v>
      </c>
    </row>
    <row r="60" spans="1:66">
      <c r="A60" s="13"/>
      <c r="B60" s="13"/>
      <c r="C60" s="13"/>
      <c r="D60" s="14" t="s">
        <v>24</v>
      </c>
      <c r="E60" s="13">
        <f t="shared" si="9"/>
        <v>4.02323011972815</v>
      </c>
      <c r="F60" s="13">
        <f t="shared" si="15"/>
        <v>3.48996755222271</v>
      </c>
      <c r="G60" s="13">
        <f t="shared" si="18"/>
        <v>1.41752058933484</v>
      </c>
      <c r="H60" s="13">
        <f t="shared" si="21"/>
        <v>1.26737175457905</v>
      </c>
      <c r="I60" s="13">
        <f t="shared" si="24"/>
        <v>2.12886788798859</v>
      </c>
      <c r="J60" s="13">
        <f t="shared" si="27"/>
        <v>1.94654962677173</v>
      </c>
      <c r="K60" s="13">
        <f t="shared" si="30"/>
        <v>1.57143189435424</v>
      </c>
      <c r="L60" s="13">
        <f t="shared" si="33"/>
        <v>1.33639529277047</v>
      </c>
      <c r="M60" s="13">
        <f t="shared" si="37"/>
        <v>4.19822787160871</v>
      </c>
      <c r="N60" s="13">
        <f t="shared" si="41"/>
        <v>2.9441285432376</v>
      </c>
      <c r="O60" s="13">
        <f t="shared" si="44"/>
        <v>2.72947506862388</v>
      </c>
      <c r="P60" s="13">
        <f t="shared" si="48"/>
        <v>1.23873640863484</v>
      </c>
      <c r="Q60" s="13">
        <f t="shared" si="51"/>
        <v>2.35084771394349</v>
      </c>
      <c r="R60" s="13">
        <f t="shared" si="54"/>
        <v>1.22551407612538</v>
      </c>
      <c r="S60" s="13">
        <f t="shared" si="57"/>
        <v>2.10115009252076</v>
      </c>
      <c r="T60" s="13">
        <f t="shared" si="60"/>
        <v>1.33312765278668</v>
      </c>
      <c r="U60" s="13">
        <f t="shared" si="63"/>
        <v>1.66517721931159</v>
      </c>
      <c r="V60" s="13">
        <f t="shared" si="66"/>
        <v>1.39286502028865</v>
      </c>
      <c r="W60" s="13">
        <f t="shared" si="69"/>
        <v>2.38760030926125</v>
      </c>
      <c r="X60" s="13">
        <f>1/ABS(X27)</f>
        <v>1.10862739658728</v>
      </c>
      <c r="Y60" s="13">
        <f>1/ABS(Y27)</f>
        <v>1.35458974596143</v>
      </c>
      <c r="Z60" s="13">
        <f>1/ABS(Z27)</f>
        <v>1.65898919446933</v>
      </c>
      <c r="AA60" s="13">
        <f>1/ABS(AA27)</f>
        <v>1.24413038697995</v>
      </c>
      <c r="AB60" s="13">
        <f>1/ABS(AB27)</f>
        <v>0.918667456850885</v>
      </c>
      <c r="AC60" s="13">
        <v>0</v>
      </c>
      <c r="AD60" s="13">
        <f t="shared" ref="AD60" si="75">1/ABS(AD27)</f>
        <v>1.08754470524216</v>
      </c>
      <c r="AE60" s="13">
        <f t="shared" si="47"/>
        <v>1.53597083178454</v>
      </c>
      <c r="AF60" s="13">
        <f t="shared" si="47"/>
        <v>0.869081246353795</v>
      </c>
      <c r="AG60" s="13">
        <f t="shared" si="47"/>
        <v>1.29464784929426</v>
      </c>
      <c r="AH60" s="13">
        <f t="shared" si="47"/>
        <v>1.39804521164607</v>
      </c>
      <c r="AI60" s="13">
        <f t="shared" si="47"/>
        <v>1.37505041867868</v>
      </c>
      <c r="AJ60" s="13">
        <f t="shared" si="13"/>
        <v>54.593529137941</v>
      </c>
      <c r="AK60" s="13">
        <f t="shared" si="14"/>
        <v>54.593529137941</v>
      </c>
      <c r="AL60" s="13">
        <f t="shared" si="14"/>
        <v>54.593529137941</v>
      </c>
      <c r="AM60" s="13">
        <f t="shared" si="14"/>
        <v>54.593529137941</v>
      </c>
      <c r="AN60" s="13">
        <f t="shared" si="14"/>
        <v>54.593529137941</v>
      </c>
      <c r="AO60" s="13">
        <f t="shared" si="14"/>
        <v>54.593529137941</v>
      </c>
      <c r="AP60" s="13">
        <f t="shared" si="14"/>
        <v>54.593529137941</v>
      </c>
      <c r="AQ60" s="13">
        <f t="shared" si="14"/>
        <v>54.593529137941</v>
      </c>
      <c r="AR60" s="13">
        <f t="shared" ref="AR60:BG66" si="76">$AJ60</f>
        <v>54.593529137941</v>
      </c>
      <c r="AS60" s="13">
        <f t="shared" si="76"/>
        <v>54.593529137941</v>
      </c>
      <c r="AT60" s="13">
        <f t="shared" si="76"/>
        <v>54.593529137941</v>
      </c>
      <c r="AU60" s="13">
        <f t="shared" si="76"/>
        <v>54.593529137941</v>
      </c>
      <c r="AV60" s="13">
        <f t="shared" si="76"/>
        <v>54.593529137941</v>
      </c>
      <c r="AW60" s="13">
        <f t="shared" si="76"/>
        <v>54.593529137941</v>
      </c>
      <c r="AX60" s="13">
        <f t="shared" si="76"/>
        <v>54.593529137941</v>
      </c>
      <c r="AY60" s="13">
        <f t="shared" si="76"/>
        <v>54.593529137941</v>
      </c>
      <c r="AZ60" s="13">
        <f t="shared" si="76"/>
        <v>54.593529137941</v>
      </c>
      <c r="BA60" s="13">
        <f t="shared" si="76"/>
        <v>54.593529137941</v>
      </c>
      <c r="BB60" s="13">
        <f t="shared" si="76"/>
        <v>54.593529137941</v>
      </c>
      <c r="BC60" s="13">
        <f t="shared" si="76"/>
        <v>54.593529137941</v>
      </c>
      <c r="BD60" s="13">
        <f t="shared" si="76"/>
        <v>54.593529137941</v>
      </c>
      <c r="BE60" s="13">
        <f t="shared" si="76"/>
        <v>54.593529137941</v>
      </c>
      <c r="BF60" s="13">
        <f t="shared" si="76"/>
        <v>54.593529137941</v>
      </c>
      <c r="BG60" s="13">
        <f t="shared" si="76"/>
        <v>54.593529137941</v>
      </c>
      <c r="BH60" s="13">
        <f t="shared" si="40"/>
        <v>54.593529137941</v>
      </c>
      <c r="BI60" s="13">
        <f t="shared" si="40"/>
        <v>54.593529137941</v>
      </c>
      <c r="BJ60" s="13">
        <f t="shared" si="40"/>
        <v>54.593529137941</v>
      </c>
      <c r="BK60" s="13">
        <f t="shared" si="40"/>
        <v>54.593529137941</v>
      </c>
      <c r="BL60" s="13">
        <f t="shared" si="40"/>
        <v>54.593529137941</v>
      </c>
      <c r="BM60" s="13">
        <f t="shared" si="40"/>
        <v>54.593529137941</v>
      </c>
      <c r="BN60" s="13">
        <f t="shared" si="40"/>
        <v>54.593529137941</v>
      </c>
    </row>
    <row r="61" spans="1:66">
      <c r="A61" s="13"/>
      <c r="B61" s="13"/>
      <c r="C61" s="13"/>
      <c r="D61" s="14" t="s">
        <v>25</v>
      </c>
      <c r="E61" s="13">
        <f t="shared" si="9"/>
        <v>3.69936987448467</v>
      </c>
      <c r="F61" s="13">
        <f t="shared" si="15"/>
        <v>3.20903364744497</v>
      </c>
      <c r="G61" s="13">
        <f t="shared" ref="G61:AI61" si="77">1/ABS(G28)</f>
        <v>1.3034136275062</v>
      </c>
      <c r="H61" s="13">
        <f t="shared" si="77"/>
        <v>1.16535140897665</v>
      </c>
      <c r="I61" s="13">
        <f t="shared" si="77"/>
        <v>1.95749919771305</v>
      </c>
      <c r="J61" s="13">
        <f t="shared" si="77"/>
        <v>1.78985711335729</v>
      </c>
      <c r="K61" s="13">
        <f t="shared" si="77"/>
        <v>1.44493544658869</v>
      </c>
      <c r="L61" s="13">
        <f t="shared" si="77"/>
        <v>1.2288187201214</v>
      </c>
      <c r="M61" s="13">
        <f t="shared" si="77"/>
        <v>3.86028073271151</v>
      </c>
      <c r="N61" s="13">
        <f t="shared" si="77"/>
        <v>2.70713335189476</v>
      </c>
      <c r="O61" s="13">
        <f t="shared" si="77"/>
        <v>2.50975896022235</v>
      </c>
      <c r="P61" s="13">
        <f t="shared" si="77"/>
        <v>1.1390211387761</v>
      </c>
      <c r="Q61" s="13">
        <f t="shared" si="77"/>
        <v>2.16161018725206</v>
      </c>
      <c r="R61" s="13">
        <f t="shared" si="77"/>
        <v>1.12686317189371</v>
      </c>
      <c r="S61" s="13">
        <f t="shared" si="77"/>
        <v>1.93201261740584</v>
      </c>
      <c r="T61" s="13">
        <f t="shared" si="77"/>
        <v>1.22581411721355</v>
      </c>
      <c r="U61" s="13">
        <f t="shared" si="77"/>
        <v>1.53113450075674</v>
      </c>
      <c r="V61" s="13">
        <f t="shared" si="77"/>
        <v>1.28074277183715</v>
      </c>
      <c r="W61" s="13">
        <f t="shared" si="77"/>
        <v>2.19540428798246</v>
      </c>
      <c r="X61" s="13">
        <f t="shared" si="77"/>
        <v>1.01938558593822</v>
      </c>
      <c r="Y61" s="13">
        <f t="shared" si="77"/>
        <v>1.24554856405633</v>
      </c>
      <c r="Z61" s="13">
        <f t="shared" si="77"/>
        <v>1.52544459687286</v>
      </c>
      <c r="AA61" s="13">
        <f t="shared" si="77"/>
        <v>1.14398091497574</v>
      </c>
      <c r="AB61" s="13">
        <f t="shared" si="77"/>
        <v>0.844716959608875</v>
      </c>
      <c r="AC61" s="13">
        <f t="shared" si="77"/>
        <v>0.91950243073211</v>
      </c>
      <c r="AD61" s="13">
        <v>0</v>
      </c>
      <c r="AE61" s="13">
        <f t="shared" si="77"/>
        <v>1.4123289133595</v>
      </c>
      <c r="AF61" s="13">
        <f t="shared" si="77"/>
        <v>0.799122318526006</v>
      </c>
      <c r="AG61" s="13">
        <f t="shared" si="77"/>
        <v>1.19043184436817</v>
      </c>
      <c r="AH61" s="13">
        <f t="shared" si="77"/>
        <v>1.28550597038195</v>
      </c>
      <c r="AI61" s="13">
        <f t="shared" si="77"/>
        <v>1.26436220235426</v>
      </c>
      <c r="AJ61" s="13">
        <f t="shared" si="13"/>
        <v>50.1183851753132</v>
      </c>
      <c r="AK61" s="13">
        <f t="shared" ref="AK61:AZ66" si="78">$AJ61</f>
        <v>50.1183851753132</v>
      </c>
      <c r="AL61" s="13">
        <f t="shared" si="78"/>
        <v>50.1183851753132</v>
      </c>
      <c r="AM61" s="13">
        <f t="shared" si="78"/>
        <v>50.1183851753132</v>
      </c>
      <c r="AN61" s="13">
        <f t="shared" si="78"/>
        <v>50.1183851753132</v>
      </c>
      <c r="AO61" s="13">
        <f t="shared" si="78"/>
        <v>50.1183851753132</v>
      </c>
      <c r="AP61" s="13">
        <f t="shared" si="78"/>
        <v>50.1183851753132</v>
      </c>
      <c r="AQ61" s="13">
        <f t="shared" si="78"/>
        <v>50.1183851753132</v>
      </c>
      <c r="AR61" s="13">
        <f t="shared" si="78"/>
        <v>50.1183851753132</v>
      </c>
      <c r="AS61" s="13">
        <f t="shared" si="78"/>
        <v>50.1183851753132</v>
      </c>
      <c r="AT61" s="13">
        <f t="shared" si="78"/>
        <v>50.1183851753132</v>
      </c>
      <c r="AU61" s="13">
        <f t="shared" si="78"/>
        <v>50.1183851753132</v>
      </c>
      <c r="AV61" s="13">
        <f t="shared" si="78"/>
        <v>50.1183851753132</v>
      </c>
      <c r="AW61" s="13">
        <f t="shared" si="78"/>
        <v>50.1183851753132</v>
      </c>
      <c r="AX61" s="13">
        <f t="shared" si="78"/>
        <v>50.1183851753132</v>
      </c>
      <c r="AY61" s="13">
        <f t="shared" si="78"/>
        <v>50.1183851753132</v>
      </c>
      <c r="AZ61" s="13">
        <f t="shared" si="78"/>
        <v>50.1183851753132</v>
      </c>
      <c r="BA61" s="13">
        <f t="shared" si="76"/>
        <v>50.1183851753132</v>
      </c>
      <c r="BB61" s="13">
        <f t="shared" si="76"/>
        <v>50.1183851753132</v>
      </c>
      <c r="BC61" s="13">
        <f t="shared" si="76"/>
        <v>50.1183851753132</v>
      </c>
      <c r="BD61" s="13">
        <f t="shared" si="76"/>
        <v>50.1183851753132</v>
      </c>
      <c r="BE61" s="13">
        <f t="shared" si="76"/>
        <v>50.1183851753132</v>
      </c>
      <c r="BF61" s="13">
        <f t="shared" si="76"/>
        <v>50.1183851753132</v>
      </c>
      <c r="BG61" s="13">
        <f t="shared" si="76"/>
        <v>50.1183851753132</v>
      </c>
      <c r="BH61" s="13">
        <f t="shared" si="40"/>
        <v>50.1183851753132</v>
      </c>
      <c r="BI61" s="13">
        <f t="shared" si="40"/>
        <v>50.1183851753132</v>
      </c>
      <c r="BJ61" s="13">
        <f t="shared" si="40"/>
        <v>50.1183851753132</v>
      </c>
      <c r="BK61" s="13">
        <f t="shared" si="40"/>
        <v>50.1183851753132</v>
      </c>
      <c r="BL61" s="13">
        <f t="shared" si="40"/>
        <v>50.1183851753132</v>
      </c>
      <c r="BM61" s="13">
        <f t="shared" si="40"/>
        <v>50.1183851753132</v>
      </c>
      <c r="BN61" s="13">
        <f t="shared" si="40"/>
        <v>50.1183851753132</v>
      </c>
    </row>
    <row r="62" spans="1:66">
      <c r="A62" s="13"/>
      <c r="B62" s="13"/>
      <c r="C62" s="13"/>
      <c r="D62" s="14" t="s">
        <v>26</v>
      </c>
      <c r="E62" s="13">
        <f t="shared" si="9"/>
        <v>2.61934018307745</v>
      </c>
      <c r="F62" s="13">
        <f t="shared" si="15"/>
        <v>2.27215743945343</v>
      </c>
      <c r="G62" s="13">
        <f t="shared" ref="G62:AC62" si="79">1/ABS(G29)</f>
        <v>0.922882492298321</v>
      </c>
      <c r="H62" s="13">
        <f t="shared" si="79"/>
        <v>0.825127488330344</v>
      </c>
      <c r="I62" s="13">
        <f t="shared" si="79"/>
        <v>1.38600801781842</v>
      </c>
      <c r="J62" s="13">
        <f t="shared" si="79"/>
        <v>1.26730897911008</v>
      </c>
      <c r="K62" s="13">
        <f t="shared" si="79"/>
        <v>1.02308706769418</v>
      </c>
      <c r="L62" s="13">
        <f t="shared" si="79"/>
        <v>0.87006554103492</v>
      </c>
      <c r="M62" s="13">
        <f t="shared" si="79"/>
        <v>2.73327317468072</v>
      </c>
      <c r="N62" s="13">
        <f t="shared" si="79"/>
        <v>1.91678675292097</v>
      </c>
      <c r="O62" s="13">
        <f t="shared" si="79"/>
        <v>1.77703574321961</v>
      </c>
      <c r="P62" s="13">
        <f t="shared" si="79"/>
        <v>0.806484330952848</v>
      </c>
      <c r="Q62" s="13">
        <f t="shared" si="79"/>
        <v>1.53052887808566</v>
      </c>
      <c r="R62" s="13">
        <f t="shared" si="79"/>
        <v>0.797875878086529</v>
      </c>
      <c r="S62" s="13">
        <f t="shared" si="79"/>
        <v>1.36796223537629</v>
      </c>
      <c r="T62" s="13">
        <f t="shared" si="79"/>
        <v>0.867938130854876</v>
      </c>
      <c r="U62" s="13">
        <f t="shared" si="79"/>
        <v>1.08412033930158</v>
      </c>
      <c r="V62" s="13">
        <f t="shared" si="79"/>
        <v>0.906830384708791</v>
      </c>
      <c r="W62" s="13">
        <f t="shared" si="79"/>
        <v>1.55445680338035</v>
      </c>
      <c r="X62" s="13">
        <f t="shared" si="79"/>
        <v>0.721776334319608</v>
      </c>
      <c r="Y62" s="13">
        <f t="shared" si="79"/>
        <v>0.881911113108593</v>
      </c>
      <c r="Z62" s="13">
        <f t="shared" si="79"/>
        <v>1.08009160079027</v>
      </c>
      <c r="AA62" s="13">
        <f t="shared" si="79"/>
        <v>0.809996102292175</v>
      </c>
      <c r="AB62" s="13">
        <f t="shared" si="79"/>
        <v>0.598102150015146</v>
      </c>
      <c r="AC62" s="13">
        <f t="shared" si="79"/>
        <v>0.65105403000275</v>
      </c>
      <c r="AD62" s="13">
        <f t="shared" ref="AD62" si="80">1/ABS(AD29)</f>
        <v>0.708050363156059</v>
      </c>
      <c r="AE62" s="13">
        <v>0</v>
      </c>
      <c r="AF62" s="13">
        <f>1/ABS(AF29)</f>
        <v>0.565818847838451</v>
      </c>
      <c r="AG62" s="13">
        <f>1/ABS(AG29)</f>
        <v>0.842885699717419</v>
      </c>
      <c r="AH62" s="13">
        <f>1/ABS(AH29)</f>
        <v>0.910202969168221</v>
      </c>
      <c r="AI62" s="13">
        <f>1/ABS(AI29)</f>
        <v>0.895232116537725</v>
      </c>
      <c r="AJ62" s="13">
        <f t="shared" si="13"/>
        <v>35.1943911873318</v>
      </c>
      <c r="AK62" s="13">
        <f t="shared" si="78"/>
        <v>35.1943911873318</v>
      </c>
      <c r="AL62" s="13">
        <f t="shared" si="78"/>
        <v>35.1943911873318</v>
      </c>
      <c r="AM62" s="13">
        <f t="shared" si="78"/>
        <v>35.1943911873318</v>
      </c>
      <c r="AN62" s="13">
        <f t="shared" si="78"/>
        <v>35.1943911873318</v>
      </c>
      <c r="AO62" s="13">
        <f t="shared" si="78"/>
        <v>35.1943911873318</v>
      </c>
      <c r="AP62" s="13">
        <f t="shared" si="78"/>
        <v>35.1943911873318</v>
      </c>
      <c r="AQ62" s="13">
        <f t="shared" si="78"/>
        <v>35.1943911873318</v>
      </c>
      <c r="AR62" s="13">
        <f t="shared" si="78"/>
        <v>35.1943911873318</v>
      </c>
      <c r="AS62" s="13">
        <f t="shared" si="78"/>
        <v>35.1943911873318</v>
      </c>
      <c r="AT62" s="13">
        <f t="shared" si="78"/>
        <v>35.1943911873318</v>
      </c>
      <c r="AU62" s="13">
        <f t="shared" si="78"/>
        <v>35.1943911873318</v>
      </c>
      <c r="AV62" s="13">
        <f t="shared" si="78"/>
        <v>35.1943911873318</v>
      </c>
      <c r="AW62" s="13">
        <f t="shared" si="78"/>
        <v>35.1943911873318</v>
      </c>
      <c r="AX62" s="13">
        <f t="shared" si="78"/>
        <v>35.1943911873318</v>
      </c>
      <c r="AY62" s="13">
        <f t="shared" si="78"/>
        <v>35.1943911873318</v>
      </c>
      <c r="AZ62" s="13">
        <f t="shared" si="78"/>
        <v>35.1943911873318</v>
      </c>
      <c r="BA62" s="13">
        <f t="shared" si="76"/>
        <v>35.1943911873318</v>
      </c>
      <c r="BB62" s="13">
        <f t="shared" si="76"/>
        <v>35.1943911873318</v>
      </c>
      <c r="BC62" s="13">
        <f t="shared" si="76"/>
        <v>35.1943911873318</v>
      </c>
      <c r="BD62" s="13">
        <f t="shared" si="76"/>
        <v>35.1943911873318</v>
      </c>
      <c r="BE62" s="13">
        <f t="shared" si="76"/>
        <v>35.1943911873318</v>
      </c>
      <c r="BF62" s="13">
        <f t="shared" si="76"/>
        <v>35.1943911873318</v>
      </c>
      <c r="BG62" s="13">
        <f t="shared" si="76"/>
        <v>35.1943911873318</v>
      </c>
      <c r="BH62" s="13">
        <f t="shared" si="40"/>
        <v>35.1943911873318</v>
      </c>
      <c r="BI62" s="13">
        <f t="shared" si="40"/>
        <v>35.1943911873318</v>
      </c>
      <c r="BJ62" s="13">
        <f t="shared" si="40"/>
        <v>35.1943911873318</v>
      </c>
      <c r="BK62" s="13">
        <f t="shared" si="40"/>
        <v>35.1943911873318</v>
      </c>
      <c r="BL62" s="13">
        <f t="shared" si="40"/>
        <v>35.1943911873318</v>
      </c>
      <c r="BM62" s="13">
        <f t="shared" si="40"/>
        <v>35.1943911873318</v>
      </c>
      <c r="BN62" s="13">
        <f t="shared" si="40"/>
        <v>35.1943911873318</v>
      </c>
    </row>
    <row r="63" spans="1:66">
      <c r="A63" s="13"/>
      <c r="B63" s="13"/>
      <c r="C63" s="13"/>
      <c r="D63" s="14" t="s">
        <v>27</v>
      </c>
      <c r="E63" s="13">
        <f t="shared" si="9"/>
        <v>4.6292911469526</v>
      </c>
      <c r="F63" s="13">
        <f t="shared" si="15"/>
        <v>4.01569768863931</v>
      </c>
      <c r="G63" s="13">
        <f t="shared" ref="G63:AC63" si="81">1/ABS(G30)</f>
        <v>1.63105646944058</v>
      </c>
      <c r="H63" s="13">
        <f t="shared" si="81"/>
        <v>1.45828915293739</v>
      </c>
      <c r="I63" s="13">
        <f t="shared" si="81"/>
        <v>2.44956141548353</v>
      </c>
      <c r="J63" s="13">
        <f t="shared" si="81"/>
        <v>2.23977865698797</v>
      </c>
      <c r="K63" s="13">
        <f t="shared" si="81"/>
        <v>1.80815303626345</v>
      </c>
      <c r="L63" s="13">
        <f t="shared" si="81"/>
        <v>1.53771042509234</v>
      </c>
      <c r="M63" s="13">
        <f t="shared" si="81"/>
        <v>4.83065063159775</v>
      </c>
      <c r="N63" s="13">
        <f t="shared" si="81"/>
        <v>3.38763326856909</v>
      </c>
      <c r="O63" s="13">
        <f t="shared" si="81"/>
        <v>3.14064430693369</v>
      </c>
      <c r="P63" s="13">
        <f t="shared" si="81"/>
        <v>1.4253401667933</v>
      </c>
      <c r="Q63" s="13">
        <f t="shared" si="81"/>
        <v>2.70498037301622</v>
      </c>
      <c r="R63" s="13">
        <f t="shared" si="81"/>
        <v>1.41012601671822</v>
      </c>
      <c r="S63" s="13">
        <f t="shared" si="81"/>
        <v>2.41766819999405</v>
      </c>
      <c r="T63" s="13">
        <f t="shared" si="81"/>
        <v>1.53395054648778</v>
      </c>
      <c r="U63" s="13">
        <f t="shared" si="81"/>
        <v>1.91602019523237</v>
      </c>
      <c r="V63" s="13">
        <f t="shared" si="81"/>
        <v>1.60268677541068</v>
      </c>
      <c r="W63" s="13">
        <f t="shared" si="81"/>
        <v>2.74726939429237</v>
      </c>
      <c r="X63" s="13">
        <f t="shared" si="81"/>
        <v>1.2756314800699</v>
      </c>
      <c r="Y63" s="13">
        <f t="shared" si="81"/>
        <v>1.55864569813763</v>
      </c>
      <c r="Z63" s="13">
        <f t="shared" si="81"/>
        <v>1.90890000380238</v>
      </c>
      <c r="AA63" s="13">
        <f t="shared" si="81"/>
        <v>1.43154669623773</v>
      </c>
      <c r="AB63" s="13">
        <f t="shared" si="81"/>
        <v>1.05705589748384</v>
      </c>
      <c r="AC63" s="13">
        <f t="shared" si="81"/>
        <v>1.15064040812694</v>
      </c>
      <c r="AD63" s="13">
        <f t="shared" ref="AD63:AE63" si="82">1/ABS(AD30)</f>
        <v>1.25137288349613</v>
      </c>
      <c r="AE63" s="13">
        <f t="shared" si="82"/>
        <v>1.76735010475564</v>
      </c>
      <c r="AF63" s="13">
        <v>0</v>
      </c>
      <c r="AG63" s="13">
        <f>1/ABS(AG30)</f>
        <v>1.48967412969261</v>
      </c>
      <c r="AH63" s="13">
        <f>1/ABS(AH30)</f>
        <v>1.60864731290835</v>
      </c>
      <c r="AI63" s="13">
        <f>1/ABS(AI30)</f>
        <v>1.58218857494356</v>
      </c>
      <c r="AJ63" s="13">
        <f t="shared" si="13"/>
        <v>62.9681610564974</v>
      </c>
      <c r="AK63" s="13">
        <f t="shared" si="78"/>
        <v>62.9681610564974</v>
      </c>
      <c r="AL63" s="13">
        <f t="shared" si="78"/>
        <v>62.9681610564974</v>
      </c>
      <c r="AM63" s="13">
        <f t="shared" si="78"/>
        <v>62.9681610564974</v>
      </c>
      <c r="AN63" s="13">
        <f t="shared" si="78"/>
        <v>62.9681610564974</v>
      </c>
      <c r="AO63" s="13">
        <f t="shared" si="78"/>
        <v>62.9681610564974</v>
      </c>
      <c r="AP63" s="13">
        <f t="shared" si="78"/>
        <v>62.9681610564974</v>
      </c>
      <c r="AQ63" s="13">
        <f t="shared" si="78"/>
        <v>62.9681610564974</v>
      </c>
      <c r="AR63" s="13">
        <f t="shared" si="78"/>
        <v>62.9681610564974</v>
      </c>
      <c r="AS63" s="13">
        <f t="shared" si="78"/>
        <v>62.9681610564974</v>
      </c>
      <c r="AT63" s="13">
        <f t="shared" si="78"/>
        <v>62.9681610564974</v>
      </c>
      <c r="AU63" s="13">
        <f t="shared" si="78"/>
        <v>62.9681610564974</v>
      </c>
      <c r="AV63" s="13">
        <f t="shared" si="78"/>
        <v>62.9681610564974</v>
      </c>
      <c r="AW63" s="13">
        <f t="shared" si="78"/>
        <v>62.9681610564974</v>
      </c>
      <c r="AX63" s="13">
        <f t="shared" si="78"/>
        <v>62.9681610564974</v>
      </c>
      <c r="AY63" s="13">
        <f t="shared" si="78"/>
        <v>62.9681610564974</v>
      </c>
      <c r="AZ63" s="13">
        <f t="shared" si="78"/>
        <v>62.9681610564974</v>
      </c>
      <c r="BA63" s="13">
        <f t="shared" si="76"/>
        <v>62.9681610564974</v>
      </c>
      <c r="BB63" s="13">
        <f t="shared" si="76"/>
        <v>62.9681610564974</v>
      </c>
      <c r="BC63" s="13">
        <f t="shared" si="76"/>
        <v>62.9681610564974</v>
      </c>
      <c r="BD63" s="13">
        <f t="shared" si="76"/>
        <v>62.9681610564974</v>
      </c>
      <c r="BE63" s="13">
        <f t="shared" si="76"/>
        <v>62.9681610564974</v>
      </c>
      <c r="BF63" s="13">
        <f t="shared" si="76"/>
        <v>62.9681610564974</v>
      </c>
      <c r="BG63" s="13">
        <f t="shared" si="76"/>
        <v>62.9681610564974</v>
      </c>
      <c r="BH63" s="13">
        <f t="shared" si="40"/>
        <v>62.9681610564974</v>
      </c>
      <c r="BI63" s="13">
        <f t="shared" si="40"/>
        <v>62.9681610564974</v>
      </c>
      <c r="BJ63" s="13">
        <f t="shared" si="40"/>
        <v>62.9681610564974</v>
      </c>
      <c r="BK63" s="13">
        <f t="shared" si="40"/>
        <v>62.9681610564974</v>
      </c>
      <c r="BL63" s="13">
        <f t="shared" si="40"/>
        <v>62.9681610564974</v>
      </c>
      <c r="BM63" s="13">
        <f t="shared" si="40"/>
        <v>62.9681610564974</v>
      </c>
      <c r="BN63" s="13">
        <f t="shared" si="40"/>
        <v>62.9681610564974</v>
      </c>
    </row>
    <row r="64" spans="1:66">
      <c r="A64" s="13"/>
      <c r="B64" s="13"/>
      <c r="C64" s="13"/>
      <c r="D64" s="14" t="s">
        <v>28</v>
      </c>
      <c r="E64" s="13">
        <f t="shared" si="9"/>
        <v>3.10758645443338</v>
      </c>
      <c r="F64" s="13">
        <f t="shared" si="15"/>
        <v>2.69568868022696</v>
      </c>
      <c r="G64" s="13">
        <f t="shared" ref="G64:AC64" si="83">1/ABS(G31)</f>
        <v>1.09490823323699</v>
      </c>
      <c r="H64" s="13">
        <f t="shared" si="83"/>
        <v>0.978931649459673</v>
      </c>
      <c r="I64" s="13">
        <f t="shared" si="83"/>
        <v>1.64436057971215</v>
      </c>
      <c r="J64" s="13">
        <f t="shared" si="83"/>
        <v>1.50353598303418</v>
      </c>
      <c r="K64" s="13">
        <f t="shared" si="83"/>
        <v>1.21379098973583</v>
      </c>
      <c r="L64" s="13">
        <f t="shared" si="83"/>
        <v>1.03224617682636</v>
      </c>
      <c r="M64" s="13">
        <f t="shared" si="83"/>
        <v>3.24275661053101</v>
      </c>
      <c r="N64" s="13">
        <f t="shared" si="83"/>
        <v>2.27407672661142</v>
      </c>
      <c r="O64" s="13">
        <f t="shared" si="83"/>
        <v>2.10827606141066</v>
      </c>
      <c r="P64" s="13">
        <f t="shared" si="83"/>
        <v>0.956813398570204</v>
      </c>
      <c r="Q64" s="13">
        <f t="shared" si="83"/>
        <v>1.81582019792099</v>
      </c>
      <c r="R64" s="13">
        <f t="shared" si="83"/>
        <v>0.946600325944574</v>
      </c>
      <c r="S64" s="13">
        <f t="shared" si="83"/>
        <v>1.62295105473365</v>
      </c>
      <c r="T64" s="13">
        <f t="shared" si="83"/>
        <v>1.0297222163644</v>
      </c>
      <c r="U64" s="13">
        <f t="shared" si="83"/>
        <v>1.28620089255879</v>
      </c>
      <c r="V64" s="13">
        <f t="shared" si="83"/>
        <v>1.07586400506357</v>
      </c>
      <c r="W64" s="13">
        <f t="shared" si="83"/>
        <v>1.84420830001207</v>
      </c>
      <c r="X64" s="13">
        <f t="shared" si="83"/>
        <v>0.856315790577045</v>
      </c>
      <c r="Y64" s="13">
        <f t="shared" si="83"/>
        <v>1.04629976923829</v>
      </c>
      <c r="Z64" s="13">
        <f t="shared" si="83"/>
        <v>1.28142119524911</v>
      </c>
      <c r="AA64" s="13">
        <f t="shared" si="83"/>
        <v>0.960979765778123</v>
      </c>
      <c r="AB64" s="13">
        <f t="shared" si="83"/>
        <v>0.709588678768263</v>
      </c>
      <c r="AC64" s="13">
        <f t="shared" si="83"/>
        <v>0.77241081468225</v>
      </c>
      <c r="AD64" s="13">
        <f t="shared" ref="AD64:AF64" si="84">1/ABS(AD31)</f>
        <v>0.840031291779462</v>
      </c>
      <c r="AE64" s="13">
        <f t="shared" si="84"/>
        <v>1.18640048150687</v>
      </c>
      <c r="AF64" s="13">
        <f t="shared" si="84"/>
        <v>0.6712877535212</v>
      </c>
      <c r="AG64" s="13">
        <v>0</v>
      </c>
      <c r="AH64" s="13">
        <f>1/ABS(AH31)</f>
        <v>1.07986524089016</v>
      </c>
      <c r="AI64" s="13">
        <f>1/ABS(AI31)</f>
        <v>1.06210381412077</v>
      </c>
      <c r="AJ64" s="13">
        <f t="shared" si="13"/>
        <v>41.9410431324984</v>
      </c>
      <c r="AK64" s="13">
        <f t="shared" si="78"/>
        <v>41.9410431324984</v>
      </c>
      <c r="AL64" s="13">
        <f t="shared" si="78"/>
        <v>41.9410431324984</v>
      </c>
      <c r="AM64" s="13">
        <f t="shared" si="78"/>
        <v>41.9410431324984</v>
      </c>
      <c r="AN64" s="13">
        <f t="shared" si="78"/>
        <v>41.9410431324984</v>
      </c>
      <c r="AO64" s="13">
        <f t="shared" si="78"/>
        <v>41.9410431324984</v>
      </c>
      <c r="AP64" s="13">
        <f t="shared" si="78"/>
        <v>41.9410431324984</v>
      </c>
      <c r="AQ64" s="13">
        <f t="shared" si="78"/>
        <v>41.9410431324984</v>
      </c>
      <c r="AR64" s="13">
        <f t="shared" si="78"/>
        <v>41.9410431324984</v>
      </c>
      <c r="AS64" s="13">
        <f t="shared" si="78"/>
        <v>41.9410431324984</v>
      </c>
      <c r="AT64" s="13">
        <f t="shared" si="78"/>
        <v>41.9410431324984</v>
      </c>
      <c r="AU64" s="13">
        <f t="shared" si="78"/>
        <v>41.9410431324984</v>
      </c>
      <c r="AV64" s="13">
        <f t="shared" si="78"/>
        <v>41.9410431324984</v>
      </c>
      <c r="AW64" s="13">
        <f t="shared" si="78"/>
        <v>41.9410431324984</v>
      </c>
      <c r="AX64" s="13">
        <f t="shared" si="78"/>
        <v>41.9410431324984</v>
      </c>
      <c r="AY64" s="13">
        <f t="shared" si="78"/>
        <v>41.9410431324984</v>
      </c>
      <c r="AZ64" s="13">
        <f t="shared" si="78"/>
        <v>41.9410431324984</v>
      </c>
      <c r="BA64" s="13">
        <f t="shared" si="76"/>
        <v>41.9410431324984</v>
      </c>
      <c r="BB64" s="13">
        <f t="shared" si="76"/>
        <v>41.9410431324984</v>
      </c>
      <c r="BC64" s="13">
        <f t="shared" si="76"/>
        <v>41.9410431324984</v>
      </c>
      <c r="BD64" s="13">
        <f t="shared" si="76"/>
        <v>41.9410431324984</v>
      </c>
      <c r="BE64" s="13">
        <f t="shared" si="76"/>
        <v>41.9410431324984</v>
      </c>
      <c r="BF64" s="13">
        <f t="shared" si="76"/>
        <v>41.9410431324984</v>
      </c>
      <c r="BG64" s="13">
        <f t="shared" si="76"/>
        <v>41.9410431324984</v>
      </c>
      <c r="BH64" s="13">
        <f t="shared" si="40"/>
        <v>41.9410431324984</v>
      </c>
      <c r="BI64" s="13">
        <f t="shared" si="40"/>
        <v>41.9410431324984</v>
      </c>
      <c r="BJ64" s="13">
        <f t="shared" si="40"/>
        <v>41.9410431324984</v>
      </c>
      <c r="BK64" s="13">
        <f t="shared" si="40"/>
        <v>41.9410431324984</v>
      </c>
      <c r="BL64" s="13">
        <f t="shared" si="40"/>
        <v>41.9410431324984</v>
      </c>
      <c r="BM64" s="13">
        <f t="shared" si="40"/>
        <v>41.9410431324984</v>
      </c>
      <c r="BN64" s="13">
        <f t="shared" si="40"/>
        <v>41.9410431324984</v>
      </c>
    </row>
    <row r="65" spans="1:66">
      <c r="A65" s="13"/>
      <c r="B65" s="13"/>
      <c r="C65" s="13"/>
      <c r="D65" s="14" t="s">
        <v>29</v>
      </c>
      <c r="E65" s="13">
        <f t="shared" si="9"/>
        <v>2.87775394258614</v>
      </c>
      <c r="F65" s="13">
        <f t="shared" si="15"/>
        <v>2.49631952039204</v>
      </c>
      <c r="G65" s="13">
        <f t="shared" ref="G65:AC65" si="85">1/ABS(G32)</f>
        <v>1.01393043481465</v>
      </c>
      <c r="H65" s="13">
        <f t="shared" si="85"/>
        <v>0.906531308159077</v>
      </c>
      <c r="I65" s="13">
        <f t="shared" si="85"/>
        <v>1.52274609594496</v>
      </c>
      <c r="J65" s="13">
        <f t="shared" si="85"/>
        <v>1.39233667878298</v>
      </c>
      <c r="K65" s="13">
        <f t="shared" si="85"/>
        <v>1.12402079794259</v>
      </c>
      <c r="L65" s="13">
        <f t="shared" si="85"/>
        <v>0.955902771697196</v>
      </c>
      <c r="M65" s="13">
        <f t="shared" si="85"/>
        <v>3.00292711325529</v>
      </c>
      <c r="N65" s="13">
        <f t="shared" si="85"/>
        <v>2.10588936517379</v>
      </c>
      <c r="O65" s="13">
        <f t="shared" si="85"/>
        <v>1.95235107268826</v>
      </c>
      <c r="P65" s="13">
        <f t="shared" si="85"/>
        <v>0.886048890490706</v>
      </c>
      <c r="Q65" s="13">
        <f t="shared" si="85"/>
        <v>1.68152481361857</v>
      </c>
      <c r="R65" s="13">
        <f t="shared" si="85"/>
        <v>0.876591161656679</v>
      </c>
      <c r="S65" s="13">
        <f t="shared" si="85"/>
        <v>1.50291998786424</v>
      </c>
      <c r="T65" s="13">
        <f t="shared" si="85"/>
        <v>0.953565479629265</v>
      </c>
      <c r="U65" s="13">
        <f t="shared" si="85"/>
        <v>1.19107537112551</v>
      </c>
      <c r="V65" s="13">
        <f t="shared" si="85"/>
        <v>0.996294689675082</v>
      </c>
      <c r="W65" s="13">
        <f t="shared" si="85"/>
        <v>1.70781337353895</v>
      </c>
      <c r="X65" s="13">
        <f t="shared" si="85"/>
        <v>0.79298393739497</v>
      </c>
      <c r="Y65" s="13">
        <f t="shared" si="85"/>
        <v>0.968916981137205</v>
      </c>
      <c r="Z65" s="13">
        <f t="shared" si="85"/>
        <v>1.18664917318091</v>
      </c>
      <c r="AA65" s="13">
        <f t="shared" si="85"/>
        <v>0.889907119323486</v>
      </c>
      <c r="AB65" s="13">
        <f t="shared" si="85"/>
        <v>0.657108546417636</v>
      </c>
      <c r="AC65" s="13">
        <f t="shared" si="85"/>
        <v>0.715284449794433</v>
      </c>
      <c r="AD65" s="13">
        <f t="shared" ref="AD65:AG65" si="86">1/ABS(AD32)</f>
        <v>0.777903816115985</v>
      </c>
      <c r="AE65" s="13">
        <f t="shared" si="86"/>
        <v>1.0986560513133</v>
      </c>
      <c r="AF65" s="13">
        <f t="shared" si="86"/>
        <v>0.621640301124834</v>
      </c>
      <c r="AG65" s="13">
        <f t="shared" si="86"/>
        <v>0.926041474559989</v>
      </c>
      <c r="AH65" s="13">
        <v>0</v>
      </c>
      <c r="AI65" s="13">
        <f>1/ABS(AI32)</f>
        <v>0.983552182164186</v>
      </c>
      <c r="AJ65" s="13">
        <f t="shared" si="13"/>
        <v>38.7651869015629</v>
      </c>
      <c r="AK65" s="13">
        <f t="shared" si="78"/>
        <v>38.7651869015629</v>
      </c>
      <c r="AL65" s="13">
        <f t="shared" si="78"/>
        <v>38.7651869015629</v>
      </c>
      <c r="AM65" s="13">
        <f t="shared" si="78"/>
        <v>38.7651869015629</v>
      </c>
      <c r="AN65" s="13">
        <f t="shared" si="78"/>
        <v>38.7651869015629</v>
      </c>
      <c r="AO65" s="13">
        <f t="shared" si="78"/>
        <v>38.7651869015629</v>
      </c>
      <c r="AP65" s="13">
        <f t="shared" si="78"/>
        <v>38.7651869015629</v>
      </c>
      <c r="AQ65" s="13">
        <f t="shared" si="78"/>
        <v>38.7651869015629</v>
      </c>
      <c r="AR65" s="13">
        <f t="shared" si="78"/>
        <v>38.7651869015629</v>
      </c>
      <c r="AS65" s="13">
        <f t="shared" si="78"/>
        <v>38.7651869015629</v>
      </c>
      <c r="AT65" s="13">
        <f t="shared" si="78"/>
        <v>38.7651869015629</v>
      </c>
      <c r="AU65" s="13">
        <f t="shared" si="78"/>
        <v>38.7651869015629</v>
      </c>
      <c r="AV65" s="13">
        <f t="shared" si="78"/>
        <v>38.7651869015629</v>
      </c>
      <c r="AW65" s="13">
        <f t="shared" si="78"/>
        <v>38.7651869015629</v>
      </c>
      <c r="AX65" s="13">
        <f t="shared" si="78"/>
        <v>38.7651869015629</v>
      </c>
      <c r="AY65" s="13">
        <f t="shared" si="78"/>
        <v>38.7651869015629</v>
      </c>
      <c r="AZ65" s="13">
        <f t="shared" si="78"/>
        <v>38.7651869015629</v>
      </c>
      <c r="BA65" s="13">
        <f t="shared" si="76"/>
        <v>38.7651869015629</v>
      </c>
      <c r="BB65" s="13">
        <f t="shared" si="76"/>
        <v>38.7651869015629</v>
      </c>
      <c r="BC65" s="13">
        <f t="shared" si="76"/>
        <v>38.7651869015629</v>
      </c>
      <c r="BD65" s="13">
        <f t="shared" si="76"/>
        <v>38.7651869015629</v>
      </c>
      <c r="BE65" s="13">
        <f t="shared" si="76"/>
        <v>38.7651869015629</v>
      </c>
      <c r="BF65" s="13">
        <f t="shared" si="76"/>
        <v>38.7651869015629</v>
      </c>
      <c r="BG65" s="13">
        <f t="shared" si="76"/>
        <v>38.7651869015629</v>
      </c>
      <c r="BH65" s="13">
        <f t="shared" si="40"/>
        <v>38.7651869015629</v>
      </c>
      <c r="BI65" s="13">
        <f t="shared" si="40"/>
        <v>38.7651869015629</v>
      </c>
      <c r="BJ65" s="13">
        <f t="shared" si="40"/>
        <v>38.7651869015629</v>
      </c>
      <c r="BK65" s="13">
        <f t="shared" si="40"/>
        <v>38.7651869015629</v>
      </c>
      <c r="BL65" s="13">
        <f t="shared" si="40"/>
        <v>38.7651869015629</v>
      </c>
      <c r="BM65" s="13">
        <f t="shared" si="40"/>
        <v>38.7651869015629</v>
      </c>
      <c r="BN65" s="13">
        <f t="shared" si="40"/>
        <v>38.7651869015629</v>
      </c>
    </row>
    <row r="66" spans="1:66">
      <c r="A66" s="13"/>
      <c r="B66" s="13"/>
      <c r="C66" s="13"/>
      <c r="D66" s="14" t="s">
        <v>30</v>
      </c>
      <c r="E66" s="13">
        <f t="shared" si="9"/>
        <v>2.92587825513639</v>
      </c>
      <c r="F66" s="13">
        <f t="shared" si="15"/>
        <v>2.53806515369545</v>
      </c>
      <c r="G66" s="13">
        <f t="shared" ref="G66:AC66" si="87">1/ABS(G33)</f>
        <v>1.03088626429929</v>
      </c>
      <c r="H66" s="13">
        <f t="shared" si="87"/>
        <v>0.921691115731517</v>
      </c>
      <c r="I66" s="13">
        <f t="shared" si="87"/>
        <v>1.54821078490654</v>
      </c>
      <c r="J66" s="13">
        <f t="shared" si="87"/>
        <v>1.41562054767578</v>
      </c>
      <c r="K66" s="13">
        <f t="shared" si="87"/>
        <v>1.14281765454409</v>
      </c>
      <c r="L66" s="13">
        <f t="shared" si="87"/>
        <v>0.97188821196436</v>
      </c>
      <c r="M66" s="13">
        <f t="shared" si="87"/>
        <v>3.05314468079133</v>
      </c>
      <c r="N66" s="13">
        <f t="shared" si="87"/>
        <v>2.14110588473307</v>
      </c>
      <c r="O66" s="13">
        <f t="shared" si="87"/>
        <v>1.98499999094338</v>
      </c>
      <c r="P66" s="13">
        <f t="shared" si="87"/>
        <v>0.900866173201978</v>
      </c>
      <c r="Q66" s="13">
        <f t="shared" si="87"/>
        <v>1.70964473884708</v>
      </c>
      <c r="R66" s="13">
        <f t="shared" si="87"/>
        <v>0.891250283973594</v>
      </c>
      <c r="S66" s="13">
        <f t="shared" si="87"/>
        <v>1.52805312734627</v>
      </c>
      <c r="T66" s="13">
        <f t="shared" si="87"/>
        <v>0.969511833658953</v>
      </c>
      <c r="U66" s="13">
        <f t="shared" si="87"/>
        <v>1.21099357281146</v>
      </c>
      <c r="V66" s="13">
        <f t="shared" si="87"/>
        <v>1.01295559884058</v>
      </c>
      <c r="W66" s="13">
        <f t="shared" si="87"/>
        <v>1.7363729190058</v>
      </c>
      <c r="X66" s="13">
        <f t="shared" si="87"/>
        <v>0.806244906752284</v>
      </c>
      <c r="Y66" s="13">
        <f t="shared" si="87"/>
        <v>0.985120056370798</v>
      </c>
      <c r="Z66" s="13">
        <f t="shared" si="87"/>
        <v>1.20649335612253</v>
      </c>
      <c r="AA66" s="13">
        <f t="shared" si="87"/>
        <v>0.904788922703983</v>
      </c>
      <c r="AB66" s="13">
        <f t="shared" si="87"/>
        <v>0.668097288922433</v>
      </c>
      <c r="AC66" s="13">
        <f t="shared" si="87"/>
        <v>0.727246060519674</v>
      </c>
      <c r="AD66" s="13">
        <f t="shared" ref="AD66:AH66" si="88">1/ABS(AD33)</f>
        <v>0.790912602526388</v>
      </c>
      <c r="AE66" s="13">
        <f t="shared" si="88"/>
        <v>1.11702873648843</v>
      </c>
      <c r="AF66" s="13">
        <f t="shared" si="88"/>
        <v>0.632035912682325</v>
      </c>
      <c r="AG66" s="13">
        <f t="shared" si="88"/>
        <v>0.941527548159516</v>
      </c>
      <c r="AH66" s="13">
        <f t="shared" si="88"/>
        <v>1.016722872598</v>
      </c>
      <c r="AI66" s="13">
        <v>0</v>
      </c>
      <c r="AJ66" s="13">
        <f t="shared" si="13"/>
        <v>39.4301750559533</v>
      </c>
      <c r="AK66" s="13">
        <f t="shared" si="78"/>
        <v>39.4301750559533</v>
      </c>
      <c r="AL66" s="13">
        <f t="shared" si="78"/>
        <v>39.4301750559533</v>
      </c>
      <c r="AM66" s="13">
        <f t="shared" si="78"/>
        <v>39.4301750559533</v>
      </c>
      <c r="AN66" s="13">
        <f t="shared" si="78"/>
        <v>39.4301750559533</v>
      </c>
      <c r="AO66" s="13">
        <f t="shared" si="78"/>
        <v>39.4301750559533</v>
      </c>
      <c r="AP66" s="13">
        <f t="shared" si="78"/>
        <v>39.4301750559533</v>
      </c>
      <c r="AQ66" s="13">
        <f t="shared" si="78"/>
        <v>39.4301750559533</v>
      </c>
      <c r="AR66" s="13">
        <f t="shared" si="78"/>
        <v>39.4301750559533</v>
      </c>
      <c r="AS66" s="13">
        <f t="shared" si="78"/>
        <v>39.4301750559533</v>
      </c>
      <c r="AT66" s="13">
        <f t="shared" si="78"/>
        <v>39.4301750559533</v>
      </c>
      <c r="AU66" s="13">
        <f t="shared" si="78"/>
        <v>39.4301750559533</v>
      </c>
      <c r="AV66" s="13">
        <f t="shared" si="78"/>
        <v>39.4301750559533</v>
      </c>
      <c r="AW66" s="13">
        <f t="shared" si="78"/>
        <v>39.4301750559533</v>
      </c>
      <c r="AX66" s="13">
        <f t="shared" si="78"/>
        <v>39.4301750559533</v>
      </c>
      <c r="AY66" s="13">
        <f t="shared" si="78"/>
        <v>39.4301750559533</v>
      </c>
      <c r="AZ66" s="13">
        <f t="shared" si="78"/>
        <v>39.4301750559533</v>
      </c>
      <c r="BA66" s="13">
        <f t="shared" si="76"/>
        <v>39.4301750559533</v>
      </c>
      <c r="BB66" s="13">
        <f t="shared" si="76"/>
        <v>39.4301750559533</v>
      </c>
      <c r="BC66" s="13">
        <f t="shared" si="76"/>
        <v>39.4301750559533</v>
      </c>
      <c r="BD66" s="13">
        <f t="shared" si="76"/>
        <v>39.4301750559533</v>
      </c>
      <c r="BE66" s="13">
        <f t="shared" si="76"/>
        <v>39.4301750559533</v>
      </c>
      <c r="BF66" s="13">
        <f t="shared" si="76"/>
        <v>39.4301750559533</v>
      </c>
      <c r="BG66" s="13">
        <f t="shared" si="76"/>
        <v>39.4301750559533</v>
      </c>
      <c r="BH66" s="13">
        <f t="shared" si="40"/>
        <v>39.4301750559533</v>
      </c>
      <c r="BI66" s="13">
        <f t="shared" si="40"/>
        <v>39.4301750559533</v>
      </c>
      <c r="BJ66" s="13">
        <f t="shared" si="40"/>
        <v>39.4301750559533</v>
      </c>
      <c r="BK66" s="13">
        <f t="shared" ref="BK66:BN66" si="89">$AJ66</f>
        <v>39.4301750559533</v>
      </c>
      <c r="BL66" s="13">
        <f t="shared" si="89"/>
        <v>39.4301750559533</v>
      </c>
      <c r="BM66" s="13">
        <f t="shared" si="89"/>
        <v>39.4301750559533</v>
      </c>
      <c r="BN66" s="13">
        <f t="shared" si="89"/>
        <v>39.4301750559533</v>
      </c>
    </row>
    <row r="67" spans="1:3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</row>
    <row r="68" spans="1:35">
      <c r="A68" s="13"/>
      <c r="B68" s="16" t="s">
        <v>35</v>
      </c>
      <c r="C68" s="16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</row>
    <row r="69" spans="1:35">
      <c r="A69" s="13"/>
      <c r="B69" s="13"/>
      <c r="C69" s="13"/>
      <c r="D69" s="13"/>
      <c r="E69" s="14" t="s">
        <v>0</v>
      </c>
      <c r="F69" s="14" t="s">
        <v>1</v>
      </c>
      <c r="G69" s="14" t="s">
        <v>2</v>
      </c>
      <c r="H69" s="14" t="s">
        <v>3</v>
      </c>
      <c r="I69" s="14" t="s">
        <v>4</v>
      </c>
      <c r="J69" s="14" t="s">
        <v>5</v>
      </c>
      <c r="K69" s="14" t="s">
        <v>6</v>
      </c>
      <c r="L69" s="14" t="s">
        <v>7</v>
      </c>
      <c r="M69" s="14" t="s">
        <v>8</v>
      </c>
      <c r="N69" s="14" t="s">
        <v>9</v>
      </c>
      <c r="O69" s="14" t="s">
        <v>10</v>
      </c>
      <c r="P69" s="14" t="s">
        <v>11</v>
      </c>
      <c r="Q69" s="14" t="s">
        <v>12</v>
      </c>
      <c r="R69" s="14" t="s">
        <v>13</v>
      </c>
      <c r="S69" s="14" t="s">
        <v>14</v>
      </c>
      <c r="T69" s="14" t="s">
        <v>15</v>
      </c>
      <c r="U69" s="14" t="s">
        <v>16</v>
      </c>
      <c r="V69" s="14" t="s">
        <v>17</v>
      </c>
      <c r="W69" s="14" t="s">
        <v>18</v>
      </c>
      <c r="X69" s="14" t="s">
        <v>19</v>
      </c>
      <c r="Y69" s="14" t="s">
        <v>20</v>
      </c>
      <c r="Z69" s="14" t="s">
        <v>21</v>
      </c>
      <c r="AA69" s="14" t="s">
        <v>22</v>
      </c>
      <c r="AB69" s="14" t="s">
        <v>23</v>
      </c>
      <c r="AC69" s="14" t="s">
        <v>24</v>
      </c>
      <c r="AD69" s="14" t="s">
        <v>25</v>
      </c>
      <c r="AE69" s="14" t="s">
        <v>26</v>
      </c>
      <c r="AF69" s="14" t="s">
        <v>27</v>
      </c>
      <c r="AG69" s="14" t="s">
        <v>28</v>
      </c>
      <c r="AH69" s="14" t="s">
        <v>29</v>
      </c>
      <c r="AI69" s="14" t="s">
        <v>30</v>
      </c>
    </row>
    <row r="70" spans="1:35">
      <c r="A70" s="13"/>
      <c r="B70" s="13"/>
      <c r="C70" s="13"/>
      <c r="D70" s="14" t="s">
        <v>0</v>
      </c>
      <c r="E70" s="13">
        <f t="shared" ref="E70:E94" si="90">E36/AJ36</f>
        <v>0</v>
      </c>
      <c r="F70" s="13">
        <f t="shared" ref="F70:F94" si="91">F36/AK36</f>
        <v>0.0676739832551712</v>
      </c>
      <c r="G70" s="13">
        <f t="shared" ref="G70:G94" si="92">G36/AL36</f>
        <v>0.0274871508663198</v>
      </c>
      <c r="H70" s="13">
        <f t="shared" ref="H70:H94" si="93">H36/AM36</f>
        <v>0.0245756138457032</v>
      </c>
      <c r="I70" s="13">
        <f t="shared" ref="I70:I94" si="94">I36/AN36</f>
        <v>0.0412808909104202</v>
      </c>
      <c r="J70" s="13">
        <f t="shared" ref="J70:J94" si="95">J36/AO36</f>
        <v>0.0377455563343598</v>
      </c>
      <c r="K70" s="13">
        <f t="shared" ref="K70:K94" si="96">K36/AP36</f>
        <v>0.0304716459720209</v>
      </c>
      <c r="L70" s="13">
        <f t="shared" ref="L70:L94" si="97">L36/AQ36</f>
        <v>0.0259140497187829</v>
      </c>
      <c r="M70" s="13">
        <f t="shared" ref="M70:M94" si="98">M36/AR36</f>
        <v>0.081407863664433</v>
      </c>
      <c r="N70" s="13">
        <f t="shared" ref="N70:N94" si="99">N36/AS36</f>
        <v>0.0570896155207057</v>
      </c>
      <c r="O70" s="13">
        <f t="shared" ref="O70:O94" si="100">O36/AT36</f>
        <v>0.0529272686136633</v>
      </c>
      <c r="P70" s="13">
        <f t="shared" ref="P70:P94" si="101">P36/AU36</f>
        <v>0.0240203456682957</v>
      </c>
      <c r="Q70" s="13">
        <f t="shared" ref="Q70:Q94" si="102">Q36/AV36</f>
        <v>0.045585303143448</v>
      </c>
      <c r="R70" s="13">
        <f t="shared" ref="R70:R94" si="103">R36/AW36</f>
        <v>0.0237639513335491</v>
      </c>
      <c r="S70" s="13">
        <f t="shared" ref="S70:S94" si="104">S36/AX36</f>
        <v>0.0407434149602024</v>
      </c>
      <c r="T70" s="13">
        <f t="shared" ref="T70:T94" si="105">T36/AY36</f>
        <v>0.0258506868908375</v>
      </c>
      <c r="U70" s="13">
        <f t="shared" ref="U70:U94" si="106">U36/AZ36</f>
        <v>0.0322894621713072</v>
      </c>
      <c r="V70" s="13">
        <f t="shared" ref="V70:V94" si="107">V36/BA36</f>
        <v>0.0270090545683425</v>
      </c>
      <c r="W70" s="13">
        <f t="shared" ref="W70:W94" si="108">W36/BB36</f>
        <v>0.0462979729556741</v>
      </c>
      <c r="X70" s="13">
        <f t="shared" ref="X70:X94" si="109">X36/BC36</f>
        <v>0.0214974009787252</v>
      </c>
      <c r="Y70" s="13">
        <f t="shared" ref="Y70:Y94" si="110">Y36/BD36</f>
        <v>0.0262668584776489</v>
      </c>
      <c r="Z70" s="13">
        <f t="shared" ref="Z70:Z94" si="111">Z36/BE36</f>
        <v>0.0321694701417851</v>
      </c>
      <c r="AA70" s="13">
        <f t="shared" ref="AA70:AA94" si="112">AA36/BF36</f>
        <v>0.0241249403370836</v>
      </c>
      <c r="AB70" s="13">
        <f t="shared" ref="AB70:AB94" si="113">AB36/BG36</f>
        <v>0.0178138865653357</v>
      </c>
      <c r="AC70" s="13">
        <f t="shared" ref="AC70:AC94" si="114">AC36/BH36</f>
        <v>0.0193910064327305</v>
      </c>
      <c r="AD70" s="13">
        <f t="shared" ref="AD70:AE85" si="115">AD36/BI36</f>
        <v>0.0210885863752326</v>
      </c>
      <c r="AE70" s="13">
        <f t="shared" si="115"/>
        <v>0.0297840202796204</v>
      </c>
      <c r="AF70" s="13">
        <f t="shared" ref="AF70:AF93" si="116">AF36/BJ36</f>
        <v>0.0168523600386118</v>
      </c>
      <c r="AG70" s="13">
        <f t="shared" ref="AG70:AG93" si="117">AG36/BK36</f>
        <v>0.0251045247737856</v>
      </c>
      <c r="AH70" s="13">
        <f t="shared" ref="AH70:AH93" si="118">AH36/BL36</f>
        <v>0.027109503692277</v>
      </c>
      <c r="AI70" s="13">
        <f t="shared" ref="AI70:AI93" si="119">AI36/BM36</f>
        <v>0.0266636115139271</v>
      </c>
    </row>
    <row r="71" spans="1:35">
      <c r="A71" s="13"/>
      <c r="B71" s="13"/>
      <c r="C71" s="13"/>
      <c r="D71" s="14" t="s">
        <v>1</v>
      </c>
      <c r="E71" s="13">
        <f t="shared" si="90"/>
        <v>0.0772160289486031</v>
      </c>
      <c r="F71" s="13">
        <f t="shared" si="91"/>
        <v>0</v>
      </c>
      <c r="G71" s="13">
        <f t="shared" si="92"/>
        <v>0.0272058290488031</v>
      </c>
      <c r="H71" s="13">
        <f t="shared" si="93"/>
        <v>0.024324090638104</v>
      </c>
      <c r="I71" s="13">
        <f t="shared" si="94"/>
        <v>0.0408583947660906</v>
      </c>
      <c r="J71" s="13">
        <f t="shared" si="95"/>
        <v>0.0373592431597859</v>
      </c>
      <c r="K71" s="13">
        <f t="shared" si="96"/>
        <v>0.0301597788429298</v>
      </c>
      <c r="L71" s="13">
        <f t="shared" si="97"/>
        <v>0.0256488280666168</v>
      </c>
      <c r="M71" s="13">
        <f t="shared" si="98"/>
        <v>0.0805746813430786</v>
      </c>
      <c r="N71" s="13">
        <f t="shared" si="99"/>
        <v>0.0565053223548655</v>
      </c>
      <c r="O71" s="13">
        <f t="shared" si="100"/>
        <v>0.0523855756795719</v>
      </c>
      <c r="P71" s="13">
        <f t="shared" si="101"/>
        <v>0.0237745054452167</v>
      </c>
      <c r="Q71" s="13">
        <f t="shared" si="102"/>
        <v>0.0451187527761607</v>
      </c>
      <c r="R71" s="13">
        <f t="shared" si="103"/>
        <v>0.0235207352209355</v>
      </c>
      <c r="S71" s="13">
        <f t="shared" si="104"/>
        <v>0.0403264197028844</v>
      </c>
      <c r="T71" s="13">
        <f t="shared" si="105"/>
        <v>0.0255861137360732</v>
      </c>
      <c r="U71" s="13">
        <f t="shared" si="106"/>
        <v>0.0319589902999648</v>
      </c>
      <c r="V71" s="13">
        <f t="shared" si="107"/>
        <v>0.02673262590691</v>
      </c>
      <c r="W71" s="13">
        <f t="shared" si="108"/>
        <v>0.0458241286506544</v>
      </c>
      <c r="X71" s="13">
        <f t="shared" si="109"/>
        <v>0.0212773822527165</v>
      </c>
      <c r="Y71" s="13">
        <f t="shared" si="110"/>
        <v>0.025998025945557</v>
      </c>
      <c r="Z71" s="13">
        <f t="shared" si="111"/>
        <v>0.0318402263488273</v>
      </c>
      <c r="AA71" s="13">
        <f t="shared" si="112"/>
        <v>0.0238780296224695</v>
      </c>
      <c r="AB71" s="13">
        <f t="shared" si="113"/>
        <v>0.0176315673802747</v>
      </c>
      <c r="AC71" s="13">
        <f t="shared" si="114"/>
        <v>0.0191925459520622</v>
      </c>
      <c r="AD71" s="13">
        <f t="shared" si="115"/>
        <v>0.020872751730282</v>
      </c>
      <c r="AE71" s="13">
        <f t="shared" ref="AE71:AE93" si="120">AE37/BI37</f>
        <v>0.0294791907700519</v>
      </c>
      <c r="AF71" s="13">
        <f t="shared" si="116"/>
        <v>0.0166798817567207</v>
      </c>
      <c r="AG71" s="13">
        <f t="shared" si="117"/>
        <v>0.0248475883393185</v>
      </c>
      <c r="AH71" s="13">
        <f t="shared" si="118"/>
        <v>0.0268320469675776</v>
      </c>
      <c r="AI71" s="13">
        <f t="shared" si="119"/>
        <v>0.026390718346893</v>
      </c>
    </row>
    <row r="72" spans="1:35">
      <c r="A72" s="13"/>
      <c r="B72" s="13"/>
      <c r="C72" s="13"/>
      <c r="D72" s="14" t="s">
        <v>2</v>
      </c>
      <c r="E72" s="13">
        <f t="shared" si="90"/>
        <v>0.07426220992487</v>
      </c>
      <c r="F72" s="13">
        <f t="shared" si="91"/>
        <v>0.0644190601286461</v>
      </c>
      <c r="G72" s="13">
        <f t="shared" si="92"/>
        <v>0</v>
      </c>
      <c r="H72" s="13">
        <f t="shared" si="93"/>
        <v>0.0233935978033888</v>
      </c>
      <c r="I72" s="13">
        <f t="shared" si="94"/>
        <v>0.0392953992924488</v>
      </c>
      <c r="J72" s="13">
        <f t="shared" si="95"/>
        <v>0.0359301040981139</v>
      </c>
      <c r="K72" s="13">
        <f t="shared" si="96"/>
        <v>0.0290060478144003</v>
      </c>
      <c r="L72" s="13">
        <f t="shared" si="97"/>
        <v>0.0246676587768822</v>
      </c>
      <c r="M72" s="13">
        <f t="shared" si="98"/>
        <v>0.0774923805588615</v>
      </c>
      <c r="N72" s="13">
        <f t="shared" si="99"/>
        <v>0.054343769910553</v>
      </c>
      <c r="O72" s="13">
        <f t="shared" si="100"/>
        <v>0.0503816198673075</v>
      </c>
      <c r="P72" s="13">
        <f t="shared" si="101"/>
        <v>0.0228650364214902</v>
      </c>
      <c r="Q72" s="13">
        <f t="shared" si="102"/>
        <v>0.0433927817298378</v>
      </c>
      <c r="R72" s="13">
        <f t="shared" si="103"/>
        <v>0.0226209739136811</v>
      </c>
      <c r="S72" s="13">
        <f t="shared" si="104"/>
        <v>0.0387837743830026</v>
      </c>
      <c r="T72" s="13">
        <f t="shared" si="105"/>
        <v>0.0246073435179451</v>
      </c>
      <c r="U72" s="13">
        <f t="shared" si="106"/>
        <v>0.0307364323050415</v>
      </c>
      <c r="V72" s="13">
        <f t="shared" si="107"/>
        <v>0.025709997055966</v>
      </c>
      <c r="W72" s="13">
        <f t="shared" si="108"/>
        <v>0.0440711741825557</v>
      </c>
      <c r="X72" s="13">
        <f t="shared" si="109"/>
        <v>0.02046343808427</v>
      </c>
      <c r="Y72" s="13">
        <f t="shared" si="110"/>
        <v>0.0250034984534918</v>
      </c>
      <c r="Z72" s="13">
        <f t="shared" si="111"/>
        <v>0.0306222115455573</v>
      </c>
      <c r="AA72" s="13">
        <f t="shared" si="112"/>
        <v>0.0229646003888183</v>
      </c>
      <c r="AB72" s="13">
        <f t="shared" si="113"/>
        <v>0.0169570900747822</v>
      </c>
      <c r="AC72" s="13">
        <f t="shared" si="114"/>
        <v>0.0184583550318738</v>
      </c>
      <c r="AD72" s="13">
        <f t="shared" si="115"/>
        <v>0.0200742862823942</v>
      </c>
      <c r="AE72" s="13">
        <f t="shared" si="120"/>
        <v>0.0283514949316813</v>
      </c>
      <c r="AF72" s="13">
        <f t="shared" si="116"/>
        <v>0.0160418101967417</v>
      </c>
      <c r="AG72" s="13">
        <f t="shared" si="117"/>
        <v>0.0238970696435252</v>
      </c>
      <c r="AH72" s="13">
        <f t="shared" si="118"/>
        <v>0.0258056148671742</v>
      </c>
      <c r="AI72" s="13">
        <f t="shared" si="119"/>
        <v>0.0253811688146978</v>
      </c>
    </row>
    <row r="73" spans="1:35">
      <c r="A73" s="13"/>
      <c r="B73" s="13"/>
      <c r="C73" s="13"/>
      <c r="D73" s="14" t="s">
        <v>3</v>
      </c>
      <c r="E73" s="13">
        <f t="shared" si="90"/>
        <v>0.0740569610204071</v>
      </c>
      <c r="F73" s="13">
        <f t="shared" si="91"/>
        <v>0.0642410161203772</v>
      </c>
      <c r="G73" s="13">
        <f t="shared" si="92"/>
        <v>0.0260927821441864</v>
      </c>
      <c r="H73" s="13">
        <f t="shared" si="93"/>
        <v>0</v>
      </c>
      <c r="I73" s="13">
        <f t="shared" si="94"/>
        <v>0.0391867930758634</v>
      </c>
      <c r="J73" s="13">
        <f t="shared" si="95"/>
        <v>0.0358307990207289</v>
      </c>
      <c r="K73" s="13">
        <f t="shared" si="96"/>
        <v>0.0289258797242947</v>
      </c>
      <c r="L73" s="13">
        <f t="shared" si="97"/>
        <v>0.0245994813021648</v>
      </c>
      <c r="M73" s="13">
        <f t="shared" si="98"/>
        <v>0.0772782039779325</v>
      </c>
      <c r="N73" s="13">
        <f t="shared" si="99"/>
        <v>0.054193572397581</v>
      </c>
      <c r="O73" s="13">
        <f t="shared" si="100"/>
        <v>0.0502423731051483</v>
      </c>
      <c r="P73" s="13">
        <f t="shared" si="101"/>
        <v>0.0228018411074703</v>
      </c>
      <c r="Q73" s="13">
        <f t="shared" si="102"/>
        <v>0.0432728510016697</v>
      </c>
      <c r="R73" s="13">
        <f t="shared" si="103"/>
        <v>0.0225584531495083</v>
      </c>
      <c r="S73" s="13">
        <f t="shared" si="104"/>
        <v>0.0386765822160702</v>
      </c>
      <c r="T73" s="13">
        <f t="shared" si="105"/>
        <v>0.0245393327449839</v>
      </c>
      <c r="U73" s="13">
        <f t="shared" si="106"/>
        <v>0.0306514817081756</v>
      </c>
      <c r="V73" s="13">
        <f t="shared" si="107"/>
        <v>0.0256389387244833</v>
      </c>
      <c r="W73" s="13">
        <f t="shared" si="108"/>
        <v>0.0439493684858425</v>
      </c>
      <c r="X73" s="13">
        <f t="shared" si="109"/>
        <v>0.0204068804050333</v>
      </c>
      <c r="Y73" s="13">
        <f t="shared" si="110"/>
        <v>0.0249343927714699</v>
      </c>
      <c r="Z73" s="13">
        <f t="shared" si="111"/>
        <v>0.0305375766366538</v>
      </c>
      <c r="AA73" s="13">
        <f t="shared" si="112"/>
        <v>0.0229011298958718</v>
      </c>
      <c r="AB73" s="13">
        <f t="shared" si="113"/>
        <v>0.0169102233822309</v>
      </c>
      <c r="AC73" s="13">
        <f t="shared" si="114"/>
        <v>0.0184073390824115</v>
      </c>
      <c r="AD73" s="13">
        <f t="shared" si="115"/>
        <v>0.0200188041566737</v>
      </c>
      <c r="AE73" s="13">
        <f t="shared" si="120"/>
        <v>0.0282731359213516</v>
      </c>
      <c r="AF73" s="13">
        <f t="shared" si="116"/>
        <v>0.0159974731917991</v>
      </c>
      <c r="AG73" s="13">
        <f t="shared" si="117"/>
        <v>0.0238310219542743</v>
      </c>
      <c r="AH73" s="13">
        <f t="shared" si="118"/>
        <v>0.025734292263311</v>
      </c>
      <c r="AI73" s="13">
        <f t="shared" si="119"/>
        <v>0.0253110193120306</v>
      </c>
    </row>
    <row r="74" spans="1:35">
      <c r="A74" s="13"/>
      <c r="B74" s="13"/>
      <c r="C74" s="13"/>
      <c r="D74" s="14" t="s">
        <v>4</v>
      </c>
      <c r="E74" s="13">
        <f t="shared" si="90"/>
        <v>0.0752502686011449</v>
      </c>
      <c r="F74" s="13">
        <f t="shared" si="91"/>
        <v>0.0652761557004314</v>
      </c>
      <c r="G74" s="13">
        <f t="shared" si="92"/>
        <v>0.02651322492642</v>
      </c>
      <c r="H74" s="13">
        <f t="shared" si="93"/>
        <v>0.0237048496137282</v>
      </c>
      <c r="I74" s="13">
        <f t="shared" si="94"/>
        <v>0</v>
      </c>
      <c r="J74" s="13">
        <f t="shared" si="95"/>
        <v>0.0364081541201846</v>
      </c>
      <c r="K74" s="13">
        <f t="shared" si="96"/>
        <v>0.0293919732701128</v>
      </c>
      <c r="L74" s="13">
        <f t="shared" si="97"/>
        <v>0.0249958619680146</v>
      </c>
      <c r="M74" s="13">
        <f t="shared" si="98"/>
        <v>0.0785234166542568</v>
      </c>
      <c r="N74" s="13">
        <f t="shared" si="99"/>
        <v>0.0550668137496192</v>
      </c>
      <c r="O74" s="13">
        <f t="shared" si="100"/>
        <v>0.0510519473014769</v>
      </c>
      <c r="P74" s="13">
        <f t="shared" si="101"/>
        <v>0.023169255722834</v>
      </c>
      <c r="Q74" s="13">
        <f t="shared" si="102"/>
        <v>0.0439701226751076</v>
      </c>
      <c r="R74" s="13">
        <f t="shared" si="103"/>
        <v>0.0229219459634466</v>
      </c>
      <c r="S74" s="13">
        <f t="shared" si="104"/>
        <v>0.0392997924871849</v>
      </c>
      <c r="T74" s="13">
        <f t="shared" si="105"/>
        <v>0.0249347442145791</v>
      </c>
      <c r="U74" s="13">
        <f t="shared" si="106"/>
        <v>0.0311453805257781</v>
      </c>
      <c r="V74" s="13">
        <f t="shared" si="107"/>
        <v>0.0260520685575258</v>
      </c>
      <c r="W74" s="13">
        <f t="shared" si="108"/>
        <v>0.0446575411391645</v>
      </c>
      <c r="X74" s="13">
        <f t="shared" si="109"/>
        <v>0.020735704120603</v>
      </c>
      <c r="Y74" s="13">
        <f t="shared" si="110"/>
        <v>0.0253361699914005</v>
      </c>
      <c r="Z74" s="13">
        <f t="shared" si="111"/>
        <v>0.0310296400591299</v>
      </c>
      <c r="AA74" s="13">
        <f t="shared" si="112"/>
        <v>0.0232701443887116</v>
      </c>
      <c r="AB74" s="13">
        <f t="shared" si="113"/>
        <v>0.0171827041521132</v>
      </c>
      <c r="AC74" s="13">
        <f t="shared" si="114"/>
        <v>0.0187039434389176</v>
      </c>
      <c r="AD74" s="13">
        <f t="shared" si="115"/>
        <v>0.0203413746541436</v>
      </c>
      <c r="AE74" s="13">
        <f t="shared" si="120"/>
        <v>0.0287287115615252</v>
      </c>
      <c r="AF74" s="13">
        <f t="shared" si="116"/>
        <v>0.0162552464756254</v>
      </c>
      <c r="AG74" s="13">
        <f t="shared" si="117"/>
        <v>0.0242150201465161</v>
      </c>
      <c r="AH74" s="13">
        <f t="shared" si="118"/>
        <v>0.0261489585636777</v>
      </c>
      <c r="AI74" s="13">
        <f t="shared" si="119"/>
        <v>0.0257188652566261</v>
      </c>
    </row>
    <row r="75" spans="1:35">
      <c r="A75" s="13"/>
      <c r="B75" s="13"/>
      <c r="C75" s="13"/>
      <c r="D75" s="14" t="s">
        <v>5</v>
      </c>
      <c r="E75" s="13">
        <f t="shared" si="90"/>
        <v>0.0749945319641064</v>
      </c>
      <c r="F75" s="13">
        <f t="shared" si="91"/>
        <v>0.0650543159004152</v>
      </c>
      <c r="G75" s="13">
        <f t="shared" si="92"/>
        <v>0.0264231202250578</v>
      </c>
      <c r="H75" s="13">
        <f t="shared" si="93"/>
        <v>0.0236242891235876</v>
      </c>
      <c r="I75" s="13">
        <f t="shared" si="94"/>
        <v>0.0396829030709058</v>
      </c>
      <c r="J75" s="13">
        <f t="shared" si="95"/>
        <v>0</v>
      </c>
      <c r="K75" s="13">
        <f t="shared" si="96"/>
        <v>0.0292920851960932</v>
      </c>
      <c r="L75" s="13">
        <f t="shared" si="97"/>
        <v>0.0249109139964205</v>
      </c>
      <c r="M75" s="13">
        <f t="shared" si="98"/>
        <v>0.0782565562844904</v>
      </c>
      <c r="N75" s="13">
        <f t="shared" si="99"/>
        <v>0.0548796702081733</v>
      </c>
      <c r="O75" s="13">
        <f t="shared" si="100"/>
        <v>0.0508784482089173</v>
      </c>
      <c r="P75" s="13">
        <f t="shared" si="101"/>
        <v>0.0230905154385614</v>
      </c>
      <c r="Q75" s="13">
        <f t="shared" si="102"/>
        <v>0.0438206910317113</v>
      </c>
      <c r="R75" s="13">
        <f t="shared" si="103"/>
        <v>0.0228440461567875</v>
      </c>
      <c r="S75" s="13">
        <f t="shared" si="104"/>
        <v>0.0391662328739924</v>
      </c>
      <c r="T75" s="13">
        <f t="shared" si="105"/>
        <v>0.0248500039505323</v>
      </c>
      <c r="U75" s="13">
        <f t="shared" si="106"/>
        <v>0.0310395335298402</v>
      </c>
      <c r="V75" s="13">
        <f t="shared" si="107"/>
        <v>0.0259635310874988</v>
      </c>
      <c r="W75" s="13">
        <f t="shared" si="108"/>
        <v>0.0445057733169145</v>
      </c>
      <c r="X75" s="13">
        <f t="shared" si="109"/>
        <v>0.0206652342161494</v>
      </c>
      <c r="Y75" s="13">
        <f t="shared" si="110"/>
        <v>0.0252500654893237</v>
      </c>
      <c r="Z75" s="13">
        <f t="shared" si="111"/>
        <v>0.0309241864050133</v>
      </c>
      <c r="AA75" s="13">
        <f t="shared" si="112"/>
        <v>0.0231910612361861</v>
      </c>
      <c r="AB75" s="13">
        <f t="shared" si="113"/>
        <v>0.0171243090519126</v>
      </c>
      <c r="AC75" s="13">
        <f t="shared" si="114"/>
        <v>0.018640378435319</v>
      </c>
      <c r="AD75" s="13">
        <f t="shared" si="115"/>
        <v>0.0202722448710413</v>
      </c>
      <c r="AE75" s="13">
        <f t="shared" si="120"/>
        <v>0.0286310775700755</v>
      </c>
      <c r="AF75" s="13">
        <f t="shared" si="116"/>
        <v>0.0162000033230734</v>
      </c>
      <c r="AG75" s="13">
        <f t="shared" si="117"/>
        <v>0.0241327258513168</v>
      </c>
      <c r="AH75" s="13">
        <f t="shared" si="118"/>
        <v>0.0260600918147684</v>
      </c>
      <c r="AI75" s="13">
        <f t="shared" si="119"/>
        <v>0.0256314601718145</v>
      </c>
    </row>
    <row r="76" spans="1:35">
      <c r="A76" s="13"/>
      <c r="B76" s="13"/>
      <c r="C76" s="13"/>
      <c r="D76" s="14" t="s">
        <v>6</v>
      </c>
      <c r="E76" s="13">
        <f t="shared" si="90"/>
        <v>0.0744737861913674</v>
      </c>
      <c r="F76" s="13">
        <f t="shared" si="91"/>
        <v>0.0646025928331952</v>
      </c>
      <c r="G76" s="13">
        <f t="shared" si="92"/>
        <v>0.0262396438061856</v>
      </c>
      <c r="H76" s="13">
        <f t="shared" si="93"/>
        <v>0.023460247181157</v>
      </c>
      <c r="I76" s="13">
        <f t="shared" si="94"/>
        <v>0.0394073535943908</v>
      </c>
      <c r="J76" s="13">
        <f t="shared" si="95"/>
        <v>0.0360324705276563</v>
      </c>
      <c r="K76" s="13">
        <f t="shared" si="96"/>
        <v>0</v>
      </c>
      <c r="L76" s="13">
        <f t="shared" si="97"/>
        <v>0.0247379380097858</v>
      </c>
      <c r="M76" s="13">
        <f t="shared" si="98"/>
        <v>0.0777131597220083</v>
      </c>
      <c r="N76" s="13">
        <f t="shared" si="99"/>
        <v>0.0544985976749933</v>
      </c>
      <c r="O76" s="13">
        <f t="shared" si="100"/>
        <v>0.0505251592939206</v>
      </c>
      <c r="P76" s="13">
        <f t="shared" si="101"/>
        <v>0.0229301799048888</v>
      </c>
      <c r="Q76" s="13">
        <f t="shared" si="102"/>
        <v>0.0435164096525809</v>
      </c>
      <c r="R76" s="13">
        <f t="shared" si="103"/>
        <v>0.0226854220523782</v>
      </c>
      <c r="S76" s="13">
        <f t="shared" si="104"/>
        <v>0.0388942710433221</v>
      </c>
      <c r="T76" s="13">
        <f t="shared" si="105"/>
        <v>0.0246774509100522</v>
      </c>
      <c r="U76" s="13">
        <f t="shared" si="106"/>
        <v>0.0308240017377199</v>
      </c>
      <c r="V76" s="13">
        <f t="shared" si="107"/>
        <v>0.0257832459559687</v>
      </c>
      <c r="W76" s="13">
        <f t="shared" si="108"/>
        <v>0.0441967348749071</v>
      </c>
      <c r="X76" s="13">
        <f t="shared" si="109"/>
        <v>0.0205217393095359</v>
      </c>
      <c r="Y76" s="13">
        <f t="shared" si="110"/>
        <v>0.0250747345082432</v>
      </c>
      <c r="Z76" s="13">
        <f t="shared" si="111"/>
        <v>0.0307094555583229</v>
      </c>
      <c r="AA76" s="13">
        <f t="shared" si="112"/>
        <v>0.023030027534291</v>
      </c>
      <c r="AB76" s="13">
        <f t="shared" si="113"/>
        <v>0.0170054015620422</v>
      </c>
      <c r="AC76" s="13">
        <f t="shared" si="114"/>
        <v>0.0185109436883018</v>
      </c>
      <c r="AD76" s="13">
        <f t="shared" si="115"/>
        <v>0.0201314787972484</v>
      </c>
      <c r="AE76" s="13">
        <f t="shared" si="120"/>
        <v>0.0284322695740377</v>
      </c>
      <c r="AF76" s="13">
        <f t="shared" si="116"/>
        <v>0.0160875140118143</v>
      </c>
      <c r="AG76" s="13">
        <f t="shared" si="117"/>
        <v>0.0239651534344671</v>
      </c>
      <c r="AH76" s="13">
        <f t="shared" si="118"/>
        <v>0.0258791361864804</v>
      </c>
      <c r="AI76" s="13">
        <f t="shared" si="119"/>
        <v>0.025453480868737</v>
      </c>
    </row>
    <row r="77" spans="1:35">
      <c r="A77" s="13"/>
      <c r="B77" s="13"/>
      <c r="C77" s="13"/>
      <c r="D77" s="14" t="s">
        <v>7</v>
      </c>
      <c r="E77" s="13">
        <f t="shared" si="90"/>
        <v>0.0741511730274757</v>
      </c>
      <c r="F77" s="13">
        <f t="shared" si="91"/>
        <v>0.0643227407142767</v>
      </c>
      <c r="G77" s="13">
        <f t="shared" si="92"/>
        <v>0.0261259762334646</v>
      </c>
      <c r="H77" s="13">
        <f t="shared" si="93"/>
        <v>0.0233586196830015</v>
      </c>
      <c r="I77" s="13">
        <f t="shared" si="94"/>
        <v>0.039236644789671</v>
      </c>
      <c r="J77" s="13">
        <f t="shared" si="95"/>
        <v>0.035876381386574</v>
      </c>
      <c r="K77" s="13">
        <f t="shared" si="96"/>
        <v>0.0289626779556493</v>
      </c>
      <c r="L77" s="13">
        <f t="shared" si="97"/>
        <v>0</v>
      </c>
      <c r="M77" s="13">
        <f t="shared" si="98"/>
        <v>0.0773765139085466</v>
      </c>
      <c r="N77" s="13">
        <f t="shared" si="99"/>
        <v>0.0542625150756956</v>
      </c>
      <c r="O77" s="13">
        <f t="shared" si="100"/>
        <v>0.0503062892413885</v>
      </c>
      <c r="P77" s="13">
        <f t="shared" si="101"/>
        <v>0.0228308486063737</v>
      </c>
      <c r="Q77" s="13">
        <f t="shared" si="102"/>
        <v>0.0433279008185711</v>
      </c>
      <c r="R77" s="13">
        <f t="shared" si="103"/>
        <v>0.0225871510209614</v>
      </c>
      <c r="S77" s="13">
        <f t="shared" si="104"/>
        <v>0.0387257848620728</v>
      </c>
      <c r="T77" s="13">
        <f t="shared" si="105"/>
        <v>0.0245705506042934</v>
      </c>
      <c r="U77" s="13">
        <f t="shared" si="106"/>
        <v>0.0306904751744422</v>
      </c>
      <c r="V77" s="13">
        <f t="shared" si="107"/>
        <v>0.0256715554541338</v>
      </c>
      <c r="W77" s="13">
        <f t="shared" si="108"/>
        <v>0.0440052789385182</v>
      </c>
      <c r="X77" s="13">
        <f t="shared" si="109"/>
        <v>0.020432841140317</v>
      </c>
      <c r="Y77" s="13">
        <f t="shared" si="110"/>
        <v>0.0249661132087611</v>
      </c>
      <c r="Z77" s="13">
        <f t="shared" si="111"/>
        <v>0.0305764251979006</v>
      </c>
      <c r="AA77" s="13">
        <f t="shared" si="112"/>
        <v>0.0229302637056028</v>
      </c>
      <c r="AB77" s="13">
        <f t="shared" si="113"/>
        <v>0.0169317358243142</v>
      </c>
      <c r="AC77" s="13">
        <f t="shared" si="114"/>
        <v>0.0184307560892108</v>
      </c>
      <c r="AD77" s="13">
        <f t="shared" si="115"/>
        <v>0.0200442711984308</v>
      </c>
      <c r="AE77" s="13">
        <f t="shared" si="120"/>
        <v>0.0283091037607629</v>
      </c>
      <c r="AF77" s="13">
        <f t="shared" si="116"/>
        <v>0.0160178244732541</v>
      </c>
      <c r="AG77" s="13">
        <f t="shared" si="117"/>
        <v>0.0238613387317638</v>
      </c>
      <c r="AH77" s="13">
        <f t="shared" si="118"/>
        <v>0.0257670302975377</v>
      </c>
      <c r="AI77" s="13">
        <f t="shared" si="119"/>
        <v>0.025343218877034</v>
      </c>
    </row>
    <row r="78" spans="1:35">
      <c r="A78" s="13"/>
      <c r="B78" s="13"/>
      <c r="C78" s="13"/>
      <c r="D78" s="14" t="s">
        <v>8</v>
      </c>
      <c r="E78" s="13">
        <f t="shared" si="90"/>
        <v>0.078280115508607</v>
      </c>
      <c r="F78" s="13">
        <f t="shared" si="91"/>
        <v>0.0679044088901741</v>
      </c>
      <c r="G78" s="13">
        <f t="shared" si="92"/>
        <v>0.0275807428774315</v>
      </c>
      <c r="H78" s="13">
        <f t="shared" si="93"/>
        <v>0.0246592922573112</v>
      </c>
      <c r="I78" s="13">
        <f t="shared" si="94"/>
        <v>0.0414214497344169</v>
      </c>
      <c r="J78" s="13">
        <f t="shared" si="95"/>
        <v>0.0378740775676095</v>
      </c>
      <c r="K78" s="13">
        <f t="shared" si="96"/>
        <v>0.0305754000003039</v>
      </c>
      <c r="L78" s="13">
        <f t="shared" si="97"/>
        <v>0.0260022854199301</v>
      </c>
      <c r="M78" s="13">
        <f t="shared" si="98"/>
        <v>0</v>
      </c>
      <c r="N78" s="13">
        <f t="shared" si="99"/>
        <v>0.057284002052659</v>
      </c>
      <c r="O78" s="13">
        <f t="shared" si="100"/>
        <v>0.0531074826175188</v>
      </c>
      <c r="P78" s="13">
        <f t="shared" si="101"/>
        <v>0.0241021334268607</v>
      </c>
      <c r="Q78" s="13">
        <f t="shared" si="102"/>
        <v>0.0457405182189965</v>
      </c>
      <c r="R78" s="13">
        <f t="shared" si="103"/>
        <v>0.0238448660856121</v>
      </c>
      <c r="S78" s="13">
        <f t="shared" si="104"/>
        <v>0.0408821437125649</v>
      </c>
      <c r="T78" s="13">
        <f t="shared" si="105"/>
        <v>0.025938706845561</v>
      </c>
      <c r="U78" s="13">
        <f t="shared" si="106"/>
        <v>0.0323994057488365</v>
      </c>
      <c r="V78" s="13">
        <f t="shared" si="107"/>
        <v>0.0271010186917823</v>
      </c>
      <c r="W78" s="13">
        <f t="shared" si="108"/>
        <v>0.0464556146268823</v>
      </c>
      <c r="X78" s="13">
        <f t="shared" si="109"/>
        <v>0.0215705982701091</v>
      </c>
      <c r="Y78" s="13">
        <f t="shared" si="110"/>
        <v>0.0263562954703174</v>
      </c>
      <c r="Z78" s="13">
        <f t="shared" si="111"/>
        <v>0.0322790051540391</v>
      </c>
      <c r="AA78" s="13">
        <f t="shared" si="112"/>
        <v>0.0242070842338839</v>
      </c>
      <c r="AB78" s="13">
        <f t="shared" si="113"/>
        <v>0.0178745417229937</v>
      </c>
      <c r="AC78" s="13">
        <f t="shared" si="114"/>
        <v>0.0194570315838401</v>
      </c>
      <c r="AD78" s="13">
        <f t="shared" si="115"/>
        <v>0.0211603916787346</v>
      </c>
      <c r="AE78" s="13">
        <f t="shared" si="120"/>
        <v>0.0298854329858888</v>
      </c>
      <c r="AF78" s="13">
        <f t="shared" si="116"/>
        <v>0.0169097412592288</v>
      </c>
      <c r="AG78" s="13">
        <f t="shared" si="117"/>
        <v>0.0251900040936689</v>
      </c>
      <c r="AH78" s="13">
        <f t="shared" si="118"/>
        <v>0.0272018098386339</v>
      </c>
      <c r="AI78" s="13">
        <f t="shared" si="119"/>
        <v>0.0267543994256036</v>
      </c>
    </row>
    <row r="79" spans="1:35">
      <c r="A79" s="13"/>
      <c r="B79" s="13"/>
      <c r="C79" s="13"/>
      <c r="D79" s="14" t="s">
        <v>9</v>
      </c>
      <c r="E79" s="13">
        <f t="shared" si="90"/>
        <v>0.0764154971240619</v>
      </c>
      <c r="F79" s="13">
        <f t="shared" si="91"/>
        <v>0.0662869379860291</v>
      </c>
      <c r="G79" s="13">
        <f t="shared" si="92"/>
        <v>0.0269237745030936</v>
      </c>
      <c r="H79" s="13">
        <f t="shared" si="93"/>
        <v>0.0240719123154945</v>
      </c>
      <c r="I79" s="13">
        <f t="shared" si="94"/>
        <v>0.0404347981922279</v>
      </c>
      <c r="J79" s="13">
        <f t="shared" si="95"/>
        <v>0.0369719237975058</v>
      </c>
      <c r="K79" s="13">
        <f t="shared" si="96"/>
        <v>0.029847099427611</v>
      </c>
      <c r="L79" s="13">
        <f t="shared" si="97"/>
        <v>0.025382915620599</v>
      </c>
      <c r="M79" s="13">
        <f t="shared" si="98"/>
        <v>0.0797393289227886</v>
      </c>
      <c r="N79" s="13">
        <f t="shared" si="99"/>
        <v>0</v>
      </c>
      <c r="O79" s="13">
        <f t="shared" si="100"/>
        <v>0.0518424718570959</v>
      </c>
      <c r="P79" s="13">
        <f t="shared" si="101"/>
        <v>0.0235280249089761</v>
      </c>
      <c r="Q79" s="13">
        <f t="shared" si="102"/>
        <v>0.0446509872361203</v>
      </c>
      <c r="R79" s="13">
        <f t="shared" si="103"/>
        <v>0.023276885629894</v>
      </c>
      <c r="S79" s="13">
        <f t="shared" si="104"/>
        <v>0.0399083383435925</v>
      </c>
      <c r="T79" s="13">
        <f t="shared" si="105"/>
        <v>0.0253208514765275</v>
      </c>
      <c r="U79" s="13">
        <f t="shared" si="106"/>
        <v>0.0316276576846557</v>
      </c>
      <c r="V79" s="13">
        <f t="shared" si="107"/>
        <v>0.0264554772619534</v>
      </c>
      <c r="W79" s="13">
        <f t="shared" si="108"/>
        <v>0.045349050175159</v>
      </c>
      <c r="X79" s="13">
        <f t="shared" si="109"/>
        <v>0.0210567904679776</v>
      </c>
      <c r="Y79" s="13">
        <f t="shared" si="110"/>
        <v>0.0257284932147491</v>
      </c>
      <c r="Z79" s="13">
        <f t="shared" si="111"/>
        <v>0.0315101250105443</v>
      </c>
      <c r="AA79" s="13">
        <f t="shared" si="112"/>
        <v>0.0236304758065016</v>
      </c>
      <c r="AB79" s="13">
        <f t="shared" si="113"/>
        <v>0.0174487733283578</v>
      </c>
      <c r="AC79" s="13">
        <f t="shared" si="114"/>
        <v>0.0189935685630693</v>
      </c>
      <c r="AD79" s="13">
        <f t="shared" si="115"/>
        <v>0.0206563549244199</v>
      </c>
      <c r="AE79" s="13">
        <f t="shared" si="120"/>
        <v>0.0291735673043742</v>
      </c>
      <c r="AF79" s="13">
        <f t="shared" si="116"/>
        <v>0.0165069542394985</v>
      </c>
      <c r="AG79" s="13">
        <f t="shared" si="117"/>
        <v>0.0245899826906007</v>
      </c>
      <c r="AH79" s="13">
        <f t="shared" si="118"/>
        <v>0.0265538675816703</v>
      </c>
      <c r="AI79" s="13">
        <f t="shared" si="119"/>
        <v>0.0261171144048507</v>
      </c>
    </row>
    <row r="80" spans="1:35">
      <c r="A80" s="13"/>
      <c r="B80" s="13"/>
      <c r="C80" s="13"/>
      <c r="D80" s="14" t="s">
        <v>10</v>
      </c>
      <c r="E80" s="13">
        <f t="shared" si="90"/>
        <v>0.0761052134679786</v>
      </c>
      <c r="F80" s="13">
        <f t="shared" si="91"/>
        <v>0.0660177811494848</v>
      </c>
      <c r="G80" s="13">
        <f t="shared" si="92"/>
        <v>0.0268144510346509</v>
      </c>
      <c r="H80" s="13">
        <f t="shared" si="93"/>
        <v>0.0239741687786038</v>
      </c>
      <c r="I80" s="13">
        <f t="shared" si="94"/>
        <v>0.0402706134720041</v>
      </c>
      <c r="J80" s="13">
        <f t="shared" si="95"/>
        <v>0.0368218000121472</v>
      </c>
      <c r="K80" s="13">
        <f t="shared" si="96"/>
        <v>0.0297259058545476</v>
      </c>
      <c r="L80" s="13">
        <f t="shared" si="97"/>
        <v>0.0252798487800074</v>
      </c>
      <c r="M80" s="13">
        <f t="shared" si="98"/>
        <v>0.0794155489116265</v>
      </c>
      <c r="N80" s="13">
        <f t="shared" si="99"/>
        <v>0.0556924472606126</v>
      </c>
      <c r="O80" s="13">
        <f t="shared" si="100"/>
        <v>0</v>
      </c>
      <c r="P80" s="13">
        <f t="shared" si="101"/>
        <v>0.0234324898164369</v>
      </c>
      <c r="Q80" s="13">
        <f t="shared" si="102"/>
        <v>0.0444696827613898</v>
      </c>
      <c r="R80" s="13">
        <f t="shared" si="103"/>
        <v>0.0231823702835664</v>
      </c>
      <c r="S80" s="13">
        <f t="shared" si="104"/>
        <v>0.0397462913034567</v>
      </c>
      <c r="T80" s="13">
        <f t="shared" si="105"/>
        <v>0.0252180366461989</v>
      </c>
      <c r="U80" s="13">
        <f t="shared" si="106"/>
        <v>0.0314992341890418</v>
      </c>
      <c r="V80" s="13">
        <f t="shared" si="107"/>
        <v>0.0263480553054498</v>
      </c>
      <c r="W80" s="13">
        <f t="shared" si="108"/>
        <v>0.0451649112292929</v>
      </c>
      <c r="X80" s="13">
        <f t="shared" si="109"/>
        <v>0.0209712897753474</v>
      </c>
      <c r="Y80" s="13">
        <f t="shared" si="110"/>
        <v>0.0256240231629842</v>
      </c>
      <c r="Z80" s="13">
        <f t="shared" si="111"/>
        <v>0.0313821787540927</v>
      </c>
      <c r="AA80" s="13">
        <f t="shared" si="112"/>
        <v>0.0235345247140637</v>
      </c>
      <c r="AB80" s="13">
        <f t="shared" si="113"/>
        <v>0.0173779229199164</v>
      </c>
      <c r="AC80" s="13">
        <f t="shared" si="114"/>
        <v>0.0189164455432942</v>
      </c>
      <c r="AD80" s="13">
        <f t="shared" si="115"/>
        <v>0.0205724801926113</v>
      </c>
      <c r="AE80" s="13">
        <f t="shared" si="120"/>
        <v>0.0290551085955406</v>
      </c>
      <c r="AF80" s="13">
        <f t="shared" si="116"/>
        <v>0.0164399280693498</v>
      </c>
      <c r="AG80" s="13">
        <f t="shared" si="117"/>
        <v>0.0244901355389178</v>
      </c>
      <c r="AH80" s="13">
        <f t="shared" si="118"/>
        <v>0.0264460461131662</v>
      </c>
      <c r="AI80" s="13">
        <f t="shared" si="119"/>
        <v>0.0260110663642193</v>
      </c>
    </row>
    <row r="81" spans="1:35">
      <c r="A81" s="13"/>
      <c r="B81" s="13"/>
      <c r="C81" s="13"/>
      <c r="D81" s="14" t="s">
        <v>11</v>
      </c>
      <c r="E81" s="13">
        <f t="shared" si="90"/>
        <v>0.074017946122329</v>
      </c>
      <c r="F81" s="13">
        <f t="shared" si="91"/>
        <v>0.0642071724862092</v>
      </c>
      <c r="G81" s="13">
        <f t="shared" si="92"/>
        <v>0.0260790358707515</v>
      </c>
      <c r="H81" s="13">
        <f t="shared" si="93"/>
        <v>0.0233166514108648</v>
      </c>
      <c r="I81" s="13">
        <f t="shared" si="94"/>
        <v>0.0391661485784819</v>
      </c>
      <c r="J81" s="13">
        <f t="shared" si="95"/>
        <v>0.0358119225376462</v>
      </c>
      <c r="K81" s="13">
        <f t="shared" si="96"/>
        <v>0.0289106409103641</v>
      </c>
      <c r="L81" s="13">
        <f t="shared" si="97"/>
        <v>0.0245865217337115</v>
      </c>
      <c r="M81" s="13">
        <f t="shared" si="98"/>
        <v>0.0772374920555106</v>
      </c>
      <c r="N81" s="13">
        <f t="shared" si="99"/>
        <v>0.0541650219861888</v>
      </c>
      <c r="O81" s="13">
        <f t="shared" si="100"/>
        <v>0.0502159042757649</v>
      </c>
      <c r="P81" s="13">
        <f t="shared" si="101"/>
        <v>0</v>
      </c>
      <c r="Q81" s="13">
        <f t="shared" si="102"/>
        <v>0.0432500538756722</v>
      </c>
      <c r="R81" s="13">
        <f t="shared" si="103"/>
        <v>0.0225465688412906</v>
      </c>
      <c r="S81" s="13">
        <f t="shared" si="104"/>
        <v>0.0386562065094198</v>
      </c>
      <c r="T81" s="13">
        <f t="shared" si="105"/>
        <v>0.024526404864164</v>
      </c>
      <c r="U81" s="13">
        <f t="shared" si="106"/>
        <v>0.0306353338077174</v>
      </c>
      <c r="V81" s="13">
        <f t="shared" si="107"/>
        <v>0.025625431546125</v>
      </c>
      <c r="W81" s="13">
        <f t="shared" si="108"/>
        <v>0.0439262149549868</v>
      </c>
      <c r="X81" s="13">
        <f t="shared" si="109"/>
        <v>0.0203961295944663</v>
      </c>
      <c r="Y81" s="13">
        <f t="shared" si="110"/>
        <v>0.0249212567640072</v>
      </c>
      <c r="Z81" s="13">
        <f t="shared" si="111"/>
        <v>0.0305214887439883</v>
      </c>
      <c r="AA81" s="13">
        <f t="shared" si="112"/>
        <v>0.0228890650577194</v>
      </c>
      <c r="AB81" s="13">
        <f t="shared" si="113"/>
        <v>0.0169013146904261</v>
      </c>
      <c r="AC81" s="13">
        <f t="shared" si="114"/>
        <v>0.0183976416758708</v>
      </c>
      <c r="AD81" s="13">
        <f t="shared" si="115"/>
        <v>0.0200082577935357</v>
      </c>
      <c r="AE81" s="13">
        <f t="shared" si="120"/>
        <v>0.0282582409877611</v>
      </c>
      <c r="AF81" s="13">
        <f t="shared" si="116"/>
        <v>0.0159890453576363</v>
      </c>
      <c r="AG81" s="13">
        <f t="shared" si="117"/>
        <v>0.0238184672277525</v>
      </c>
      <c r="AH81" s="13">
        <f t="shared" si="118"/>
        <v>0.0257207348505312</v>
      </c>
      <c r="AI81" s="13">
        <f t="shared" si="119"/>
        <v>0.0252976848891066</v>
      </c>
    </row>
    <row r="82" spans="1:35">
      <c r="A82" s="13"/>
      <c r="B82" s="13"/>
      <c r="C82" s="13"/>
      <c r="D82" s="14" t="s">
        <v>12</v>
      </c>
      <c r="E82" s="13">
        <f t="shared" si="90"/>
        <v>0.0755640026408361</v>
      </c>
      <c r="F82" s="13">
        <f t="shared" si="91"/>
        <v>0.0655483055864595</v>
      </c>
      <c r="G82" s="13">
        <f t="shared" si="92"/>
        <v>0.0266237640821737</v>
      </c>
      <c r="H82" s="13">
        <f t="shared" si="93"/>
        <v>0.0238036800679955</v>
      </c>
      <c r="I82" s="13">
        <f t="shared" si="94"/>
        <v>0.0399842350357109</v>
      </c>
      <c r="J82" s="13">
        <f t="shared" si="95"/>
        <v>0.0365599472962378</v>
      </c>
      <c r="K82" s="13">
        <f t="shared" si="96"/>
        <v>0.0295145145271734</v>
      </c>
      <c r="L82" s="13">
        <f t="shared" si="97"/>
        <v>0.0251000749216235</v>
      </c>
      <c r="M82" s="13">
        <f t="shared" si="98"/>
        <v>0.078850797129772</v>
      </c>
      <c r="N82" s="13">
        <f t="shared" si="99"/>
        <v>0.0552963987630911</v>
      </c>
      <c r="O82" s="13">
        <f t="shared" si="100"/>
        <v>0.0512647935006828</v>
      </c>
      <c r="P82" s="13">
        <f t="shared" si="101"/>
        <v>0.0232658531746397</v>
      </c>
      <c r="Q82" s="13">
        <f t="shared" si="102"/>
        <v>0</v>
      </c>
      <c r="R82" s="13">
        <f t="shared" si="103"/>
        <v>0.0230175123293663</v>
      </c>
      <c r="S82" s="13">
        <f t="shared" si="104"/>
        <v>0.0394636415057363</v>
      </c>
      <c r="T82" s="13">
        <f t="shared" si="105"/>
        <v>0.0250387023555469</v>
      </c>
      <c r="U82" s="13">
        <f t="shared" si="106"/>
        <v>0.0312752321028118</v>
      </c>
      <c r="V82" s="13">
        <f t="shared" si="107"/>
        <v>0.0261606850563478</v>
      </c>
      <c r="W82" s="13">
        <f t="shared" si="108"/>
        <v>0.0448437277275278</v>
      </c>
      <c r="X82" s="13">
        <f t="shared" si="109"/>
        <v>0.0208221555890235</v>
      </c>
      <c r="Y82" s="13">
        <f t="shared" si="110"/>
        <v>0.0254418017600236</v>
      </c>
      <c r="Z82" s="13">
        <f t="shared" si="111"/>
        <v>0.0311590090900567</v>
      </c>
      <c r="AA82" s="13">
        <f t="shared" si="112"/>
        <v>0.0233671624663741</v>
      </c>
      <c r="AB82" s="13">
        <f t="shared" si="113"/>
        <v>0.0172543424237988</v>
      </c>
      <c r="AC82" s="13">
        <f t="shared" si="114"/>
        <v>0.0187819240739683</v>
      </c>
      <c r="AD82" s="13">
        <f t="shared" si="115"/>
        <v>0.0204261820809044</v>
      </c>
      <c r="AE82" s="13">
        <f t="shared" si="120"/>
        <v>0.0288484875424071</v>
      </c>
      <c r="AF82" s="13">
        <f t="shared" si="116"/>
        <v>0.0163230179831267</v>
      </c>
      <c r="AG82" s="13">
        <f t="shared" si="117"/>
        <v>0.024315977607971</v>
      </c>
      <c r="AH82" s="13">
        <f t="shared" si="118"/>
        <v>0.0262579790171113</v>
      </c>
      <c r="AI82" s="13">
        <f t="shared" si="119"/>
        <v>0.0258260925615013</v>
      </c>
    </row>
    <row r="83" spans="1:35">
      <c r="A83" s="13"/>
      <c r="B83" s="13"/>
      <c r="C83" s="13"/>
      <c r="D83" s="14" t="s">
        <v>13</v>
      </c>
      <c r="E83" s="13">
        <f t="shared" si="90"/>
        <v>0.0739999449152925</v>
      </c>
      <c r="F83" s="13">
        <f t="shared" si="91"/>
        <v>0.0641915572649593</v>
      </c>
      <c r="G83" s="13">
        <f t="shared" si="92"/>
        <v>0.0260726934342395</v>
      </c>
      <c r="H83" s="13">
        <f t="shared" si="93"/>
        <v>0.0233109807878413</v>
      </c>
      <c r="I83" s="13">
        <f t="shared" si="94"/>
        <v>0.0391566233486381</v>
      </c>
      <c r="J83" s="13">
        <f t="shared" si="95"/>
        <v>0.0358032130575033</v>
      </c>
      <c r="K83" s="13">
        <f t="shared" si="96"/>
        <v>0.0289036098258792</v>
      </c>
      <c r="L83" s="13">
        <f t="shared" si="97"/>
        <v>0.0245805422774955</v>
      </c>
      <c r="M83" s="13">
        <f t="shared" si="98"/>
        <v>0.0772187078530527</v>
      </c>
      <c r="N83" s="13">
        <f t="shared" si="99"/>
        <v>0.054151849021712</v>
      </c>
      <c r="O83" s="13">
        <f t="shared" si="100"/>
        <v>0.0502036917389848</v>
      </c>
      <c r="P83" s="13">
        <f t="shared" si="101"/>
        <v>0.0227842860775113</v>
      </c>
      <c r="Q83" s="13">
        <f t="shared" si="102"/>
        <v>0.0432395354377129</v>
      </c>
      <c r="R83" s="13">
        <f t="shared" si="103"/>
        <v>0</v>
      </c>
      <c r="S83" s="13">
        <f t="shared" si="104"/>
        <v>0.0386468052977801</v>
      </c>
      <c r="T83" s="13">
        <f t="shared" si="105"/>
        <v>0.0245204400284053</v>
      </c>
      <c r="U83" s="13">
        <f t="shared" si="106"/>
        <v>0.0306278832769287</v>
      </c>
      <c r="V83" s="13">
        <f t="shared" si="107"/>
        <v>0.0256191994264457</v>
      </c>
      <c r="W83" s="13">
        <f t="shared" si="108"/>
        <v>0.0439155320742643</v>
      </c>
      <c r="X83" s="13">
        <f t="shared" si="109"/>
        <v>0.0203911692440269</v>
      </c>
      <c r="Y83" s="13">
        <f t="shared" si="110"/>
        <v>0.0249151959000395</v>
      </c>
      <c r="Z83" s="13">
        <f t="shared" si="111"/>
        <v>0.0305140659003843</v>
      </c>
      <c r="AA83" s="13">
        <f t="shared" si="112"/>
        <v>0.0228834984239427</v>
      </c>
      <c r="AB83" s="13">
        <f t="shared" si="113"/>
        <v>0.0168972042809798</v>
      </c>
      <c r="AC83" s="13">
        <f t="shared" si="114"/>
        <v>0.0183931673588417</v>
      </c>
      <c r="AD83" s="13">
        <f t="shared" si="115"/>
        <v>0.0200033917737411</v>
      </c>
      <c r="AE83" s="13">
        <f t="shared" si="120"/>
        <v>0.0282513685673123</v>
      </c>
      <c r="AF83" s="13">
        <f t="shared" si="116"/>
        <v>0.0159851568126161</v>
      </c>
      <c r="AG83" s="13">
        <f t="shared" si="117"/>
        <v>0.0238126745628337</v>
      </c>
      <c r="AH83" s="13">
        <f t="shared" si="118"/>
        <v>0.0257144795530333</v>
      </c>
      <c r="AI83" s="13">
        <f t="shared" si="119"/>
        <v>0.0252915324776024</v>
      </c>
    </row>
    <row r="84" spans="1:35">
      <c r="A84" s="13"/>
      <c r="B84" s="13"/>
      <c r="C84" s="13"/>
      <c r="D84" s="14" t="s">
        <v>14</v>
      </c>
      <c r="E84" s="13">
        <f t="shared" si="90"/>
        <v>0.0752112766626444</v>
      </c>
      <c r="F84" s="13">
        <f t="shared" si="91"/>
        <v>0.0652423319826434</v>
      </c>
      <c r="G84" s="13">
        <f t="shared" si="92"/>
        <v>0.0264994867424241</v>
      </c>
      <c r="H84" s="13">
        <f t="shared" si="93"/>
        <v>0.0236925666271624</v>
      </c>
      <c r="I84" s="13">
        <f t="shared" si="94"/>
        <v>0.0397975922174068</v>
      </c>
      <c r="J84" s="13">
        <f t="shared" si="95"/>
        <v>0.0363892887455785</v>
      </c>
      <c r="K84" s="13">
        <f t="shared" si="96"/>
        <v>0.0293767434239546</v>
      </c>
      <c r="L84" s="13">
        <f t="shared" si="97"/>
        <v>0.0249829100260383</v>
      </c>
      <c r="M84" s="13">
        <f t="shared" si="98"/>
        <v>0.0784827286900815</v>
      </c>
      <c r="N84" s="13">
        <f t="shared" si="99"/>
        <v>0.0550382801396393</v>
      </c>
      <c r="O84" s="13">
        <f t="shared" si="100"/>
        <v>0.0510254940485316</v>
      </c>
      <c r="P84" s="13">
        <f t="shared" si="101"/>
        <v>0.0231572502614445</v>
      </c>
      <c r="Q84" s="13">
        <f t="shared" si="102"/>
        <v>0.0439473389648155</v>
      </c>
      <c r="R84" s="13">
        <f t="shared" si="103"/>
        <v>0.0229100686489341</v>
      </c>
      <c r="S84" s="13">
        <f t="shared" si="104"/>
        <v>0</v>
      </c>
      <c r="T84" s="13">
        <f t="shared" si="105"/>
        <v>0.0249218239415885</v>
      </c>
      <c r="U84" s="13">
        <f t="shared" si="106"/>
        <v>0.0311292421280738</v>
      </c>
      <c r="V84" s="13">
        <f t="shared" si="107"/>
        <v>0.0260385693279033</v>
      </c>
      <c r="W84" s="13">
        <f t="shared" si="108"/>
        <v>0.0446344012337524</v>
      </c>
      <c r="X84" s="13">
        <f t="shared" si="109"/>
        <v>0.020724959636698</v>
      </c>
      <c r="Y84" s="13">
        <f t="shared" si="110"/>
        <v>0.025323041714246</v>
      </c>
      <c r="Z84" s="13">
        <f t="shared" si="111"/>
        <v>0.0310135616339047</v>
      </c>
      <c r="AA84" s="13">
        <f t="shared" si="112"/>
        <v>0.0232580866505032</v>
      </c>
      <c r="AB84" s="13">
        <f t="shared" si="113"/>
        <v>0.0171738007029159</v>
      </c>
      <c r="AC84" s="13">
        <f t="shared" si="114"/>
        <v>0.0186942517391291</v>
      </c>
      <c r="AD84" s="13">
        <f t="shared" si="115"/>
        <v>0.0203308344973538</v>
      </c>
      <c r="AE84" s="13">
        <f t="shared" si="120"/>
        <v>0.0287138253933397</v>
      </c>
      <c r="AF84" s="13">
        <f t="shared" si="116"/>
        <v>0.0162468236010939</v>
      </c>
      <c r="AG84" s="13">
        <f t="shared" si="117"/>
        <v>0.0242024728082289</v>
      </c>
      <c r="AH84" s="13">
        <f t="shared" si="118"/>
        <v>0.0261354091291956</v>
      </c>
      <c r="AI84" s="13">
        <f t="shared" si="119"/>
        <v>0.0257055386807742</v>
      </c>
    </row>
    <row r="85" spans="1:35">
      <c r="A85" s="13"/>
      <c r="B85" s="13"/>
      <c r="C85" s="13"/>
      <c r="D85" s="14" t="s">
        <v>15</v>
      </c>
      <c r="E85" s="13">
        <f t="shared" si="90"/>
        <v>0.0741467075364142</v>
      </c>
      <c r="F85" s="13">
        <f t="shared" si="91"/>
        <v>0.0643188671056474</v>
      </c>
      <c r="G85" s="13">
        <f t="shared" si="92"/>
        <v>0.0261244028893275</v>
      </c>
      <c r="H85" s="13">
        <f t="shared" si="93"/>
        <v>0.0233572129930848</v>
      </c>
      <c r="I85" s="13">
        <f t="shared" si="94"/>
        <v>0.0392342819020802</v>
      </c>
      <c r="J85" s="13">
        <f t="shared" si="95"/>
        <v>0.0358742208589134</v>
      </c>
      <c r="K85" s="13">
        <f t="shared" si="96"/>
        <v>0.028960933781225</v>
      </c>
      <c r="L85" s="13">
        <f t="shared" si="97"/>
        <v>0.0246292923788282</v>
      </c>
      <c r="M85" s="13">
        <f t="shared" si="98"/>
        <v>0.0773718541827848</v>
      </c>
      <c r="N85" s="13">
        <f t="shared" si="99"/>
        <v>0.0542592473084284</v>
      </c>
      <c r="O85" s="13">
        <f t="shared" si="100"/>
        <v>0.0503032597237723</v>
      </c>
      <c r="P85" s="13">
        <f t="shared" si="101"/>
        <v>0.0228294736995959</v>
      </c>
      <c r="Q85" s="13">
        <f t="shared" si="102"/>
        <v>0.0433252915496152</v>
      </c>
      <c r="R85" s="13">
        <f t="shared" si="103"/>
        <v>0.0225857907900053</v>
      </c>
      <c r="S85" s="13">
        <f t="shared" si="104"/>
        <v>0.038723452739207</v>
      </c>
      <c r="T85" s="13">
        <f t="shared" si="105"/>
        <v>0</v>
      </c>
      <c r="U85" s="13">
        <f t="shared" si="106"/>
        <v>0.0306886269495661</v>
      </c>
      <c r="V85" s="13">
        <f t="shared" si="107"/>
        <v>0.0256700094758743</v>
      </c>
      <c r="W85" s="13">
        <f t="shared" si="108"/>
        <v>0.0440026288768707</v>
      </c>
      <c r="X85" s="13">
        <f t="shared" si="109"/>
        <v>0.0204316106450227</v>
      </c>
      <c r="Y85" s="13">
        <f t="shared" si="110"/>
        <v>0.0249646097132556</v>
      </c>
      <c r="Z85" s="13">
        <f t="shared" si="111"/>
        <v>0.0305745838412795</v>
      </c>
      <c r="AA85" s="13">
        <f t="shared" si="112"/>
        <v>0.0229288828119037</v>
      </c>
      <c r="AB85" s="13">
        <f t="shared" si="113"/>
        <v>0.0169307161706541</v>
      </c>
      <c r="AC85" s="13">
        <f t="shared" si="114"/>
        <v>0.0184296461623787</v>
      </c>
      <c r="AD85" s="13">
        <f t="shared" si="115"/>
        <v>0.0200430641033814</v>
      </c>
      <c r="AE85" s="13">
        <f t="shared" si="120"/>
        <v>0.0283073989455235</v>
      </c>
      <c r="AF85" s="13">
        <f t="shared" si="116"/>
        <v>0.0160168598566595</v>
      </c>
      <c r="AG85" s="13">
        <f t="shared" si="117"/>
        <v>0.0238599017673777</v>
      </c>
      <c r="AH85" s="13">
        <f t="shared" si="118"/>
        <v>0.0257654785696449</v>
      </c>
      <c r="AI85" s="13">
        <f t="shared" si="119"/>
        <v>0.0253416926716787</v>
      </c>
    </row>
    <row r="86" spans="1:35">
      <c r="A86" s="13"/>
      <c r="B86" s="13"/>
      <c r="C86" s="13"/>
      <c r="D86" s="14" t="s">
        <v>16</v>
      </c>
      <c r="E86" s="13">
        <f t="shared" si="90"/>
        <v>0.0746032462812633</v>
      </c>
      <c r="F86" s="13">
        <f t="shared" si="91"/>
        <v>0.0647148935218454</v>
      </c>
      <c r="G86" s="13">
        <f t="shared" si="92"/>
        <v>0.026285256991975</v>
      </c>
      <c r="H86" s="13">
        <f t="shared" si="93"/>
        <v>0.0235010288556813</v>
      </c>
      <c r="I86" s="13">
        <f t="shared" si="94"/>
        <v>0.0394758566180692</v>
      </c>
      <c r="J86" s="13">
        <f t="shared" si="95"/>
        <v>0.0360951068875388</v>
      </c>
      <c r="K86" s="13">
        <f t="shared" si="96"/>
        <v>0.029139253072768</v>
      </c>
      <c r="L86" s="13">
        <f t="shared" si="97"/>
        <v>0.0247809407338631</v>
      </c>
      <c r="M86" s="13">
        <f t="shared" si="98"/>
        <v>0.0778482509152749</v>
      </c>
      <c r="N86" s="13">
        <f t="shared" si="99"/>
        <v>0.0545933342758165</v>
      </c>
      <c r="O86" s="13">
        <f t="shared" si="100"/>
        <v>0.0506129887437</v>
      </c>
      <c r="P86" s="13">
        <f t="shared" si="101"/>
        <v>0.0229700401470442</v>
      </c>
      <c r="Q86" s="13">
        <f t="shared" si="102"/>
        <v>0.0435920555757126</v>
      </c>
      <c r="R86" s="13">
        <f t="shared" si="103"/>
        <v>0.0227248568243754</v>
      </c>
      <c r="S86" s="13">
        <f t="shared" si="104"/>
        <v>0.0389618821597054</v>
      </c>
      <c r="T86" s="13">
        <f t="shared" si="105"/>
        <v>0.0247203484875301</v>
      </c>
      <c r="U86" s="13">
        <f t="shared" si="106"/>
        <v>0</v>
      </c>
      <c r="V86" s="13">
        <f t="shared" si="107"/>
        <v>0.0258280657712348</v>
      </c>
      <c r="W86" s="13">
        <f t="shared" si="108"/>
        <v>0.0442735634284506</v>
      </c>
      <c r="X86" s="13">
        <f t="shared" si="109"/>
        <v>0.0205574128847856</v>
      </c>
      <c r="Y86" s="13">
        <f t="shared" si="110"/>
        <v>0.0251183226961085</v>
      </c>
      <c r="Z86" s="13">
        <f t="shared" si="111"/>
        <v>0.0307628387563655</v>
      </c>
      <c r="AA86" s="13">
        <f t="shared" si="112"/>
        <v>0.023070061344674</v>
      </c>
      <c r="AB86" s="13">
        <f t="shared" si="113"/>
        <v>0.0170349625784417</v>
      </c>
      <c r="AC86" s="13">
        <f t="shared" si="114"/>
        <v>0.0185431218352244</v>
      </c>
      <c r="AD86" s="13">
        <f t="shared" ref="AD86:AD100" si="121">AD52/BI52</f>
        <v>0.0201664739705585</v>
      </c>
      <c r="AE86" s="13">
        <f t="shared" si="120"/>
        <v>0.0284816942691316</v>
      </c>
      <c r="AF86" s="13">
        <f t="shared" si="116"/>
        <v>0.016115479435847</v>
      </c>
      <c r="AG86" s="13">
        <f t="shared" si="117"/>
        <v>0.0240068128031746</v>
      </c>
      <c r="AH86" s="13">
        <f t="shared" si="118"/>
        <v>0.0259241226907051</v>
      </c>
      <c r="AI86" s="13">
        <f t="shared" si="119"/>
        <v>0.0254977274431351</v>
      </c>
    </row>
    <row r="87" spans="1:35">
      <c r="A87" s="13"/>
      <c r="B87" s="13"/>
      <c r="C87" s="13"/>
      <c r="D87" s="14" t="s">
        <v>17</v>
      </c>
      <c r="E87" s="13">
        <f t="shared" si="90"/>
        <v>0.074228428474511</v>
      </c>
      <c r="F87" s="13">
        <f t="shared" si="91"/>
        <v>0.0643897562702757</v>
      </c>
      <c r="G87" s="13">
        <f t="shared" si="92"/>
        <v>0.0261531959508439</v>
      </c>
      <c r="H87" s="13">
        <f t="shared" si="93"/>
        <v>0.0233829561908686</v>
      </c>
      <c r="I87" s="13">
        <f t="shared" si="94"/>
        <v>0.0392775240422794</v>
      </c>
      <c r="J87" s="13">
        <f t="shared" si="95"/>
        <v>0.0359137597012905</v>
      </c>
      <c r="K87" s="13">
        <f t="shared" si="96"/>
        <v>0.0289928531307875</v>
      </c>
      <c r="L87" s="13">
        <f t="shared" si="97"/>
        <v>0.0246564376013841</v>
      </c>
      <c r="M87" s="13">
        <f t="shared" si="98"/>
        <v>0.077457129722538</v>
      </c>
      <c r="N87" s="13">
        <f t="shared" si="99"/>
        <v>0.0543190492435081</v>
      </c>
      <c r="O87" s="13">
        <f t="shared" si="100"/>
        <v>0.0503587015594322</v>
      </c>
      <c r="P87" s="13">
        <f t="shared" si="101"/>
        <v>0.0228546352484896</v>
      </c>
      <c r="Q87" s="13">
        <f t="shared" si="102"/>
        <v>0.0433730426040638</v>
      </c>
      <c r="R87" s="13">
        <f t="shared" si="103"/>
        <v>0.0226106837633057</v>
      </c>
      <c r="S87" s="13">
        <f t="shared" si="104"/>
        <v>0.0387661318680493</v>
      </c>
      <c r="T87" s="13">
        <f t="shared" si="105"/>
        <v>0.0245961497795099</v>
      </c>
      <c r="U87" s="13">
        <f t="shared" si="106"/>
        <v>0.0307224504795186</v>
      </c>
      <c r="V87" s="13">
        <f t="shared" si="107"/>
        <v>0</v>
      </c>
      <c r="W87" s="13">
        <f t="shared" si="108"/>
        <v>0.0440511264599735</v>
      </c>
      <c r="X87" s="13">
        <f t="shared" si="109"/>
        <v>0.0204541293844815</v>
      </c>
      <c r="Y87" s="13">
        <f t="shared" si="110"/>
        <v>0.0249921245064646</v>
      </c>
      <c r="Z87" s="13">
        <f t="shared" si="111"/>
        <v>0.0306082816783978</v>
      </c>
      <c r="AA87" s="13">
        <f t="shared" si="112"/>
        <v>0.0229541539247441</v>
      </c>
      <c r="AB87" s="13">
        <f t="shared" si="113"/>
        <v>0.0169493763924507</v>
      </c>
      <c r="AC87" s="13">
        <f t="shared" si="114"/>
        <v>0.0184499584327845</v>
      </c>
      <c r="AD87" s="13">
        <f t="shared" si="121"/>
        <v>0.0200651546055127</v>
      </c>
      <c r="AE87" s="13">
        <f t="shared" si="120"/>
        <v>0.0283385980003941</v>
      </c>
      <c r="AF87" s="13">
        <f t="shared" si="116"/>
        <v>0.0160345128699401</v>
      </c>
      <c r="AG87" s="13">
        <f t="shared" si="117"/>
        <v>0.0238861990045729</v>
      </c>
      <c r="AH87" s="13">
        <f t="shared" si="118"/>
        <v>0.0257938760420235</v>
      </c>
      <c r="AI87" s="13">
        <f t="shared" si="119"/>
        <v>0.0253696230676046</v>
      </c>
    </row>
    <row r="88" spans="1:35">
      <c r="A88" s="13"/>
      <c r="B88" s="13"/>
      <c r="C88" s="13"/>
      <c r="D88" s="14" t="s">
        <v>18</v>
      </c>
      <c r="E88" s="13">
        <f t="shared" si="90"/>
        <v>0.0756161993277617</v>
      </c>
      <c r="F88" s="13">
        <f t="shared" si="91"/>
        <v>0.0655935838177023</v>
      </c>
      <c r="G88" s="13">
        <f t="shared" si="92"/>
        <v>0.0266421547474376</v>
      </c>
      <c r="H88" s="13">
        <f t="shared" si="93"/>
        <v>0.0238201227284259</v>
      </c>
      <c r="I88" s="13">
        <f t="shared" si="94"/>
        <v>0.0400118545969461</v>
      </c>
      <c r="J88" s="13">
        <f t="shared" si="95"/>
        <v>0.0365852014921028</v>
      </c>
      <c r="K88" s="13">
        <f t="shared" si="96"/>
        <v>0.0295349020109049</v>
      </c>
      <c r="L88" s="13">
        <f t="shared" si="97"/>
        <v>0.0251174130814179</v>
      </c>
      <c r="M88" s="13">
        <f t="shared" si="98"/>
        <v>0.0789052642070544</v>
      </c>
      <c r="N88" s="13">
        <f t="shared" si="99"/>
        <v>0.0553345953740894</v>
      </c>
      <c r="O88" s="13">
        <f t="shared" si="100"/>
        <v>0.0513002052348835</v>
      </c>
      <c r="P88" s="13">
        <f t="shared" si="101"/>
        <v>0.0232819243250787</v>
      </c>
      <c r="Q88" s="13">
        <f t="shared" si="102"/>
        <v>0.0441839427615876</v>
      </c>
      <c r="R88" s="13">
        <f t="shared" si="103"/>
        <v>0.023033411935566</v>
      </c>
      <c r="S88" s="13">
        <f t="shared" si="104"/>
        <v>0.0394909014611202</v>
      </c>
      <c r="T88" s="13">
        <f t="shared" si="105"/>
        <v>0.0250559981215492</v>
      </c>
      <c r="U88" s="13">
        <f t="shared" si="106"/>
        <v>0.0312968358220636</v>
      </c>
      <c r="V88" s="13">
        <f t="shared" si="107"/>
        <v>0.0261787558445527</v>
      </c>
      <c r="W88" s="13">
        <f t="shared" si="108"/>
        <v>0</v>
      </c>
      <c r="X88" s="13">
        <f t="shared" si="109"/>
        <v>0.0208365387277986</v>
      </c>
      <c r="Y88" s="13">
        <f t="shared" si="110"/>
        <v>0.0254593759714851</v>
      </c>
      <c r="Z88" s="13">
        <f t="shared" si="111"/>
        <v>0.0311805325269518</v>
      </c>
      <c r="AA88" s="13">
        <f t="shared" si="112"/>
        <v>0.0233833035973487</v>
      </c>
      <c r="AB88" s="13">
        <f t="shared" si="113"/>
        <v>0.0172662610553975</v>
      </c>
      <c r="AC88" s="13">
        <f t="shared" si="114"/>
        <v>0.0187948978998177</v>
      </c>
      <c r="AD88" s="13">
        <f t="shared" si="121"/>
        <v>0.0204402916965136</v>
      </c>
      <c r="AE88" s="13">
        <f t="shared" si="120"/>
        <v>0.0288684149604884</v>
      </c>
      <c r="AF88" s="13">
        <f t="shared" si="116"/>
        <v>0.0163342932918658</v>
      </c>
      <c r="AG88" s="13">
        <f t="shared" si="117"/>
        <v>0.0243327741437041</v>
      </c>
      <c r="AH88" s="13">
        <f t="shared" si="118"/>
        <v>0.0262761170122168</v>
      </c>
      <c r="AI88" s="13">
        <f t="shared" si="119"/>
        <v>0.0258439322261674</v>
      </c>
    </row>
    <row r="89" spans="1:35">
      <c r="A89" s="13"/>
      <c r="B89" s="13"/>
      <c r="C89" s="13"/>
      <c r="D89" s="14" t="s">
        <v>19</v>
      </c>
      <c r="E89" s="13">
        <f t="shared" si="90"/>
        <v>0.0738411925348952</v>
      </c>
      <c r="F89" s="13">
        <f t="shared" si="91"/>
        <v>0.0640538468581626</v>
      </c>
      <c r="G89" s="13">
        <f t="shared" si="92"/>
        <v>0.0260167595798185</v>
      </c>
      <c r="H89" s="13">
        <f t="shared" si="93"/>
        <v>0.0232609716467033</v>
      </c>
      <c r="I89" s="13">
        <f t="shared" si="94"/>
        <v>0.0390726204865814</v>
      </c>
      <c r="J89" s="13">
        <f t="shared" si="95"/>
        <v>0.0357264042800744</v>
      </c>
      <c r="K89" s="13">
        <f t="shared" si="96"/>
        <v>0.0288416027951012</v>
      </c>
      <c r="L89" s="13">
        <f t="shared" si="97"/>
        <v>0.0245278095409715</v>
      </c>
      <c r="M89" s="13">
        <f t="shared" si="98"/>
        <v>0.0770530502475382</v>
      </c>
      <c r="N89" s="13">
        <f t="shared" si="99"/>
        <v>0.0540356768415171</v>
      </c>
      <c r="O89" s="13">
        <f t="shared" si="100"/>
        <v>0.0500959895565386</v>
      </c>
      <c r="P89" s="13">
        <f t="shared" si="101"/>
        <v>0.0227354068566605</v>
      </c>
      <c r="Q89" s="13">
        <f t="shared" si="102"/>
        <v>0.0431467734878782</v>
      </c>
      <c r="R89" s="13">
        <f t="shared" si="103"/>
        <v>0.022492728021114</v>
      </c>
      <c r="S89" s="13">
        <f t="shared" si="104"/>
        <v>0.0385638961504449</v>
      </c>
      <c r="T89" s="13">
        <f t="shared" si="105"/>
        <v>0.0244678362294786</v>
      </c>
      <c r="U89" s="13">
        <f t="shared" si="106"/>
        <v>0.0305621771553592</v>
      </c>
      <c r="V89" s="13">
        <f t="shared" si="107"/>
        <v>0.0255642384545493</v>
      </c>
      <c r="W89" s="13">
        <f t="shared" si="108"/>
        <v>0.0438213199061176</v>
      </c>
      <c r="X89" s="13">
        <f t="shared" si="109"/>
        <v>0</v>
      </c>
      <c r="Y89" s="13">
        <f t="shared" si="110"/>
        <v>0.0248617452297488</v>
      </c>
      <c r="Z89" s="13">
        <f t="shared" si="111"/>
        <v>0.0304486039516919</v>
      </c>
      <c r="AA89" s="13">
        <f t="shared" si="112"/>
        <v>0.0228344063624448</v>
      </c>
      <c r="AB89" s="13">
        <f t="shared" si="113"/>
        <v>0.01686095464046</v>
      </c>
      <c r="AC89" s="13">
        <f t="shared" si="114"/>
        <v>0.0183537084226951</v>
      </c>
      <c r="AD89" s="13">
        <f t="shared" si="121"/>
        <v>0.0199604784166605</v>
      </c>
      <c r="AE89" s="13">
        <f t="shared" si="120"/>
        <v>0.0281907607923379</v>
      </c>
      <c r="AF89" s="13">
        <f t="shared" si="116"/>
        <v>0.01595086379121</v>
      </c>
      <c r="AG89" s="13">
        <f t="shared" si="117"/>
        <v>0.0237615891360161</v>
      </c>
      <c r="AH89" s="13">
        <f t="shared" si="118"/>
        <v>0.0256593141762971</v>
      </c>
      <c r="AI89" s="13">
        <f t="shared" si="119"/>
        <v>0.0252372744509333</v>
      </c>
    </row>
    <row r="90" spans="1:35">
      <c r="A90" s="13"/>
      <c r="B90" s="13"/>
      <c r="C90" s="13"/>
      <c r="D90" s="14" t="s">
        <v>20</v>
      </c>
      <c r="E90" s="13">
        <f t="shared" si="90"/>
        <v>0.0741760470397965</v>
      </c>
      <c r="F90" s="13">
        <f t="shared" si="91"/>
        <v>0.0643443177788018</v>
      </c>
      <c r="G90" s="13">
        <f t="shared" si="92"/>
        <v>0.0261347401926605</v>
      </c>
      <c r="H90" s="13">
        <f t="shared" si="93"/>
        <v>0.0233664553323927</v>
      </c>
      <c r="I90" s="13">
        <f t="shared" si="94"/>
        <v>0.0392498067228689</v>
      </c>
      <c r="J90" s="13">
        <f t="shared" si="95"/>
        <v>0.0358884161193529</v>
      </c>
      <c r="K90" s="13">
        <f t="shared" si="96"/>
        <v>0.0289723934864885</v>
      </c>
      <c r="L90" s="13">
        <f t="shared" si="97"/>
        <v>0.0246390380739651</v>
      </c>
      <c r="M90" s="13">
        <f t="shared" si="98"/>
        <v>0.0774024698615238</v>
      </c>
      <c r="N90" s="13">
        <f t="shared" si="99"/>
        <v>0.0542807174373501</v>
      </c>
      <c r="O90" s="13">
        <f t="shared" si="100"/>
        <v>0.0503231644870161</v>
      </c>
      <c r="P90" s="13">
        <f t="shared" si="101"/>
        <v>0.0228385072149478</v>
      </c>
      <c r="Q90" s="13">
        <f t="shared" si="102"/>
        <v>0.043342435163677</v>
      </c>
      <c r="R90" s="13">
        <f t="shared" si="103"/>
        <v>0.0225947278811762</v>
      </c>
      <c r="S90" s="13">
        <f t="shared" si="104"/>
        <v>0.0387387754272986</v>
      </c>
      <c r="T90" s="13">
        <f t="shared" si="105"/>
        <v>0.0245787927959339</v>
      </c>
      <c r="U90" s="13">
        <f t="shared" si="106"/>
        <v>0.0307007702948893</v>
      </c>
      <c r="V90" s="13">
        <f t="shared" si="107"/>
        <v>0.0256801669778708</v>
      </c>
      <c r="W90" s="13">
        <f t="shared" si="108"/>
        <v>0.0440200405101267</v>
      </c>
      <c r="X90" s="13">
        <f t="shared" si="109"/>
        <v>0.0204396953372436</v>
      </c>
      <c r="Y90" s="13">
        <f t="shared" si="110"/>
        <v>0</v>
      </c>
      <c r="Z90" s="13">
        <f t="shared" si="111"/>
        <v>0.030586682060281</v>
      </c>
      <c r="AA90" s="13">
        <f t="shared" si="112"/>
        <v>0.0229379556629737</v>
      </c>
      <c r="AB90" s="13">
        <f t="shared" si="113"/>
        <v>0.0169374155753999</v>
      </c>
      <c r="AC90" s="13">
        <f t="shared" si="114"/>
        <v>0.0184369386866712</v>
      </c>
      <c r="AD90" s="13">
        <f t="shared" si="121"/>
        <v>0.0200509950495635</v>
      </c>
      <c r="AE90" s="13">
        <f t="shared" si="120"/>
        <v>0.0283186000501269</v>
      </c>
      <c r="AF90" s="13">
        <f t="shared" si="116"/>
        <v>0.0160231976527607</v>
      </c>
      <c r="AG90" s="13">
        <f t="shared" si="117"/>
        <v>0.0238693430182689</v>
      </c>
      <c r="AH90" s="13">
        <f t="shared" si="118"/>
        <v>0.0257756738483127</v>
      </c>
      <c r="AI90" s="13">
        <f t="shared" si="119"/>
        <v>0.0253517202602604</v>
      </c>
    </row>
    <row r="91" spans="1:35">
      <c r="A91" s="13"/>
      <c r="B91" s="13"/>
      <c r="C91" s="13"/>
      <c r="D91" s="14" t="s">
        <v>21</v>
      </c>
      <c r="E91" s="13">
        <f t="shared" si="90"/>
        <v>0.0745946868916441</v>
      </c>
      <c r="F91" s="13">
        <f t="shared" si="91"/>
        <v>0.0647074686440362</v>
      </c>
      <c r="G91" s="13">
        <f t="shared" si="92"/>
        <v>0.0262822412283581</v>
      </c>
      <c r="H91" s="13">
        <f t="shared" si="93"/>
        <v>0.023498332532499</v>
      </c>
      <c r="I91" s="13">
        <f t="shared" si="94"/>
        <v>0.0394713274688137</v>
      </c>
      <c r="J91" s="13">
        <f t="shared" si="95"/>
        <v>0.0360909656189132</v>
      </c>
      <c r="K91" s="13">
        <f t="shared" si="96"/>
        <v>0.0291359098640916</v>
      </c>
      <c r="L91" s="13">
        <f t="shared" si="97"/>
        <v>0.0247780975636602</v>
      </c>
      <c r="M91" s="13">
        <f t="shared" si="98"/>
        <v>0.0778393192193507</v>
      </c>
      <c r="N91" s="13">
        <f t="shared" si="99"/>
        <v>0.054587070666095</v>
      </c>
      <c r="O91" s="13">
        <f t="shared" si="100"/>
        <v>0.0506071818075137</v>
      </c>
      <c r="P91" s="13">
        <f t="shared" si="101"/>
        <v>0.0229674047453293</v>
      </c>
      <c r="Q91" s="13">
        <f t="shared" si="102"/>
        <v>0.0435870541661686</v>
      </c>
      <c r="R91" s="13">
        <f t="shared" si="103"/>
        <v>0.0227222495530663</v>
      </c>
      <c r="S91" s="13">
        <f t="shared" si="104"/>
        <v>0.0389574119798364</v>
      </c>
      <c r="T91" s="13">
        <f t="shared" si="105"/>
        <v>0.0247175122692049</v>
      </c>
      <c r="U91" s="13">
        <f t="shared" si="106"/>
        <v>0.0308740414038361</v>
      </c>
      <c r="V91" s="13">
        <f t="shared" si="107"/>
        <v>0.0258251024621421</v>
      </c>
      <c r="W91" s="13">
        <f t="shared" si="108"/>
        <v>0.0442684838280565</v>
      </c>
      <c r="X91" s="13">
        <f t="shared" si="109"/>
        <v>0.0205550542889441</v>
      </c>
      <c r="Y91" s="13">
        <f t="shared" si="110"/>
        <v>0.0251154408173532</v>
      </c>
      <c r="Z91" s="13">
        <f t="shared" si="111"/>
        <v>0</v>
      </c>
      <c r="AA91" s="13">
        <f t="shared" si="112"/>
        <v>0.0230674144673137</v>
      </c>
      <c r="AB91" s="13">
        <f t="shared" si="113"/>
        <v>0.0170330081208393</v>
      </c>
      <c r="AC91" s="13">
        <f t="shared" si="114"/>
        <v>0.0185409943432926</v>
      </c>
      <c r="AD91" s="13">
        <f t="shared" si="121"/>
        <v>0.0201641602279727</v>
      </c>
      <c r="AE91" s="13">
        <f t="shared" si="120"/>
        <v>0.0284784265035796</v>
      </c>
      <c r="AF91" s="13">
        <f t="shared" si="116"/>
        <v>0.0161136304725074</v>
      </c>
      <c r="AG91" s="13">
        <f t="shared" si="117"/>
        <v>0.0240040584503208</v>
      </c>
      <c r="AH91" s="13">
        <f t="shared" si="118"/>
        <v>0.0259211483607971</v>
      </c>
      <c r="AI91" s="13">
        <f t="shared" si="119"/>
        <v>0.0254948020344637</v>
      </c>
    </row>
    <row r="92" spans="1:35">
      <c r="A92" s="13"/>
      <c r="B92" s="13"/>
      <c r="C92" s="13"/>
      <c r="D92" s="14" t="s">
        <v>22</v>
      </c>
      <c r="E92" s="13">
        <f t="shared" si="90"/>
        <v>0.0740252921318103</v>
      </c>
      <c r="F92" s="13">
        <f t="shared" si="91"/>
        <v>0.0642135448124162</v>
      </c>
      <c r="G92" s="13">
        <f t="shared" si="92"/>
        <v>0.0260816241193427</v>
      </c>
      <c r="H92" s="13">
        <f t="shared" si="93"/>
        <v>0.0233189655029374</v>
      </c>
      <c r="I92" s="13">
        <f t="shared" si="94"/>
        <v>0.0391700356749752</v>
      </c>
      <c r="J92" s="13">
        <f t="shared" si="95"/>
        <v>0.035815476739516</v>
      </c>
      <c r="K92" s="13">
        <f t="shared" si="96"/>
        <v>0.0289135101853624</v>
      </c>
      <c r="L92" s="13">
        <f t="shared" si="97"/>
        <v>0.0245889618557525</v>
      </c>
      <c r="M92" s="13">
        <f t="shared" si="98"/>
        <v>0.0772451575931091</v>
      </c>
      <c r="N92" s="13">
        <f t="shared" si="99"/>
        <v>0.0541703976658167</v>
      </c>
      <c r="O92" s="13">
        <f t="shared" si="100"/>
        <v>0.0502208880199548</v>
      </c>
      <c r="P92" s="13">
        <f t="shared" si="101"/>
        <v>0.0227920903837586</v>
      </c>
      <c r="Q92" s="13">
        <f t="shared" si="102"/>
        <v>0.0432543462847768</v>
      </c>
      <c r="R92" s="13">
        <f t="shared" si="103"/>
        <v>0.0225488065054945</v>
      </c>
      <c r="S92" s="13">
        <f t="shared" si="104"/>
        <v>0.0386600429960342</v>
      </c>
      <c r="T92" s="13">
        <f t="shared" si="105"/>
        <v>0.0245288390198265</v>
      </c>
      <c r="U92" s="13">
        <f t="shared" si="106"/>
        <v>0.0306383742521556</v>
      </c>
      <c r="V92" s="13">
        <f t="shared" si="107"/>
        <v>0.0256279747761519</v>
      </c>
      <c r="W92" s="13">
        <f t="shared" si="108"/>
        <v>0.0439305744705968</v>
      </c>
      <c r="X92" s="13">
        <f t="shared" si="109"/>
        <v>0.0203981538354678</v>
      </c>
      <c r="Y92" s="13">
        <f t="shared" si="110"/>
        <v>0.0249237301072715</v>
      </c>
      <c r="Z92" s="13">
        <f t="shared" si="111"/>
        <v>0.0305245178897217</v>
      </c>
      <c r="AA92" s="13">
        <f t="shared" si="112"/>
        <v>0</v>
      </c>
      <c r="AB92" s="13">
        <f t="shared" si="113"/>
        <v>0.0169029920838755</v>
      </c>
      <c r="AC92" s="13">
        <f t="shared" si="114"/>
        <v>0.0183994675742814</v>
      </c>
      <c r="AD92" s="13">
        <f t="shared" si="121"/>
        <v>0.0200102435396846</v>
      </c>
      <c r="AE92" s="13">
        <f t="shared" si="120"/>
        <v>0.0282610455144617</v>
      </c>
      <c r="AF92" s="13">
        <f t="shared" si="116"/>
        <v>0.0159906322117027</v>
      </c>
      <c r="AG92" s="13">
        <f t="shared" si="117"/>
        <v>0.0238208311232028</v>
      </c>
      <c r="AH92" s="13">
        <f t="shared" si="118"/>
        <v>0.0257232875390612</v>
      </c>
      <c r="AI92" s="13">
        <f t="shared" si="119"/>
        <v>0.0253001955914806</v>
      </c>
    </row>
    <row r="93" spans="1:35">
      <c r="A93" s="13"/>
      <c r="B93" s="13"/>
      <c r="C93" s="13"/>
      <c r="D93" s="14" t="s">
        <v>23</v>
      </c>
      <c r="E93" s="13">
        <f t="shared" si="90"/>
        <v>0.0735846419364536</v>
      </c>
      <c r="F93" s="13">
        <f t="shared" si="91"/>
        <v>0.0638313009839721</v>
      </c>
      <c r="G93" s="13">
        <f t="shared" si="92"/>
        <v>0.0259263680922142</v>
      </c>
      <c r="H93" s="13">
        <f t="shared" si="93"/>
        <v>0.0231801547477418</v>
      </c>
      <c r="I93" s="13">
        <f t="shared" si="94"/>
        <v>0.0389368682888663</v>
      </c>
      <c r="J93" s="13">
        <f t="shared" si="95"/>
        <v>0.0356022780290812</v>
      </c>
      <c r="K93" s="13">
        <f t="shared" si="96"/>
        <v>0.0287413967962124</v>
      </c>
      <c r="L93" s="13">
        <f t="shared" si="97"/>
        <v>0.0244425911960317</v>
      </c>
      <c r="M93" s="13">
        <f t="shared" si="98"/>
        <v>0.0767853405116289</v>
      </c>
      <c r="N93" s="13">
        <f t="shared" si="99"/>
        <v>0.0538479376575333</v>
      </c>
      <c r="O93" s="13">
        <f t="shared" si="100"/>
        <v>0.0499219382491442</v>
      </c>
      <c r="P93" s="13">
        <f t="shared" si="101"/>
        <v>0.0226564159569383</v>
      </c>
      <c r="Q93" s="13">
        <f t="shared" si="102"/>
        <v>0.0429968662317906</v>
      </c>
      <c r="R93" s="13">
        <f t="shared" si="103"/>
        <v>0.0224145802740868</v>
      </c>
      <c r="S93" s="13">
        <f t="shared" si="104"/>
        <v>0.0384299114422353</v>
      </c>
      <c r="T93" s="13">
        <f t="shared" si="105"/>
        <v>0.0243828262531802</v>
      </c>
      <c r="U93" s="13">
        <f t="shared" si="106"/>
        <v>0.0304559932684294</v>
      </c>
      <c r="V93" s="13">
        <f t="shared" si="107"/>
        <v>0.0254754191864813</v>
      </c>
      <c r="W93" s="13">
        <f t="shared" si="108"/>
        <v>0.0436690690355606</v>
      </c>
      <c r="X93" s="13">
        <f t="shared" si="109"/>
        <v>0.0202767297895281</v>
      </c>
      <c r="Y93" s="13">
        <f t="shared" si="110"/>
        <v>0.0247753666733086</v>
      </c>
      <c r="Z93" s="13">
        <f t="shared" si="111"/>
        <v>0.0303428146585162</v>
      </c>
      <c r="AA93" s="13">
        <f t="shared" si="112"/>
        <v>0.0227550715031848</v>
      </c>
      <c r="AB93" s="13">
        <f t="shared" si="113"/>
        <v>0</v>
      </c>
      <c r="AC93" s="13">
        <f t="shared" si="114"/>
        <v>0.0182899411036985</v>
      </c>
      <c r="AD93" s="13">
        <f t="shared" si="121"/>
        <v>0.0198911286065183</v>
      </c>
      <c r="AE93" s="13">
        <f t="shared" si="120"/>
        <v>0.028092816050338</v>
      </c>
      <c r="AF93" s="13">
        <f t="shared" si="116"/>
        <v>0.0158954448101398</v>
      </c>
      <c r="AG93" s="13">
        <f t="shared" si="117"/>
        <v>0.0236790329136219</v>
      </c>
      <c r="AH93" s="13">
        <f t="shared" si="118"/>
        <v>0.0255701645813144</v>
      </c>
      <c r="AI93" s="13">
        <f t="shared" si="119"/>
        <v>0.0251495911722491</v>
      </c>
    </row>
    <row r="94" spans="1:35">
      <c r="A94" s="13"/>
      <c r="B94" s="13"/>
      <c r="C94" s="13"/>
      <c r="D94" s="14" t="s">
        <v>24</v>
      </c>
      <c r="E94" s="13">
        <f t="shared" si="90"/>
        <v>0.0736942671275691</v>
      </c>
      <c r="F94" s="13">
        <f t="shared" si="91"/>
        <v>0.0639263958079105</v>
      </c>
      <c r="G94" s="13">
        <f t="shared" si="92"/>
        <v>0.025964992769623</v>
      </c>
      <c r="H94" s="13">
        <f t="shared" si="93"/>
        <v>0.0232146881616096</v>
      </c>
      <c r="I94" s="13">
        <f t="shared" si="94"/>
        <v>0.0389948757958035</v>
      </c>
      <c r="J94" s="13">
        <f t="shared" si="95"/>
        <v>0.0356553177182116</v>
      </c>
      <c r="K94" s="13">
        <f t="shared" si="96"/>
        <v>0.0287842152571547</v>
      </c>
      <c r="L94" s="13">
        <f t="shared" si="97"/>
        <v>0.0244790053669879</v>
      </c>
      <c r="M94" s="13">
        <f t="shared" si="98"/>
        <v>0.0768997340509181</v>
      </c>
      <c r="N94" s="13">
        <f t="shared" si="99"/>
        <v>0.0539281594307394</v>
      </c>
      <c r="O94" s="13">
        <f t="shared" si="100"/>
        <v>0.0499963111329062</v>
      </c>
      <c r="P94" s="13">
        <f t="shared" si="101"/>
        <v>0.0226901691133566</v>
      </c>
      <c r="Q94" s="13">
        <f t="shared" si="102"/>
        <v>0.0430609222569881</v>
      </c>
      <c r="R94" s="13">
        <f t="shared" si="103"/>
        <v>0.0224479731476762</v>
      </c>
      <c r="S94" s="13">
        <f t="shared" si="104"/>
        <v>0.0384871636931879</v>
      </c>
      <c r="T94" s="13">
        <f t="shared" si="105"/>
        <v>0.024419151387306</v>
      </c>
      <c r="U94" s="13">
        <f t="shared" si="106"/>
        <v>0.0305013661070381</v>
      </c>
      <c r="V94" s="13">
        <f t="shared" si="107"/>
        <v>0.0255133720476159</v>
      </c>
      <c r="W94" s="13">
        <f t="shared" si="108"/>
        <v>0.0437341264974558</v>
      </c>
      <c r="X94" s="13">
        <f t="shared" si="109"/>
        <v>0.0203069377285744</v>
      </c>
      <c r="Y94" s="13">
        <f t="shared" si="110"/>
        <v>0.0248122766077057</v>
      </c>
      <c r="Z94" s="13">
        <f t="shared" si="111"/>
        <v>0.0303880188854906</v>
      </c>
      <c r="AA94" s="13">
        <f t="shared" si="112"/>
        <v>0.0227889716350159</v>
      </c>
      <c r="AB94" s="13">
        <f t="shared" si="113"/>
        <v>0.0168274055800587</v>
      </c>
      <c r="AC94" s="13">
        <f t="shared" si="114"/>
        <v>0</v>
      </c>
      <c r="AD94" s="13">
        <f t="shared" si="121"/>
        <v>0.0199207620832548</v>
      </c>
      <c r="AE94" s="13">
        <f t="shared" ref="AE94:AI94" si="122">AE60/BI60</f>
        <v>0.0281346682663364</v>
      </c>
      <c r="AF94" s="13">
        <f t="shared" si="122"/>
        <v>0.0159191255827755</v>
      </c>
      <c r="AG94" s="13">
        <f t="shared" si="122"/>
        <v>0.0237143095479885</v>
      </c>
      <c r="AH94" s="13">
        <f t="shared" si="122"/>
        <v>0.0256082585925823</v>
      </c>
      <c r="AI94" s="13">
        <f t="shared" si="122"/>
        <v>0.025187058620159</v>
      </c>
    </row>
    <row r="95" spans="1:35">
      <c r="A95" s="13"/>
      <c r="B95" s="13"/>
      <c r="C95" s="13"/>
      <c r="D95" s="14" t="s">
        <v>25</v>
      </c>
      <c r="E95" s="13">
        <f t="shared" ref="E95:E100" si="123">E61/AJ61</f>
        <v>0.073812631064316</v>
      </c>
      <c r="F95" s="13">
        <f t="shared" ref="F95" si="124">F61/AK61</f>
        <v>0.0640290710927703</v>
      </c>
      <c r="G95" s="13">
        <f t="shared" ref="G95" si="125">G61/AL61</f>
        <v>0.0260066964038622</v>
      </c>
      <c r="H95" s="13">
        <f t="shared" ref="H95" si="126">H61/AM61</f>
        <v>0.0232519743982228</v>
      </c>
      <c r="I95" s="13">
        <f t="shared" ref="I95" si="127">I61/AN61</f>
        <v>0.0390575073571456</v>
      </c>
      <c r="J95" s="13">
        <f t="shared" ref="J95" si="128">J61/AO61</f>
        <v>0.0357125854533502</v>
      </c>
      <c r="K95" s="13">
        <f t="shared" ref="K95" si="129">K61/AP61</f>
        <v>0.0288304469813689</v>
      </c>
      <c r="L95" s="13">
        <f t="shared" ref="L95" si="130">L61/AQ61</f>
        <v>0.0245183222847866</v>
      </c>
      <c r="M95" s="13">
        <f t="shared" ref="M95" si="131">M61/AR61</f>
        <v>0.077023246443562</v>
      </c>
      <c r="N95" s="13">
        <f t="shared" ref="N95" si="132">N61/AS61</f>
        <v>0.0540147760632203</v>
      </c>
      <c r="O95" s="13">
        <f t="shared" ref="O95" si="133">O61/AT61</f>
        <v>0.0500766126331337</v>
      </c>
      <c r="P95" s="13">
        <f t="shared" ref="P95" si="134">P61/AU61</f>
        <v>0.0227266128944862</v>
      </c>
      <c r="Q95" s="13">
        <f t="shared" ref="Q95" si="135">Q61/AV61</f>
        <v>0.0431300844927623</v>
      </c>
      <c r="R95" s="13">
        <f t="shared" ref="R95" si="136">R61/AW61</f>
        <v>0.0224840279261186</v>
      </c>
      <c r="S95" s="13">
        <f t="shared" ref="S95" si="137">S61/AX61</f>
        <v>0.0385489797934969</v>
      </c>
      <c r="T95" s="13">
        <f t="shared" ref="T95" si="138">T61/AY61</f>
        <v>0.0244583721707249</v>
      </c>
      <c r="U95" s="13">
        <f t="shared" ref="U95" si="139">U61/AZ61</f>
        <v>0.0305503558305173</v>
      </c>
      <c r="V95" s="13">
        <f t="shared" ref="V95" si="140">V61/BA61</f>
        <v>0.0255543503119092</v>
      </c>
      <c r="W95" s="13">
        <f t="shared" ref="W95" si="141">W61/BB61</f>
        <v>0.0438043699992124</v>
      </c>
      <c r="X95" s="13">
        <f t="shared" ref="X95" si="142">X61/BC61</f>
        <v>0.0203395536861858</v>
      </c>
      <c r="Y95" s="13">
        <f t="shared" ref="Y95" si="143">Y61/BD61</f>
        <v>0.0248521288086083</v>
      </c>
      <c r="Z95" s="13">
        <f t="shared" ref="Z95" si="144">Z61/BE61</f>
        <v>0.0304368265564998</v>
      </c>
      <c r="AA95" s="13">
        <f t="shared" ref="AA95" si="145">AA61/BF61</f>
        <v>0.0228255741076676</v>
      </c>
      <c r="AB95" s="13">
        <f t="shared" ref="AB95" si="146">AB61/BG61</f>
        <v>0.0168544328923223</v>
      </c>
      <c r="AC95" s="13">
        <f t="shared" ref="AC95" si="147">AC61/BH61</f>
        <v>0.0183466092835136</v>
      </c>
      <c r="AD95" s="13">
        <f t="shared" si="121"/>
        <v>0</v>
      </c>
      <c r="AE95" s="13">
        <f t="shared" ref="AE95" si="148">AE61/BJ61</f>
        <v>0.0281798567216242</v>
      </c>
      <c r="AF95" s="13">
        <f t="shared" ref="AF95" si="149">AF61/BK61</f>
        <v>0.0159446940624821</v>
      </c>
      <c r="AG95" s="13">
        <f t="shared" ref="AG95" si="150">AG61/BL61</f>
        <v>0.023752398250743</v>
      </c>
      <c r="AH95" s="13">
        <f t="shared" ref="AH95" si="151">AH61/BM61</f>
        <v>0.0256493892587575</v>
      </c>
      <c r="AI95" s="13">
        <f t="shared" ref="AI95" si="152">AI61/BN61</f>
        <v>0.0252275127766297</v>
      </c>
    </row>
    <row r="96" spans="1:35">
      <c r="A96" s="13"/>
      <c r="B96" s="13"/>
      <c r="C96" s="13"/>
      <c r="D96" s="14" t="s">
        <v>26</v>
      </c>
      <c r="E96" s="13">
        <f t="shared" si="123"/>
        <v>0.0744249323460462</v>
      </c>
      <c r="F96" s="13">
        <f t="shared" ref="F96:O100" si="153">F62/AK62</f>
        <v>0.0645602143636823</v>
      </c>
      <c r="G96" s="13">
        <f t="shared" si="153"/>
        <v>0.0262224309375328</v>
      </c>
      <c r="H96" s="13">
        <f t="shared" si="153"/>
        <v>0.0234448575609215</v>
      </c>
      <c r="I96" s="13">
        <f t="shared" si="153"/>
        <v>0.0393815028775754</v>
      </c>
      <c r="J96" s="13">
        <f t="shared" si="153"/>
        <v>0.0360088336907003</v>
      </c>
      <c r="K96" s="13">
        <f t="shared" si="153"/>
        <v>0.0290696055018687</v>
      </c>
      <c r="L96" s="13">
        <f t="shared" si="153"/>
        <v>0.0247217102408096</v>
      </c>
      <c r="M96" s="13">
        <f t="shared" si="153"/>
        <v>0.077662180889339</v>
      </c>
      <c r="N96" s="13">
        <f t="shared" si="153"/>
        <v>0.0544628472962736</v>
      </c>
      <c r="O96" s="13">
        <f t="shared" si="153"/>
        <v>0.0504920154396435</v>
      </c>
      <c r="P96" s="13">
        <f t="shared" ref="P96:Y100" si="154">P62/AU62</f>
        <v>0.022915138001965</v>
      </c>
      <c r="Q96" s="13">
        <f t="shared" si="154"/>
        <v>0.0434878634478716</v>
      </c>
      <c r="R96" s="13">
        <f t="shared" si="154"/>
        <v>0.0226705407074558</v>
      </c>
      <c r="S96" s="13">
        <f t="shared" si="154"/>
        <v>0.0388687569020568</v>
      </c>
      <c r="T96" s="13">
        <f t="shared" si="154"/>
        <v>0.0246612628198351</v>
      </c>
      <c r="U96" s="13">
        <f t="shared" si="154"/>
        <v>0.030803781589261</v>
      </c>
      <c r="V96" s="13">
        <f t="shared" si="154"/>
        <v>0.0257663324784321</v>
      </c>
      <c r="W96" s="13">
        <f t="shared" si="154"/>
        <v>0.0441677423856071</v>
      </c>
      <c r="X96" s="13">
        <f t="shared" si="154"/>
        <v>0.0205082773126478</v>
      </c>
      <c r="Y96" s="13">
        <f t="shared" si="154"/>
        <v>0.0250582858050983</v>
      </c>
      <c r="Z96" s="13">
        <f t="shared" ref="Z96:AI100" si="155">Z62/BE62</f>
        <v>0.0306893105506837</v>
      </c>
      <c r="AA96" s="13">
        <f t="shared" si="155"/>
        <v>0.0230149201326072</v>
      </c>
      <c r="AB96" s="13">
        <f t="shared" si="155"/>
        <v>0.0169942462374639</v>
      </c>
      <c r="AC96" s="13">
        <f t="shared" si="155"/>
        <v>0.0184988007474639</v>
      </c>
      <c r="AD96" s="13">
        <f t="shared" si="121"/>
        <v>0.020118272806234</v>
      </c>
      <c r="AE96" s="13">
        <f t="shared" ref="AE96:AI100" si="156">AE62/BI62</f>
        <v>0</v>
      </c>
      <c r="AF96" s="13">
        <f t="shared" si="156"/>
        <v>0.0160769608096564</v>
      </c>
      <c r="AG96" s="13">
        <f t="shared" si="156"/>
        <v>0.0239494326022271</v>
      </c>
      <c r="AH96" s="13">
        <f t="shared" si="156"/>
        <v>0.0258621598061866</v>
      </c>
      <c r="AI96" s="13">
        <f t="shared" si="156"/>
        <v>0.0254367837128538</v>
      </c>
    </row>
    <row r="97" spans="1:35">
      <c r="A97" s="13"/>
      <c r="B97" s="13"/>
      <c r="C97" s="13"/>
      <c r="D97" s="14" t="s">
        <v>27</v>
      </c>
      <c r="E97" s="13">
        <f t="shared" si="123"/>
        <v>0.073517966370322</v>
      </c>
      <c r="F97" s="13">
        <f t="shared" si="153"/>
        <v>0.0637734629892761</v>
      </c>
      <c r="G97" s="13">
        <f t="shared" si="153"/>
        <v>0.0259028760261418</v>
      </c>
      <c r="H97" s="13">
        <f t="shared" si="153"/>
        <v>0.0231591510450648</v>
      </c>
      <c r="I97" s="13">
        <f t="shared" si="153"/>
        <v>0.038901587316258</v>
      </c>
      <c r="J97" s="13">
        <f t="shared" si="153"/>
        <v>0.0355700185523658</v>
      </c>
      <c r="K97" s="13">
        <f t="shared" si="153"/>
        <v>0.028715354012659</v>
      </c>
      <c r="L97" s="13">
        <f t="shared" si="153"/>
        <v>0.0244204435907323</v>
      </c>
      <c r="M97" s="13">
        <f t="shared" si="153"/>
        <v>0.0767157647698098</v>
      </c>
      <c r="N97" s="13">
        <f t="shared" si="153"/>
        <v>0.0537991456591781</v>
      </c>
      <c r="O97" s="13">
        <f t="shared" si="153"/>
        <v>0.0498767036267073</v>
      </c>
      <c r="P97" s="13">
        <f t="shared" si="154"/>
        <v>0.0226358868176956</v>
      </c>
      <c r="Q97" s="13">
        <f t="shared" si="154"/>
        <v>0.0429579064662411</v>
      </c>
      <c r="R97" s="13">
        <f t="shared" si="154"/>
        <v>0.022394270263872</v>
      </c>
      <c r="S97" s="13">
        <f t="shared" si="154"/>
        <v>0.0383950898268226</v>
      </c>
      <c r="T97" s="13">
        <f t="shared" si="154"/>
        <v>0.0243607328013194</v>
      </c>
      <c r="U97" s="13">
        <f t="shared" si="154"/>
        <v>0.0304283968768477</v>
      </c>
      <c r="V97" s="13">
        <f t="shared" si="154"/>
        <v>0.0254523357284118</v>
      </c>
      <c r="W97" s="13">
        <f t="shared" si="154"/>
        <v>0.0436295001822813</v>
      </c>
      <c r="X97" s="13">
        <f t="shared" si="154"/>
        <v>0.0202583569008051</v>
      </c>
      <c r="Y97" s="13">
        <f t="shared" si="154"/>
        <v>0.0247529175377879</v>
      </c>
      <c r="Z97" s="13">
        <f t="shared" si="155"/>
        <v>0.0303153208188761</v>
      </c>
      <c r="AA97" s="13">
        <f t="shared" si="155"/>
        <v>0.0227344529714516</v>
      </c>
      <c r="AB97" s="13">
        <f t="shared" si="155"/>
        <v>0.0167871489296854</v>
      </c>
      <c r="AC97" s="13">
        <f t="shared" si="155"/>
        <v>0.0182733684582998</v>
      </c>
      <c r="AD97" s="13">
        <f t="shared" si="121"/>
        <v>0.019873105113763</v>
      </c>
      <c r="AE97" s="13">
        <f t="shared" si="156"/>
        <v>0.0280673609504001</v>
      </c>
      <c r="AF97" s="13">
        <f t="shared" si="156"/>
        <v>0</v>
      </c>
      <c r="AG97" s="13">
        <f t="shared" si="156"/>
        <v>0.0236575771738993</v>
      </c>
      <c r="AH97" s="13">
        <f t="shared" si="156"/>
        <v>0.0255469952737704</v>
      </c>
      <c r="AI97" s="13">
        <f t="shared" si="156"/>
        <v>0.025126802949255</v>
      </c>
    </row>
    <row r="98" spans="1:35">
      <c r="A98" s="13"/>
      <c r="B98" s="13"/>
      <c r="C98" s="13"/>
      <c r="D98" s="14" t="s">
        <v>28</v>
      </c>
      <c r="E98" s="13">
        <f t="shared" si="123"/>
        <v>0.0740941622414117</v>
      </c>
      <c r="F98" s="13">
        <f t="shared" si="153"/>
        <v>0.0642732864728913</v>
      </c>
      <c r="G98" s="13">
        <f t="shared" si="153"/>
        <v>0.0261058893976004</v>
      </c>
      <c r="H98" s="13">
        <f t="shared" si="153"/>
        <v>0.0233406605164081</v>
      </c>
      <c r="I98" s="13">
        <f t="shared" si="153"/>
        <v>0.0392064778769892</v>
      </c>
      <c r="J98" s="13">
        <f t="shared" si="153"/>
        <v>0.0358487979968517</v>
      </c>
      <c r="K98" s="13">
        <f t="shared" si="153"/>
        <v>0.0289404101347998</v>
      </c>
      <c r="L98" s="13">
        <f t="shared" si="153"/>
        <v>0.0246118384219804</v>
      </c>
      <c r="M98" s="13">
        <f t="shared" si="153"/>
        <v>0.0773170233340794</v>
      </c>
      <c r="N98" s="13">
        <f t="shared" si="153"/>
        <v>0.0542207955922138</v>
      </c>
      <c r="O98" s="13">
        <f t="shared" si="153"/>
        <v>0.0502676114838222</v>
      </c>
      <c r="P98" s="13">
        <f t="shared" si="154"/>
        <v>0.022813295214129</v>
      </c>
      <c r="Q98" s="13">
        <f t="shared" si="154"/>
        <v>0.0432945883626339</v>
      </c>
      <c r="R98" s="13">
        <f t="shared" si="154"/>
        <v>0.022569784994477</v>
      </c>
      <c r="S98" s="13">
        <f t="shared" si="154"/>
        <v>0.0386960107216812</v>
      </c>
      <c r="T98" s="13">
        <f t="shared" si="154"/>
        <v>0.0245516596502224</v>
      </c>
      <c r="U98" s="13">
        <f t="shared" si="154"/>
        <v>0.0306668789447005</v>
      </c>
      <c r="V98" s="13">
        <f t="shared" si="154"/>
        <v>0.0256518179975816</v>
      </c>
      <c r="W98" s="13">
        <f t="shared" si="154"/>
        <v>0.0439714456835497</v>
      </c>
      <c r="X98" s="13">
        <f t="shared" si="154"/>
        <v>0.0204171314450098</v>
      </c>
      <c r="Y98" s="13">
        <f t="shared" si="154"/>
        <v>0.0249469181282131</v>
      </c>
      <c r="Z98" s="13">
        <f t="shared" si="155"/>
        <v>0.0305529166549553</v>
      </c>
      <c r="AA98" s="13">
        <f t="shared" si="155"/>
        <v>0.0229126338785193</v>
      </c>
      <c r="AB98" s="13">
        <f t="shared" si="155"/>
        <v>0.0169187179376192</v>
      </c>
      <c r="AC98" s="13">
        <f t="shared" si="155"/>
        <v>0.0184165856877256</v>
      </c>
      <c r="AD98" s="13">
        <f t="shared" si="121"/>
        <v>0.0200288602533244</v>
      </c>
      <c r="AE98" s="13">
        <f t="shared" si="156"/>
        <v>0.0282873384374071</v>
      </c>
      <c r="AF98" s="13">
        <f t="shared" si="156"/>
        <v>0.01600550924307</v>
      </c>
      <c r="AG98" s="13">
        <f t="shared" si="156"/>
        <v>0</v>
      </c>
      <c r="AH98" s="13">
        <f t="shared" si="156"/>
        <v>0.0257472194355943</v>
      </c>
      <c r="AI98" s="13">
        <f t="shared" si="156"/>
        <v>0.0253237338605388</v>
      </c>
    </row>
    <row r="99" spans="1:35">
      <c r="A99" s="13"/>
      <c r="B99" s="13"/>
      <c r="C99" s="13"/>
      <c r="D99" s="14" t="s">
        <v>29</v>
      </c>
      <c r="E99" s="13">
        <f t="shared" si="123"/>
        <v>0.0742355234838327</v>
      </c>
      <c r="F99" s="13">
        <f t="shared" si="153"/>
        <v>0.0643959108653593</v>
      </c>
      <c r="G99" s="13">
        <f t="shared" si="153"/>
        <v>0.0261556957635556</v>
      </c>
      <c r="H99" s="13">
        <f t="shared" si="153"/>
        <v>0.0233851912145051</v>
      </c>
      <c r="I99" s="13">
        <f t="shared" si="153"/>
        <v>0.039281278323556</v>
      </c>
      <c r="J99" s="13">
        <f t="shared" si="153"/>
        <v>0.0359171924623648</v>
      </c>
      <c r="K99" s="13">
        <f t="shared" si="153"/>
        <v>0.0289956243677306</v>
      </c>
      <c r="L99" s="13">
        <f t="shared" si="153"/>
        <v>0.024658794348768</v>
      </c>
      <c r="M99" s="13">
        <f t="shared" si="153"/>
        <v>0.0774645333422659</v>
      </c>
      <c r="N99" s="13">
        <f t="shared" si="153"/>
        <v>0.0543242412456648</v>
      </c>
      <c r="O99" s="13">
        <f t="shared" si="153"/>
        <v>0.0503635150178922</v>
      </c>
      <c r="P99" s="13">
        <f t="shared" si="154"/>
        <v>0.0228568197733875</v>
      </c>
      <c r="Q99" s="13">
        <f t="shared" si="154"/>
        <v>0.0433771883491364</v>
      </c>
      <c r="R99" s="13">
        <f t="shared" si="154"/>
        <v>0.0226128449704788</v>
      </c>
      <c r="S99" s="13">
        <f t="shared" si="154"/>
        <v>0.0387698372686976</v>
      </c>
      <c r="T99" s="13">
        <f t="shared" si="154"/>
        <v>0.0245985007643758</v>
      </c>
      <c r="U99" s="13">
        <f t="shared" si="154"/>
        <v>0.0307253870373443</v>
      </c>
      <c r="V99" s="13">
        <f t="shared" si="154"/>
        <v>0.0257007580591573</v>
      </c>
      <c r="W99" s="13">
        <f t="shared" si="154"/>
        <v>0.0440553370186407</v>
      </c>
      <c r="X99" s="13">
        <f t="shared" si="154"/>
        <v>0.0204560844607459</v>
      </c>
      <c r="Y99" s="13">
        <f t="shared" si="154"/>
        <v>0.0249945133399612</v>
      </c>
      <c r="Z99" s="13">
        <f t="shared" si="155"/>
        <v>0.0306112073235759</v>
      </c>
      <c r="AA99" s="13">
        <f t="shared" si="155"/>
        <v>0.0229563479619805</v>
      </c>
      <c r="AB99" s="13">
        <f t="shared" si="155"/>
        <v>0.0169509964723308</v>
      </c>
      <c r="AC99" s="13">
        <f t="shared" si="155"/>
        <v>0.0184517219434738</v>
      </c>
      <c r="AD99" s="13">
        <f t="shared" si="121"/>
        <v>0.0200670725022255</v>
      </c>
      <c r="AE99" s="13">
        <f t="shared" si="156"/>
        <v>0.0283413067013745</v>
      </c>
      <c r="AF99" s="13">
        <f t="shared" si="156"/>
        <v>0.0160360455040079</v>
      </c>
      <c r="AG99" s="13">
        <f t="shared" si="156"/>
        <v>0.0238884821298941</v>
      </c>
      <c r="AH99" s="13">
        <f t="shared" si="156"/>
        <v>0</v>
      </c>
      <c r="AI99" s="13">
        <f t="shared" si="156"/>
        <v>0.0253720479837163</v>
      </c>
    </row>
    <row r="100" spans="1:35">
      <c r="A100" s="13"/>
      <c r="B100" s="13"/>
      <c r="C100" s="13"/>
      <c r="D100" s="14" t="s">
        <v>30</v>
      </c>
      <c r="E100" s="13">
        <f t="shared" si="123"/>
        <v>0.0742040391904026</v>
      </c>
      <c r="F100" s="13">
        <f t="shared" si="153"/>
        <v>0.0643685996852364</v>
      </c>
      <c r="G100" s="13">
        <f t="shared" si="153"/>
        <v>0.0261446027778577</v>
      </c>
      <c r="H100" s="13">
        <f t="shared" si="153"/>
        <v>0.0233752732374024</v>
      </c>
      <c r="I100" s="13">
        <f t="shared" si="153"/>
        <v>0.0392646186000837</v>
      </c>
      <c r="J100" s="13">
        <f t="shared" si="153"/>
        <v>0.0359019594933816</v>
      </c>
      <c r="K100" s="13">
        <f t="shared" si="153"/>
        <v>0.0289833269297531</v>
      </c>
      <c r="L100" s="13">
        <f t="shared" si="153"/>
        <v>0.024648336219284</v>
      </c>
      <c r="M100" s="13">
        <f t="shared" si="153"/>
        <v>0.0774316795819134</v>
      </c>
      <c r="N100" s="13">
        <f t="shared" si="153"/>
        <v>0.0543012015973741</v>
      </c>
      <c r="O100" s="13">
        <f t="shared" si="153"/>
        <v>0.0503421551673705</v>
      </c>
      <c r="P100" s="13">
        <f t="shared" si="154"/>
        <v>0.0228471258857869</v>
      </c>
      <c r="Q100" s="13">
        <f t="shared" si="154"/>
        <v>0.0433587914946107</v>
      </c>
      <c r="R100" s="13">
        <f t="shared" si="154"/>
        <v>0.0226032545559047</v>
      </c>
      <c r="S100" s="13">
        <f t="shared" si="154"/>
        <v>0.0387533944543206</v>
      </c>
      <c r="T100" s="13">
        <f t="shared" si="154"/>
        <v>0.0245880682062195</v>
      </c>
      <c r="U100" s="13">
        <f t="shared" si="154"/>
        <v>0.030712355983533</v>
      </c>
      <c r="V100" s="13">
        <f t="shared" si="154"/>
        <v>0.0256898580187166</v>
      </c>
      <c r="W100" s="13">
        <f t="shared" si="154"/>
        <v>0.044036652552057</v>
      </c>
      <c r="X100" s="13">
        <f t="shared" si="154"/>
        <v>0.0204474087575869</v>
      </c>
      <c r="Y100" s="13">
        <f t="shared" si="154"/>
        <v>0.0249839128274948</v>
      </c>
      <c r="Z100" s="13">
        <f t="shared" si="155"/>
        <v>0.0305982246949312</v>
      </c>
      <c r="AA100" s="13">
        <f t="shared" si="155"/>
        <v>0.0229466118631237</v>
      </c>
      <c r="AB100" s="13">
        <f t="shared" si="155"/>
        <v>0.0169438073245775</v>
      </c>
      <c r="AC100" s="13">
        <f t="shared" si="155"/>
        <v>0.0184438963176724</v>
      </c>
      <c r="AD100" s="13">
        <f t="shared" si="121"/>
        <v>0.0200585617843199</v>
      </c>
      <c r="AE100" s="13">
        <f t="shared" si="156"/>
        <v>0.028329286768403</v>
      </c>
      <c r="AF100" s="13">
        <f t="shared" si="156"/>
        <v>0.0160292443993829</v>
      </c>
      <c r="AG100" s="13">
        <f t="shared" si="156"/>
        <v>0.0238783507002808</v>
      </c>
      <c r="AH100" s="13">
        <f t="shared" si="156"/>
        <v>0.0257854009310185</v>
      </c>
      <c r="AI100" s="13">
        <f t="shared" si="156"/>
        <v>0</v>
      </c>
    </row>
  </sheetData>
  <sheetProtection formatCells="0" insertHyperlinks="0" autoFilter="0"/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52"/>
  <sheetViews>
    <sheetView workbookViewId="0">
      <selection activeCell="J12" sqref="J12"/>
    </sheetView>
  </sheetViews>
  <sheetFormatPr defaultColWidth="8.875" defaultRowHeight="14" outlineLevelCol="4"/>
  <cols>
    <col min="1" max="1" width="8.875" style="2"/>
    <col min="2" max="2" width="10.625" style="2" customWidth="1"/>
    <col min="3" max="3" width="8.875" style="2"/>
    <col min="4" max="4" width="11" style="3" customWidth="1"/>
    <col min="5" max="5" width="8.875" style="2"/>
  </cols>
  <sheetData>
    <row r="1" ht="39" customHeight="1" spans="1:5">
      <c r="A1" s="4" t="s">
        <v>59</v>
      </c>
      <c r="B1" s="4" t="s">
        <v>60</v>
      </c>
      <c r="C1" s="4" t="s">
        <v>61</v>
      </c>
      <c r="D1" s="5" t="s">
        <v>62</v>
      </c>
      <c r="E1" s="4" t="s">
        <v>63</v>
      </c>
    </row>
    <row r="2" spans="1:5">
      <c r="A2" s="2">
        <v>2000</v>
      </c>
      <c r="B2" s="2" t="s">
        <v>64</v>
      </c>
      <c r="C2" s="2">
        <v>1</v>
      </c>
      <c r="D2" s="6">
        <v>22459.6565940289</v>
      </c>
      <c r="E2" s="2">
        <f>AVERAGE(D2,D33,D64,D95,D126,D157,D188,D219,D250,D281,D312,D343,D374,D405,D436,D467,D498,D529,D560,D591,D622)/10000</f>
        <v>8.07559547087986</v>
      </c>
    </row>
    <row r="3" spans="1:5">
      <c r="A3" s="2">
        <v>2000</v>
      </c>
      <c r="B3" s="2" t="s">
        <v>65</v>
      </c>
      <c r="C3" s="2">
        <v>2</v>
      </c>
      <c r="D3" s="6">
        <v>17993.1950389639</v>
      </c>
      <c r="E3" s="2">
        <f t="shared" ref="E3:E32" si="0">AVERAGE(D3,D34,D65,D96,D127,D158,D189,D220,D251,D282,D313,D344,D375,D406,D437,D468,D499,D530,D561,D592,D623)/10000</f>
        <v>7.00520858104725</v>
      </c>
    </row>
    <row r="4" spans="1:5">
      <c r="A4" s="2">
        <v>2000</v>
      </c>
      <c r="B4" s="2" t="s">
        <v>66</v>
      </c>
      <c r="C4" s="2">
        <v>3</v>
      </c>
      <c r="D4" s="6">
        <v>7662.75771100229</v>
      </c>
      <c r="E4" s="2">
        <f t="shared" si="0"/>
        <v>2.84530651005488</v>
      </c>
    </row>
    <row r="5" spans="1:5">
      <c r="A5" s="2">
        <v>2000</v>
      </c>
      <c r="B5" s="2" t="s">
        <v>67</v>
      </c>
      <c r="C5" s="2">
        <v>4</v>
      </c>
      <c r="D5" s="6">
        <v>5137.05072955177</v>
      </c>
      <c r="E5" s="2">
        <f t="shared" si="0"/>
        <v>2.54392150004365</v>
      </c>
    </row>
    <row r="6" spans="1:5">
      <c r="A6" s="2">
        <v>2000</v>
      </c>
      <c r="B6" s="2" t="s">
        <v>68</v>
      </c>
      <c r="C6" s="2">
        <v>5</v>
      </c>
      <c r="D6" s="6">
        <v>5871.79379715004</v>
      </c>
      <c r="E6" s="2">
        <f t="shared" si="0"/>
        <v>4.27315250749414</v>
      </c>
    </row>
    <row r="7" spans="1:5">
      <c r="A7" s="2">
        <v>2000</v>
      </c>
      <c r="B7" s="2" t="s">
        <v>69</v>
      </c>
      <c r="C7" s="2">
        <v>6</v>
      </c>
      <c r="D7" s="6">
        <v>11226.4005770618</v>
      </c>
      <c r="E7" s="2">
        <f t="shared" si="0"/>
        <v>3.90719568157907</v>
      </c>
    </row>
    <row r="8" spans="1:5">
      <c r="A8" s="2">
        <v>2000</v>
      </c>
      <c r="B8" s="2" t="s">
        <v>70</v>
      </c>
      <c r="C8" s="2">
        <v>7</v>
      </c>
      <c r="D8" s="6">
        <v>6847.40269506106</v>
      </c>
      <c r="E8" s="2">
        <f t="shared" si="0"/>
        <v>3.15424370746676</v>
      </c>
    </row>
    <row r="9" spans="1:5">
      <c r="A9" s="2">
        <v>2000</v>
      </c>
      <c r="B9" s="2" t="s">
        <v>71</v>
      </c>
      <c r="C9" s="2">
        <v>8</v>
      </c>
      <c r="D9" s="6">
        <v>8561.65284905909</v>
      </c>
      <c r="E9" s="2">
        <f t="shared" si="0"/>
        <v>2.6824684277149</v>
      </c>
    </row>
    <row r="10" spans="1:5">
      <c r="A10" s="2">
        <v>2000</v>
      </c>
      <c r="B10" s="2" t="s">
        <v>72</v>
      </c>
      <c r="C10" s="2">
        <v>9</v>
      </c>
      <c r="D10" s="6">
        <v>34546.9796110462</v>
      </c>
      <c r="E10" s="2">
        <f t="shared" si="0"/>
        <v>8.42685826481529</v>
      </c>
    </row>
    <row r="11" spans="1:5">
      <c r="A11" s="2">
        <v>2000</v>
      </c>
      <c r="B11" s="2" t="s">
        <v>73</v>
      </c>
      <c r="C11" s="2">
        <v>10</v>
      </c>
      <c r="D11" s="6">
        <v>11772.9659268607</v>
      </c>
      <c r="E11" s="2">
        <f t="shared" si="0"/>
        <v>5.90957773279552</v>
      </c>
    </row>
    <row r="12" spans="1:5">
      <c r="A12" s="2">
        <v>2000</v>
      </c>
      <c r="B12" s="2" t="s">
        <v>74</v>
      </c>
      <c r="C12" s="2">
        <v>11</v>
      </c>
      <c r="D12" s="6">
        <v>13460.9329355044</v>
      </c>
      <c r="E12" s="2">
        <f t="shared" si="0"/>
        <v>5.47871631651732</v>
      </c>
    </row>
    <row r="13" spans="1:5">
      <c r="A13" s="2">
        <v>2000</v>
      </c>
      <c r="B13" s="2" t="s">
        <v>75</v>
      </c>
      <c r="C13" s="2">
        <v>12</v>
      </c>
      <c r="D13" s="6">
        <v>4867.40767382249</v>
      </c>
      <c r="E13" s="2">
        <f t="shared" si="0"/>
        <v>2.48644343810527</v>
      </c>
    </row>
    <row r="14" spans="1:5">
      <c r="A14" s="2">
        <v>2000</v>
      </c>
      <c r="B14" s="2" t="s">
        <v>76</v>
      </c>
      <c r="C14" s="2">
        <v>13</v>
      </c>
      <c r="D14" s="6">
        <v>11601.2725658479</v>
      </c>
      <c r="E14" s="2">
        <f t="shared" si="0"/>
        <v>4.71871968206808</v>
      </c>
    </row>
    <row r="15" spans="1:5">
      <c r="A15" s="2">
        <v>2000</v>
      </c>
      <c r="B15" s="2" t="s">
        <v>77</v>
      </c>
      <c r="C15" s="2">
        <v>14</v>
      </c>
      <c r="D15" s="6">
        <v>4851.25830412912</v>
      </c>
      <c r="E15" s="2">
        <f t="shared" si="0"/>
        <v>2.45990302024444</v>
      </c>
    </row>
    <row r="16" spans="1:5">
      <c r="A16" s="2">
        <v>2000</v>
      </c>
      <c r="B16" s="2" t="s">
        <v>78</v>
      </c>
      <c r="C16" s="2">
        <v>15</v>
      </c>
      <c r="D16" s="6">
        <v>9555.23789499762</v>
      </c>
      <c r="E16" s="2">
        <f t="shared" si="0"/>
        <v>4.21751619118074</v>
      </c>
    </row>
    <row r="17" spans="1:5">
      <c r="A17" s="2">
        <v>2000</v>
      </c>
      <c r="B17" s="2" t="s">
        <v>79</v>
      </c>
      <c r="C17" s="2">
        <v>16</v>
      </c>
      <c r="D17" s="6">
        <v>5443.87814569536</v>
      </c>
      <c r="E17" s="2">
        <f t="shared" si="0"/>
        <v>2.67590948431165</v>
      </c>
    </row>
    <row r="18" spans="1:5">
      <c r="A18" s="2">
        <v>2000</v>
      </c>
      <c r="B18" s="2" t="s">
        <v>80</v>
      </c>
      <c r="C18" s="2">
        <v>17</v>
      </c>
      <c r="D18" s="6">
        <v>7188.27638837993</v>
      </c>
      <c r="E18" s="2">
        <f t="shared" si="0"/>
        <v>3.34241323769808</v>
      </c>
    </row>
    <row r="19" spans="1:5">
      <c r="A19" s="2">
        <v>2000</v>
      </c>
      <c r="B19" s="2" t="s">
        <v>81</v>
      </c>
      <c r="C19" s="2">
        <v>18</v>
      </c>
      <c r="D19" s="6">
        <v>5639.01494265339</v>
      </c>
      <c r="E19" s="2">
        <f t="shared" si="0"/>
        <v>2.79581682246655</v>
      </c>
    </row>
    <row r="20" spans="1:5">
      <c r="A20" s="2">
        <v>2000</v>
      </c>
      <c r="B20" s="2" t="s">
        <v>82</v>
      </c>
      <c r="C20" s="2">
        <v>19</v>
      </c>
      <c r="D20" s="6">
        <v>12885.3957877414</v>
      </c>
      <c r="E20" s="2">
        <f t="shared" si="0"/>
        <v>4.79249102585372</v>
      </c>
    </row>
    <row r="21" spans="1:5">
      <c r="A21" s="2">
        <v>2000</v>
      </c>
      <c r="B21" s="2" t="s">
        <v>83</v>
      </c>
      <c r="C21" s="2">
        <v>20</v>
      </c>
      <c r="D21" s="6">
        <v>4318.81188118812</v>
      </c>
      <c r="E21" s="2">
        <f t="shared" si="0"/>
        <v>2.22528319692003</v>
      </c>
    </row>
    <row r="22" spans="1:5">
      <c r="A22" s="2">
        <v>2000</v>
      </c>
      <c r="B22" s="2" t="s">
        <v>84</v>
      </c>
      <c r="C22" s="2">
        <v>21</v>
      </c>
      <c r="D22" s="6">
        <v>6893.94745239868</v>
      </c>
      <c r="E22" s="2">
        <f t="shared" si="0"/>
        <v>2.71898909379949</v>
      </c>
    </row>
    <row r="23" spans="1:5">
      <c r="A23" s="2">
        <v>2000</v>
      </c>
      <c r="B23" s="2" t="s">
        <v>85</v>
      </c>
      <c r="C23" s="2">
        <v>22</v>
      </c>
      <c r="D23" s="6">
        <v>5157.3147463105</v>
      </c>
      <c r="E23" s="2">
        <f t="shared" si="0"/>
        <v>3.32999237587743</v>
      </c>
    </row>
    <row r="24" spans="1:5">
      <c r="A24" s="2">
        <v>2000</v>
      </c>
      <c r="B24" s="2" t="s">
        <v>86</v>
      </c>
      <c r="C24" s="2">
        <v>23</v>
      </c>
      <c r="D24" s="6">
        <v>4783.76579379318</v>
      </c>
      <c r="E24" s="2">
        <f t="shared" si="0"/>
        <v>2.49727045664446</v>
      </c>
    </row>
    <row r="25" spans="1:5">
      <c r="A25" s="2">
        <v>2000</v>
      </c>
      <c r="B25" s="2" t="s">
        <v>87</v>
      </c>
      <c r="C25" s="2">
        <v>24</v>
      </c>
      <c r="D25" s="6">
        <v>2661.55713133792</v>
      </c>
      <c r="E25" s="2">
        <f t="shared" si="0"/>
        <v>1.84398767483154</v>
      </c>
    </row>
    <row r="26" spans="1:5">
      <c r="A26" s="2">
        <v>2000</v>
      </c>
      <c r="B26" s="2" t="s">
        <v>88</v>
      </c>
      <c r="C26" s="2">
        <v>25</v>
      </c>
      <c r="D26" s="6">
        <v>4636.65038182422</v>
      </c>
      <c r="E26" s="2">
        <f t="shared" si="0"/>
        <v>2.00724175116922</v>
      </c>
    </row>
    <row r="27" spans="1:5">
      <c r="A27" s="2">
        <v>2000</v>
      </c>
      <c r="B27" s="2" t="s">
        <v>89</v>
      </c>
      <c r="C27" s="2">
        <v>26</v>
      </c>
      <c r="D27" s="6">
        <v>4558.69911126635</v>
      </c>
      <c r="E27" s="2">
        <f t="shared" si="0"/>
        <v>2.18296513862508</v>
      </c>
    </row>
    <row r="28" spans="1:5">
      <c r="A28" s="2">
        <v>2000</v>
      </c>
      <c r="B28" s="2" t="s">
        <v>90</v>
      </c>
      <c r="C28" s="2">
        <v>27</v>
      </c>
      <c r="D28" s="6">
        <v>4549.21939194741</v>
      </c>
      <c r="E28" s="2">
        <f t="shared" si="0"/>
        <v>3.08306478213604</v>
      </c>
    </row>
    <row r="29" spans="1:5">
      <c r="A29" s="2">
        <v>2000</v>
      </c>
      <c r="B29" s="2" t="s">
        <v>91</v>
      </c>
      <c r="C29" s="2">
        <v>28</v>
      </c>
      <c r="D29" s="6">
        <v>3838.25136612022</v>
      </c>
      <c r="E29" s="2">
        <f t="shared" si="0"/>
        <v>1.74445616283952</v>
      </c>
    </row>
    <row r="30" spans="1:5">
      <c r="A30" s="2">
        <v>2000</v>
      </c>
      <c r="B30" s="2" t="s">
        <v>92</v>
      </c>
      <c r="C30" s="2">
        <v>29</v>
      </c>
      <c r="D30" s="6">
        <v>5087.13692946058</v>
      </c>
      <c r="E30" s="2">
        <f t="shared" si="0"/>
        <v>2.59867121616487</v>
      </c>
    </row>
    <row r="31" spans="1:5">
      <c r="A31" s="2">
        <v>2000</v>
      </c>
      <c r="B31" s="2" t="s">
        <v>93</v>
      </c>
      <c r="C31" s="2">
        <v>30</v>
      </c>
      <c r="D31" s="6">
        <v>4839.10349854227</v>
      </c>
      <c r="E31" s="2">
        <f t="shared" si="0"/>
        <v>2.80621471883819</v>
      </c>
    </row>
    <row r="32" spans="1:5">
      <c r="A32" s="2">
        <v>2000</v>
      </c>
      <c r="B32" s="2" t="s">
        <v>94</v>
      </c>
      <c r="C32" s="2">
        <v>31</v>
      </c>
      <c r="D32" s="6">
        <v>7469.80563920066</v>
      </c>
      <c r="E32" s="2">
        <f t="shared" si="0"/>
        <v>2.76005861033457</v>
      </c>
    </row>
    <row r="33" spans="1:4">
      <c r="A33" s="2">
        <v>2001</v>
      </c>
      <c r="B33" s="2" t="s">
        <v>64</v>
      </c>
      <c r="C33" s="2">
        <v>1</v>
      </c>
      <c r="D33" s="7">
        <v>25523</v>
      </c>
    </row>
    <row r="34" spans="1:4">
      <c r="A34" s="2">
        <v>2001</v>
      </c>
      <c r="B34" s="2" t="s">
        <v>65</v>
      </c>
      <c r="C34" s="2">
        <v>2</v>
      </c>
      <c r="D34" s="7">
        <v>20154.4359255203</v>
      </c>
    </row>
    <row r="35" spans="1:4">
      <c r="A35" s="2">
        <v>2001</v>
      </c>
      <c r="B35" s="2" t="s">
        <v>66</v>
      </c>
      <c r="C35" s="2">
        <v>3</v>
      </c>
      <c r="D35" s="7">
        <v>8362</v>
      </c>
    </row>
    <row r="36" spans="1:4">
      <c r="A36" s="2">
        <v>2001</v>
      </c>
      <c r="B36" s="2" t="s">
        <v>67</v>
      </c>
      <c r="C36" s="2">
        <v>4</v>
      </c>
      <c r="D36" s="7">
        <v>5460</v>
      </c>
    </row>
    <row r="37" spans="1:4">
      <c r="A37" s="2">
        <v>2001</v>
      </c>
      <c r="B37" s="2" t="s">
        <v>68</v>
      </c>
      <c r="C37" s="2">
        <v>5</v>
      </c>
      <c r="D37" s="7">
        <v>6462.5218965438</v>
      </c>
    </row>
    <row r="38" spans="1:4">
      <c r="A38" s="2">
        <v>2001</v>
      </c>
      <c r="B38" s="2" t="s">
        <v>69</v>
      </c>
      <c r="C38" s="2">
        <v>6</v>
      </c>
      <c r="D38" s="7">
        <v>12040.8612440191</v>
      </c>
    </row>
    <row r="39" spans="1:4">
      <c r="A39" s="2">
        <v>2001</v>
      </c>
      <c r="B39" s="2" t="s">
        <v>70</v>
      </c>
      <c r="C39" s="2">
        <v>7</v>
      </c>
      <c r="D39" s="7">
        <v>7640.01187831493</v>
      </c>
    </row>
    <row r="40" spans="1:4">
      <c r="A40" s="2">
        <v>2001</v>
      </c>
      <c r="B40" s="2" t="s">
        <v>71</v>
      </c>
      <c r="C40" s="2">
        <v>8</v>
      </c>
      <c r="D40" s="7">
        <v>9348.91047519034</v>
      </c>
    </row>
    <row r="41" spans="1:4">
      <c r="A41" s="2">
        <v>2001</v>
      </c>
      <c r="B41" s="2" t="s">
        <v>72</v>
      </c>
      <c r="C41" s="2">
        <v>9</v>
      </c>
      <c r="D41" s="7">
        <v>37382</v>
      </c>
    </row>
    <row r="42" spans="1:4">
      <c r="A42" s="2">
        <v>2001</v>
      </c>
      <c r="B42" s="2" t="s">
        <v>73</v>
      </c>
      <c r="C42" s="2">
        <v>10</v>
      </c>
      <c r="D42" s="7">
        <v>12922</v>
      </c>
    </row>
    <row r="43" spans="1:4">
      <c r="A43" s="2">
        <v>2001</v>
      </c>
      <c r="B43" s="2" t="s">
        <v>74</v>
      </c>
      <c r="C43" s="2">
        <v>11</v>
      </c>
      <c r="D43" s="7">
        <v>14655</v>
      </c>
    </row>
    <row r="44" spans="1:4">
      <c r="A44" s="2">
        <v>2001</v>
      </c>
      <c r="B44" s="2" t="s">
        <v>75</v>
      </c>
      <c r="C44" s="2">
        <v>12</v>
      </c>
      <c r="D44" s="7">
        <v>5220.77118375119</v>
      </c>
    </row>
    <row r="45" spans="1:4">
      <c r="A45" s="2">
        <v>2001</v>
      </c>
      <c r="B45" s="2" t="s">
        <v>76</v>
      </c>
      <c r="C45" s="2">
        <v>13</v>
      </c>
      <c r="D45" s="7">
        <v>12362</v>
      </c>
    </row>
    <row r="46" spans="1:4">
      <c r="A46" s="2">
        <v>2001</v>
      </c>
      <c r="B46" s="2" t="s">
        <v>77</v>
      </c>
      <c r="C46" s="2">
        <v>14</v>
      </c>
      <c r="D46" s="7">
        <v>5221</v>
      </c>
    </row>
    <row r="47" spans="1:4">
      <c r="A47" s="2">
        <v>2001</v>
      </c>
      <c r="B47" s="2" t="s">
        <v>78</v>
      </c>
      <c r="C47" s="2">
        <v>15</v>
      </c>
      <c r="D47" s="7">
        <v>10465</v>
      </c>
    </row>
    <row r="48" spans="1:4">
      <c r="A48" s="2">
        <v>2001</v>
      </c>
      <c r="B48" s="2" t="s">
        <v>79</v>
      </c>
      <c r="C48" s="2">
        <v>16</v>
      </c>
      <c r="D48" s="7">
        <v>5923.55196135063</v>
      </c>
    </row>
    <row r="49" spans="1:4">
      <c r="A49" s="2">
        <v>2001</v>
      </c>
      <c r="B49" s="2" t="s">
        <v>80</v>
      </c>
      <c r="C49" s="2">
        <v>17</v>
      </c>
      <c r="D49" s="7">
        <v>7813.07</v>
      </c>
    </row>
    <row r="50" spans="1:4">
      <c r="A50" s="2">
        <v>2001</v>
      </c>
      <c r="B50" s="2" t="s">
        <v>81</v>
      </c>
      <c r="C50" s="2">
        <v>18</v>
      </c>
      <c r="D50" s="7">
        <v>6054</v>
      </c>
    </row>
    <row r="51" spans="1:4">
      <c r="A51" s="2">
        <v>2001</v>
      </c>
      <c r="B51" s="2" t="s">
        <v>82</v>
      </c>
      <c r="C51" s="2">
        <v>19</v>
      </c>
      <c r="D51" s="7">
        <v>13729.9285750652</v>
      </c>
    </row>
    <row r="52" spans="1:4">
      <c r="A52" s="2">
        <v>2001</v>
      </c>
      <c r="B52" s="2" t="s">
        <v>83</v>
      </c>
      <c r="C52" s="2">
        <v>20</v>
      </c>
      <c r="D52" s="7">
        <v>4668</v>
      </c>
    </row>
    <row r="53" spans="1:4">
      <c r="A53" s="2">
        <v>2001</v>
      </c>
      <c r="B53" s="2" t="s">
        <v>84</v>
      </c>
      <c r="C53" s="2">
        <v>21</v>
      </c>
      <c r="D53" s="7">
        <v>7135</v>
      </c>
    </row>
    <row r="54" spans="1:4">
      <c r="A54" s="2">
        <v>2001</v>
      </c>
      <c r="B54" s="2" t="s">
        <v>85</v>
      </c>
      <c r="C54" s="2">
        <v>22</v>
      </c>
      <c r="D54" s="7">
        <v>5654</v>
      </c>
    </row>
    <row r="55" spans="1:4">
      <c r="A55" s="2">
        <v>2001</v>
      </c>
      <c r="B55" s="2" t="s">
        <v>86</v>
      </c>
      <c r="C55" s="2">
        <v>23</v>
      </c>
      <c r="D55" s="7">
        <v>5250</v>
      </c>
    </row>
    <row r="56" spans="1:4">
      <c r="A56" s="2">
        <v>2001</v>
      </c>
      <c r="B56" s="2" t="s">
        <v>87</v>
      </c>
      <c r="C56" s="2">
        <v>24</v>
      </c>
      <c r="D56" s="7">
        <v>2895.29024957834</v>
      </c>
    </row>
    <row r="57" spans="1:4">
      <c r="A57" s="2">
        <v>2001</v>
      </c>
      <c r="B57" s="2" t="s">
        <v>88</v>
      </c>
      <c r="C57" s="2">
        <v>25</v>
      </c>
      <c r="D57" s="7">
        <v>4866</v>
      </c>
    </row>
    <row r="58" spans="1:4">
      <c r="A58" s="2">
        <v>2001</v>
      </c>
      <c r="B58" s="2" t="s">
        <v>89</v>
      </c>
      <c r="C58" s="2">
        <v>26</v>
      </c>
      <c r="D58" s="7">
        <v>5307</v>
      </c>
    </row>
    <row r="59" spans="1:4">
      <c r="A59" s="2">
        <v>2001</v>
      </c>
      <c r="B59" s="2" t="s">
        <v>90</v>
      </c>
      <c r="C59" s="2">
        <v>27</v>
      </c>
      <c r="D59" s="7">
        <v>5024</v>
      </c>
    </row>
    <row r="60" spans="1:4">
      <c r="A60" s="2">
        <v>2001</v>
      </c>
      <c r="B60" s="2" t="s">
        <v>91</v>
      </c>
      <c r="C60" s="2">
        <v>28</v>
      </c>
      <c r="D60" s="7">
        <v>4163.35736218348</v>
      </c>
    </row>
    <row r="61" spans="1:4">
      <c r="A61" s="2">
        <v>2001</v>
      </c>
      <c r="B61" s="2" t="s">
        <v>92</v>
      </c>
      <c r="C61" s="2">
        <v>29</v>
      </c>
      <c r="D61" s="7">
        <v>5734.56554878049</v>
      </c>
    </row>
    <row r="62" spans="1:4">
      <c r="A62" s="2">
        <v>2001</v>
      </c>
      <c r="B62" s="2" t="s">
        <v>93</v>
      </c>
      <c r="C62" s="2">
        <v>30</v>
      </c>
      <c r="D62" s="7">
        <v>5340</v>
      </c>
    </row>
    <row r="63" spans="1:4">
      <c r="A63" s="2">
        <v>2001</v>
      </c>
      <c r="B63" s="2" t="s">
        <v>94</v>
      </c>
      <c r="C63" s="2">
        <v>31</v>
      </c>
      <c r="D63" s="7">
        <v>7913</v>
      </c>
    </row>
    <row r="64" spans="1:4">
      <c r="A64" s="2">
        <v>2002</v>
      </c>
      <c r="B64" s="2" t="s">
        <v>64</v>
      </c>
      <c r="C64" s="2">
        <v>1</v>
      </c>
      <c r="D64" s="7">
        <v>28449</v>
      </c>
    </row>
    <row r="65" spans="1:4">
      <c r="A65" s="2">
        <v>2002</v>
      </c>
      <c r="B65" s="2" t="s">
        <v>65</v>
      </c>
      <c r="C65" s="2">
        <v>2</v>
      </c>
      <c r="D65" s="7">
        <v>22379.8716885611</v>
      </c>
    </row>
    <row r="66" spans="1:4">
      <c r="A66" s="2">
        <v>2002</v>
      </c>
      <c r="B66" s="2" t="s">
        <v>66</v>
      </c>
      <c r="C66" s="2">
        <v>3</v>
      </c>
      <c r="D66" s="7">
        <v>9115</v>
      </c>
    </row>
    <row r="67" spans="1:4">
      <c r="A67" s="2">
        <v>2002</v>
      </c>
      <c r="B67" s="2" t="s">
        <v>67</v>
      </c>
      <c r="C67" s="2">
        <v>4</v>
      </c>
      <c r="D67" s="7">
        <v>6146</v>
      </c>
    </row>
    <row r="68" spans="1:4">
      <c r="A68" s="2">
        <v>2002</v>
      </c>
      <c r="B68" s="2" t="s">
        <v>68</v>
      </c>
      <c r="C68" s="2">
        <v>5</v>
      </c>
      <c r="D68" s="7">
        <v>7241.25252730643</v>
      </c>
    </row>
    <row r="69" spans="1:4">
      <c r="A69" s="2">
        <v>2002</v>
      </c>
      <c r="B69" s="2" t="s">
        <v>69</v>
      </c>
      <c r="C69" s="2">
        <v>6</v>
      </c>
      <c r="D69" s="7">
        <v>12986.4858434452</v>
      </c>
    </row>
    <row r="70" spans="1:4">
      <c r="A70" s="2">
        <v>2002</v>
      </c>
      <c r="B70" s="2" t="s">
        <v>70</v>
      </c>
      <c r="C70" s="2">
        <v>7</v>
      </c>
      <c r="D70" s="7">
        <v>8334.09</v>
      </c>
    </row>
    <row r="71" spans="1:4">
      <c r="A71" s="2">
        <v>2002</v>
      </c>
      <c r="B71" s="2" t="s">
        <v>71</v>
      </c>
      <c r="C71" s="2">
        <v>8</v>
      </c>
      <c r="D71" s="7">
        <v>10184</v>
      </c>
    </row>
    <row r="72" spans="1:4">
      <c r="A72" s="2">
        <v>2002</v>
      </c>
      <c r="B72" s="2" t="s">
        <v>72</v>
      </c>
      <c r="C72" s="2">
        <v>9</v>
      </c>
      <c r="D72" s="7">
        <v>40646</v>
      </c>
    </row>
    <row r="73" spans="1:4">
      <c r="A73" s="2">
        <v>2002</v>
      </c>
      <c r="B73" s="2" t="s">
        <v>73</v>
      </c>
      <c r="C73" s="2">
        <v>10</v>
      </c>
      <c r="D73" s="7">
        <v>14391</v>
      </c>
    </row>
    <row r="74" spans="1:4">
      <c r="A74" s="2">
        <v>2002</v>
      </c>
      <c r="B74" s="2" t="s">
        <v>74</v>
      </c>
      <c r="C74" s="2">
        <v>11</v>
      </c>
      <c r="D74" s="7">
        <v>16838</v>
      </c>
    </row>
    <row r="75" spans="1:4">
      <c r="A75" s="2">
        <v>2002</v>
      </c>
      <c r="B75" s="2" t="s">
        <v>75</v>
      </c>
      <c r="C75" s="2">
        <v>12</v>
      </c>
      <c r="D75" s="7">
        <v>5817</v>
      </c>
    </row>
    <row r="76" spans="1:4">
      <c r="A76" s="2">
        <v>2002</v>
      </c>
      <c r="B76" s="2" t="s">
        <v>76</v>
      </c>
      <c r="C76" s="2">
        <v>13</v>
      </c>
      <c r="D76" s="7">
        <v>13497</v>
      </c>
    </row>
    <row r="77" spans="1:4">
      <c r="A77" s="2">
        <v>2002</v>
      </c>
      <c r="B77" s="2" t="s">
        <v>77</v>
      </c>
      <c r="C77" s="2">
        <v>14</v>
      </c>
      <c r="D77" s="7">
        <v>5829</v>
      </c>
    </row>
    <row r="78" spans="1:4">
      <c r="A78" s="2">
        <v>2002</v>
      </c>
      <c r="B78" s="2" t="s">
        <v>78</v>
      </c>
      <c r="C78" s="2">
        <v>15</v>
      </c>
      <c r="D78" s="7">
        <v>11645</v>
      </c>
    </row>
    <row r="79" spans="1:4">
      <c r="A79" s="2">
        <v>2002</v>
      </c>
      <c r="B79" s="2" t="s">
        <v>79</v>
      </c>
      <c r="C79" s="2">
        <v>16</v>
      </c>
      <c r="D79" s="7">
        <v>6436</v>
      </c>
    </row>
    <row r="80" spans="1:4">
      <c r="A80" s="2">
        <v>2002</v>
      </c>
      <c r="B80" s="2" t="s">
        <v>80</v>
      </c>
      <c r="C80" s="2">
        <v>17</v>
      </c>
      <c r="D80" s="7">
        <v>8318.81</v>
      </c>
    </row>
    <row r="81" spans="1:4">
      <c r="A81" s="2">
        <v>2002</v>
      </c>
      <c r="B81" s="2" t="s">
        <v>81</v>
      </c>
      <c r="C81" s="2">
        <v>18</v>
      </c>
      <c r="D81" s="7">
        <v>6565</v>
      </c>
    </row>
    <row r="82" spans="1:4">
      <c r="A82" s="2">
        <v>2002</v>
      </c>
      <c r="B82" s="2" t="s">
        <v>82</v>
      </c>
      <c r="C82" s="2">
        <v>19</v>
      </c>
      <c r="D82" s="7">
        <v>15029.6655297978</v>
      </c>
    </row>
    <row r="83" spans="1:4">
      <c r="A83" s="2">
        <v>2002</v>
      </c>
      <c r="B83" s="2" t="s">
        <v>83</v>
      </c>
      <c r="C83" s="2">
        <v>20</v>
      </c>
      <c r="D83" s="7">
        <v>5099</v>
      </c>
    </row>
    <row r="84" spans="1:4">
      <c r="A84" s="2">
        <v>2002</v>
      </c>
      <c r="B84" s="2" t="s">
        <v>84</v>
      </c>
      <c r="C84" s="2">
        <v>21</v>
      </c>
      <c r="D84" s="7">
        <v>7803</v>
      </c>
    </row>
    <row r="85" spans="1:4">
      <c r="A85" s="2">
        <v>2002</v>
      </c>
      <c r="B85" s="2" t="s">
        <v>85</v>
      </c>
      <c r="C85" s="2">
        <v>22</v>
      </c>
      <c r="D85" s="7">
        <v>6347</v>
      </c>
    </row>
    <row r="86" spans="1:4">
      <c r="A86" s="2">
        <v>2002</v>
      </c>
      <c r="B86" s="2" t="s">
        <v>86</v>
      </c>
      <c r="C86" s="2">
        <v>23</v>
      </c>
      <c r="D86" s="7">
        <v>5766</v>
      </c>
    </row>
    <row r="87" spans="1:4">
      <c r="A87" s="2">
        <v>2002</v>
      </c>
      <c r="B87" s="2" t="s">
        <v>87</v>
      </c>
      <c r="C87" s="2">
        <v>24</v>
      </c>
      <c r="D87" s="7">
        <v>3153</v>
      </c>
    </row>
    <row r="88" spans="1:4">
      <c r="A88" s="2">
        <v>2002</v>
      </c>
      <c r="B88" s="2" t="s">
        <v>88</v>
      </c>
      <c r="C88" s="2">
        <v>25</v>
      </c>
      <c r="D88" s="7">
        <v>5179</v>
      </c>
    </row>
    <row r="89" spans="1:4">
      <c r="A89" s="2">
        <v>2002</v>
      </c>
      <c r="B89" s="2" t="s">
        <v>89</v>
      </c>
      <c r="C89" s="2">
        <v>26</v>
      </c>
      <c r="D89" s="7">
        <v>6093</v>
      </c>
    </row>
    <row r="90" spans="1:4">
      <c r="A90" s="2">
        <v>2002</v>
      </c>
      <c r="B90" s="2" t="s">
        <v>90</v>
      </c>
      <c r="C90" s="2">
        <v>27</v>
      </c>
      <c r="D90" s="7">
        <v>5523</v>
      </c>
    </row>
    <row r="91" spans="1:4">
      <c r="A91" s="2">
        <v>2002</v>
      </c>
      <c r="B91" s="2" t="s">
        <v>91</v>
      </c>
      <c r="C91" s="2">
        <v>28</v>
      </c>
      <c r="D91" s="7">
        <v>4493</v>
      </c>
    </row>
    <row r="92" spans="1:4">
      <c r="A92" s="2">
        <v>2002</v>
      </c>
      <c r="B92" s="2" t="s">
        <v>92</v>
      </c>
      <c r="C92" s="2">
        <v>29</v>
      </c>
      <c r="D92" s="7">
        <v>6426</v>
      </c>
    </row>
    <row r="93" spans="1:4">
      <c r="A93" s="2">
        <v>2002</v>
      </c>
      <c r="B93" s="2" t="s">
        <v>93</v>
      </c>
      <c r="C93" s="2">
        <v>30</v>
      </c>
      <c r="D93" s="7">
        <v>5804</v>
      </c>
    </row>
    <row r="94" spans="1:4">
      <c r="A94" s="2">
        <v>2002</v>
      </c>
      <c r="B94" s="2" t="s">
        <v>94</v>
      </c>
      <c r="C94" s="2">
        <v>31</v>
      </c>
      <c r="D94" s="7">
        <v>8382</v>
      </c>
    </row>
    <row r="95" spans="1:4">
      <c r="A95" s="2">
        <v>2003</v>
      </c>
      <c r="B95" s="2" t="s">
        <v>64</v>
      </c>
      <c r="C95" s="2">
        <v>1</v>
      </c>
      <c r="D95" s="7">
        <v>32061</v>
      </c>
    </row>
    <row r="96" spans="1:4">
      <c r="A96" s="2">
        <v>2003</v>
      </c>
      <c r="B96" s="2" t="s">
        <v>65</v>
      </c>
      <c r="C96" s="2">
        <v>2</v>
      </c>
      <c r="D96" s="7">
        <v>26532.036898529</v>
      </c>
    </row>
    <row r="97" spans="1:4">
      <c r="A97" s="2">
        <v>2003</v>
      </c>
      <c r="B97" s="2" t="s">
        <v>66</v>
      </c>
      <c r="C97" s="2">
        <v>3</v>
      </c>
      <c r="D97" s="7">
        <v>10513.2390010693</v>
      </c>
    </row>
    <row r="98" spans="1:4">
      <c r="A98" s="2">
        <v>2003</v>
      </c>
      <c r="B98" s="2" t="s">
        <v>67</v>
      </c>
      <c r="C98" s="2">
        <v>4</v>
      </c>
      <c r="D98" s="7">
        <v>7435</v>
      </c>
    </row>
    <row r="99" spans="1:4">
      <c r="A99" s="2">
        <v>2003</v>
      </c>
      <c r="B99" s="2" t="s">
        <v>68</v>
      </c>
      <c r="C99" s="2">
        <v>5</v>
      </c>
      <c r="D99" s="7">
        <v>8974.64587100084</v>
      </c>
    </row>
    <row r="100" spans="1:4">
      <c r="A100" s="2">
        <v>2003</v>
      </c>
      <c r="B100" s="2" t="s">
        <v>69</v>
      </c>
      <c r="C100" s="2">
        <v>6</v>
      </c>
      <c r="D100" s="7">
        <v>14257.8147268409</v>
      </c>
    </row>
    <row r="101" spans="1:4">
      <c r="A101" s="2">
        <v>2003</v>
      </c>
      <c r="B101" s="2" t="s">
        <v>70</v>
      </c>
      <c r="C101" s="2">
        <v>7</v>
      </c>
      <c r="D101" s="7">
        <v>9338</v>
      </c>
    </row>
    <row r="102" spans="1:4">
      <c r="A102" s="2">
        <v>2003</v>
      </c>
      <c r="B102" s="2" t="s">
        <v>71</v>
      </c>
      <c r="C102" s="2">
        <v>8</v>
      </c>
      <c r="D102" s="7">
        <v>11615.1</v>
      </c>
    </row>
    <row r="103" spans="1:4">
      <c r="A103" s="2">
        <v>2003</v>
      </c>
      <c r="B103" s="2" t="s">
        <v>72</v>
      </c>
      <c r="C103" s="2">
        <v>9</v>
      </c>
      <c r="D103" s="7">
        <v>46718</v>
      </c>
    </row>
    <row r="104" spans="1:4">
      <c r="A104" s="2">
        <v>2003</v>
      </c>
      <c r="B104" s="2" t="s">
        <v>73</v>
      </c>
      <c r="C104" s="2">
        <v>10</v>
      </c>
      <c r="D104" s="7">
        <v>16809</v>
      </c>
    </row>
    <row r="105" spans="1:4">
      <c r="A105" s="2">
        <v>2003</v>
      </c>
      <c r="B105" s="2" t="s">
        <v>74</v>
      </c>
      <c r="C105" s="2">
        <v>11</v>
      </c>
      <c r="D105" s="7">
        <v>20147</v>
      </c>
    </row>
    <row r="106" spans="1:4">
      <c r="A106" s="2">
        <v>2003</v>
      </c>
      <c r="B106" s="2" t="s">
        <v>75</v>
      </c>
      <c r="C106" s="2">
        <v>12</v>
      </c>
      <c r="D106" s="7">
        <v>6455</v>
      </c>
    </row>
    <row r="107" spans="1:4">
      <c r="A107" s="2">
        <v>2003</v>
      </c>
      <c r="B107" s="2" t="s">
        <v>76</v>
      </c>
      <c r="C107" s="2">
        <v>13</v>
      </c>
      <c r="D107" s="7">
        <v>14979</v>
      </c>
    </row>
    <row r="108" spans="1:4">
      <c r="A108" s="2">
        <v>2003</v>
      </c>
      <c r="B108" s="2" t="s">
        <v>77</v>
      </c>
      <c r="C108" s="2">
        <v>14</v>
      </c>
      <c r="D108" s="7">
        <v>6678</v>
      </c>
    </row>
    <row r="109" spans="1:4">
      <c r="A109" s="2">
        <v>2003</v>
      </c>
      <c r="B109" s="2" t="s">
        <v>78</v>
      </c>
      <c r="C109" s="2">
        <v>15</v>
      </c>
      <c r="D109" s="7">
        <v>13661</v>
      </c>
    </row>
    <row r="110" spans="1:4">
      <c r="A110" s="2">
        <v>2003</v>
      </c>
      <c r="B110" s="2" t="s">
        <v>79</v>
      </c>
      <c r="C110" s="2">
        <v>16</v>
      </c>
      <c r="D110" s="7">
        <v>7570.17506175491</v>
      </c>
    </row>
    <row r="111" spans="1:4">
      <c r="A111" s="2">
        <v>2003</v>
      </c>
      <c r="B111" s="2" t="s">
        <v>80</v>
      </c>
      <c r="C111" s="2">
        <v>17</v>
      </c>
      <c r="D111" s="7">
        <v>9010.7</v>
      </c>
    </row>
    <row r="112" spans="1:4">
      <c r="A112" s="2">
        <v>2003</v>
      </c>
      <c r="B112" s="2" t="s">
        <v>81</v>
      </c>
      <c r="C112" s="2">
        <v>18</v>
      </c>
      <c r="D112" s="7">
        <v>7554</v>
      </c>
    </row>
    <row r="113" spans="1:4">
      <c r="A113" s="2">
        <v>2003</v>
      </c>
      <c r="B113" s="2" t="s">
        <v>82</v>
      </c>
      <c r="C113" s="2">
        <v>19</v>
      </c>
      <c r="D113" s="7">
        <v>17213.0698938297</v>
      </c>
    </row>
    <row r="114" spans="1:4">
      <c r="A114" s="2">
        <v>2003</v>
      </c>
      <c r="B114" s="2" t="s">
        <v>83</v>
      </c>
      <c r="C114" s="2">
        <v>20</v>
      </c>
      <c r="D114" s="7">
        <v>5969</v>
      </c>
    </row>
    <row r="115" spans="1:4">
      <c r="A115" s="2">
        <v>2003</v>
      </c>
      <c r="B115" s="2" t="s">
        <v>84</v>
      </c>
      <c r="C115" s="2">
        <v>21</v>
      </c>
      <c r="D115" s="7">
        <v>8316</v>
      </c>
    </row>
    <row r="116" spans="1:4">
      <c r="A116" s="2">
        <v>2003</v>
      </c>
      <c r="B116" s="2" t="s">
        <v>85</v>
      </c>
      <c r="C116" s="2">
        <v>22</v>
      </c>
      <c r="D116" s="7">
        <v>7209</v>
      </c>
    </row>
    <row r="117" spans="1:4">
      <c r="A117" s="2">
        <v>2003</v>
      </c>
      <c r="B117" s="2" t="s">
        <v>86</v>
      </c>
      <c r="C117" s="2">
        <v>23</v>
      </c>
      <c r="D117" s="7">
        <v>6418</v>
      </c>
    </row>
    <row r="118" spans="1:4">
      <c r="A118" s="2">
        <v>2003</v>
      </c>
      <c r="B118" s="2" t="s">
        <v>87</v>
      </c>
      <c r="C118" s="2">
        <v>24</v>
      </c>
      <c r="D118" s="7">
        <v>3603</v>
      </c>
    </row>
    <row r="119" spans="1:4">
      <c r="A119" s="2">
        <v>2003</v>
      </c>
      <c r="B119" s="2" t="s">
        <v>88</v>
      </c>
      <c r="C119" s="2">
        <v>25</v>
      </c>
      <c r="D119" s="7">
        <v>5662</v>
      </c>
    </row>
    <row r="120" spans="1:4">
      <c r="A120" s="2">
        <v>2003</v>
      </c>
      <c r="B120" s="2" t="s">
        <v>89</v>
      </c>
      <c r="C120" s="2">
        <v>26</v>
      </c>
      <c r="D120" s="7">
        <v>6871</v>
      </c>
    </row>
    <row r="121" spans="1:4">
      <c r="A121" s="2">
        <v>2003</v>
      </c>
      <c r="B121" s="2" t="s">
        <v>90</v>
      </c>
      <c r="C121" s="2">
        <v>27</v>
      </c>
      <c r="D121" s="7">
        <v>6480</v>
      </c>
    </row>
    <row r="122" spans="1:4">
      <c r="A122" s="2">
        <v>2003</v>
      </c>
      <c r="B122" s="2" t="s">
        <v>91</v>
      </c>
      <c r="C122" s="2">
        <v>28</v>
      </c>
      <c r="D122" s="7">
        <v>5021.63235769604</v>
      </c>
    </row>
    <row r="123" spans="1:4">
      <c r="A123" s="2">
        <v>2003</v>
      </c>
      <c r="B123" s="2" t="s">
        <v>92</v>
      </c>
      <c r="C123" s="2">
        <v>29</v>
      </c>
      <c r="D123" s="7">
        <v>7277</v>
      </c>
    </row>
    <row r="124" spans="1:4">
      <c r="A124" s="2">
        <v>2003</v>
      </c>
      <c r="B124" s="2" t="s">
        <v>93</v>
      </c>
      <c r="C124" s="2">
        <v>30</v>
      </c>
      <c r="D124" s="7">
        <v>6691</v>
      </c>
    </row>
    <row r="125" spans="1:4">
      <c r="A125" s="2">
        <v>2003</v>
      </c>
      <c r="B125" s="2" t="s">
        <v>94</v>
      </c>
      <c r="C125" s="2">
        <v>31</v>
      </c>
      <c r="D125" s="7">
        <v>9700</v>
      </c>
    </row>
    <row r="126" spans="1:4">
      <c r="A126" s="2">
        <v>2004</v>
      </c>
      <c r="B126" s="2" t="s">
        <v>64</v>
      </c>
      <c r="C126" s="2">
        <v>1</v>
      </c>
      <c r="D126" s="8">
        <v>37058</v>
      </c>
    </row>
    <row r="127" spans="1:4">
      <c r="A127" s="2">
        <v>2004</v>
      </c>
      <c r="B127" s="2" t="s">
        <v>65</v>
      </c>
      <c r="C127" s="2">
        <v>2</v>
      </c>
      <c r="D127" s="8">
        <v>31550</v>
      </c>
    </row>
    <row r="128" spans="1:4">
      <c r="A128" s="2">
        <v>2004</v>
      </c>
      <c r="B128" s="2" t="s">
        <v>66</v>
      </c>
      <c r="C128" s="2">
        <v>3</v>
      </c>
      <c r="D128" s="8">
        <v>12918</v>
      </c>
    </row>
    <row r="129" spans="1:4">
      <c r="A129" s="2">
        <v>2004</v>
      </c>
      <c r="B129" s="2" t="s">
        <v>67</v>
      </c>
      <c r="C129" s="2">
        <v>4</v>
      </c>
      <c r="D129" s="8">
        <v>9150</v>
      </c>
    </row>
    <row r="130" spans="1:4">
      <c r="A130" s="2">
        <v>2004</v>
      </c>
      <c r="B130" s="2" t="s">
        <v>68</v>
      </c>
      <c r="C130" s="2">
        <v>5</v>
      </c>
      <c r="D130" s="8">
        <v>11305</v>
      </c>
    </row>
    <row r="131" spans="1:4">
      <c r="A131" s="2">
        <v>2004</v>
      </c>
      <c r="B131" s="2" t="s">
        <v>69</v>
      </c>
      <c r="C131" s="2">
        <v>6</v>
      </c>
      <c r="D131" s="8">
        <v>16297</v>
      </c>
    </row>
    <row r="132" spans="1:4">
      <c r="A132" s="2">
        <v>2004</v>
      </c>
      <c r="B132" s="2" t="s">
        <v>70</v>
      </c>
      <c r="C132" s="2">
        <v>7</v>
      </c>
      <c r="D132" s="8">
        <v>10932</v>
      </c>
    </row>
    <row r="133" spans="1:4">
      <c r="A133" s="2">
        <v>2004</v>
      </c>
      <c r="B133" s="2" t="s">
        <v>71</v>
      </c>
      <c r="C133" s="2">
        <v>8</v>
      </c>
      <c r="D133" s="8">
        <v>13897</v>
      </c>
    </row>
    <row r="134" spans="1:4">
      <c r="A134" s="2">
        <v>2004</v>
      </c>
      <c r="B134" s="2" t="s">
        <v>72</v>
      </c>
      <c r="C134" s="2">
        <v>9</v>
      </c>
      <c r="D134" s="8">
        <v>55307</v>
      </c>
    </row>
    <row r="135" spans="1:4">
      <c r="A135" s="2">
        <v>2004</v>
      </c>
      <c r="B135" s="2" t="s">
        <v>73</v>
      </c>
      <c r="C135" s="2">
        <v>10</v>
      </c>
      <c r="D135" s="8">
        <v>20705</v>
      </c>
    </row>
    <row r="136" spans="1:4">
      <c r="A136" s="2">
        <v>2004</v>
      </c>
      <c r="B136" s="2" t="s">
        <v>74</v>
      </c>
      <c r="C136" s="2">
        <v>11</v>
      </c>
      <c r="D136" s="8">
        <v>23942</v>
      </c>
    </row>
    <row r="137" spans="1:4">
      <c r="A137" s="2">
        <v>2004</v>
      </c>
      <c r="B137" s="2" t="s">
        <v>75</v>
      </c>
      <c r="C137" s="2">
        <v>12</v>
      </c>
      <c r="D137" s="8">
        <v>7768</v>
      </c>
    </row>
    <row r="138" spans="1:4">
      <c r="A138" s="2">
        <v>2004</v>
      </c>
      <c r="B138" s="2" t="s">
        <v>76</v>
      </c>
      <c r="C138" s="2">
        <v>13</v>
      </c>
      <c r="D138" s="8">
        <v>17218</v>
      </c>
    </row>
    <row r="139" spans="1:4">
      <c r="A139" s="2">
        <v>2004</v>
      </c>
      <c r="B139" s="2" t="s">
        <v>77</v>
      </c>
      <c r="C139" s="2">
        <v>14</v>
      </c>
      <c r="D139" s="8">
        <v>8189</v>
      </c>
    </row>
    <row r="140" spans="1:4">
      <c r="A140" s="2">
        <v>2004</v>
      </c>
      <c r="B140" s="2" t="s">
        <v>78</v>
      </c>
      <c r="C140" s="2">
        <v>15</v>
      </c>
      <c r="D140" s="8">
        <v>16925</v>
      </c>
    </row>
    <row r="141" spans="1:4">
      <c r="A141" s="2">
        <v>2004</v>
      </c>
      <c r="B141" s="2" t="s">
        <v>79</v>
      </c>
      <c r="C141" s="2">
        <v>16</v>
      </c>
      <c r="D141" s="8">
        <v>9470</v>
      </c>
    </row>
    <row r="142" spans="1:4">
      <c r="A142" s="2">
        <v>2004</v>
      </c>
      <c r="B142" s="2" t="s">
        <v>80</v>
      </c>
      <c r="C142" s="2">
        <v>17</v>
      </c>
      <c r="D142" s="8">
        <v>10500</v>
      </c>
    </row>
    <row r="143" spans="1:4">
      <c r="A143" s="2">
        <v>2004</v>
      </c>
      <c r="B143" s="2" t="s">
        <v>81</v>
      </c>
      <c r="C143" s="2">
        <v>18</v>
      </c>
      <c r="D143" s="8">
        <v>9117</v>
      </c>
    </row>
    <row r="144" spans="1:4">
      <c r="A144" s="2">
        <v>2004</v>
      </c>
      <c r="B144" s="2" t="s">
        <v>82</v>
      </c>
      <c r="C144" s="2">
        <v>19</v>
      </c>
      <c r="D144" s="8">
        <v>19707</v>
      </c>
    </row>
    <row r="145" spans="1:4">
      <c r="A145" s="2">
        <v>2004</v>
      </c>
      <c r="B145" s="2" t="s">
        <v>83</v>
      </c>
      <c r="C145" s="2">
        <v>20</v>
      </c>
      <c r="D145" s="8">
        <v>7196</v>
      </c>
    </row>
    <row r="146" spans="1:4">
      <c r="A146" s="2">
        <v>2004</v>
      </c>
      <c r="B146" s="2" t="s">
        <v>84</v>
      </c>
      <c r="C146" s="2">
        <v>21</v>
      </c>
      <c r="D146" s="8">
        <v>9450</v>
      </c>
    </row>
    <row r="147" spans="1:4">
      <c r="A147" s="2">
        <v>2004</v>
      </c>
      <c r="B147" s="2" t="s">
        <v>85</v>
      </c>
      <c r="C147" s="2">
        <v>22</v>
      </c>
      <c r="D147" s="8">
        <v>9608</v>
      </c>
    </row>
    <row r="148" spans="1:4">
      <c r="A148" s="2">
        <v>2004</v>
      </c>
      <c r="B148" s="2" t="s">
        <v>86</v>
      </c>
      <c r="C148" s="2">
        <v>23</v>
      </c>
      <c r="D148" s="8">
        <v>8113</v>
      </c>
    </row>
    <row r="149" spans="1:4">
      <c r="A149" s="2">
        <v>2004</v>
      </c>
      <c r="B149" s="2" t="s">
        <v>87</v>
      </c>
      <c r="C149" s="2">
        <v>24</v>
      </c>
      <c r="D149" s="8">
        <v>4215</v>
      </c>
    </row>
    <row r="150" spans="1:4">
      <c r="A150" s="2">
        <v>2004</v>
      </c>
      <c r="B150" s="2" t="s">
        <v>88</v>
      </c>
      <c r="C150" s="2">
        <v>25</v>
      </c>
      <c r="D150" s="8">
        <v>6733</v>
      </c>
    </row>
    <row r="151" spans="1:4">
      <c r="A151" s="2">
        <v>2004</v>
      </c>
      <c r="B151" s="2" t="s">
        <v>89</v>
      </c>
      <c r="C151" s="2">
        <v>26</v>
      </c>
      <c r="D151" s="8">
        <v>7779</v>
      </c>
    </row>
    <row r="152" spans="1:4">
      <c r="A152" s="2">
        <v>2004</v>
      </c>
      <c r="B152" s="2" t="s">
        <v>90</v>
      </c>
      <c r="C152" s="2">
        <v>27</v>
      </c>
      <c r="D152" s="8">
        <v>7757</v>
      </c>
    </row>
    <row r="153" spans="1:4">
      <c r="A153" s="2">
        <v>2004</v>
      </c>
      <c r="B153" s="2" t="s">
        <v>91</v>
      </c>
      <c r="C153" s="2">
        <v>28</v>
      </c>
      <c r="D153" s="8">
        <v>5970</v>
      </c>
    </row>
    <row r="154" spans="1:4">
      <c r="A154" s="2">
        <v>2004</v>
      </c>
      <c r="B154" s="2" t="s">
        <v>92</v>
      </c>
      <c r="C154" s="2">
        <v>29</v>
      </c>
      <c r="D154" s="8">
        <v>8606</v>
      </c>
    </row>
    <row r="155" spans="1:4">
      <c r="A155" s="2">
        <v>2004</v>
      </c>
      <c r="B155" s="2" t="s">
        <v>93</v>
      </c>
      <c r="C155" s="2">
        <v>30</v>
      </c>
      <c r="D155" s="8">
        <v>7880</v>
      </c>
    </row>
    <row r="156" spans="1:4">
      <c r="A156" s="2">
        <v>2004</v>
      </c>
      <c r="B156" s="2" t="s">
        <v>94</v>
      </c>
      <c r="C156" s="2">
        <v>31</v>
      </c>
      <c r="D156" s="8">
        <v>11199</v>
      </c>
    </row>
    <row r="157" spans="1:4">
      <c r="A157" s="2">
        <v>2005</v>
      </c>
      <c r="B157" s="2" t="s">
        <v>64</v>
      </c>
      <c r="C157" s="2">
        <v>1</v>
      </c>
      <c r="D157" s="8">
        <v>45443.6928762332</v>
      </c>
    </row>
    <row r="158" spans="1:4">
      <c r="A158" s="2">
        <v>2005</v>
      </c>
      <c r="B158" s="2" t="s">
        <v>65</v>
      </c>
      <c r="C158" s="2">
        <v>2</v>
      </c>
      <c r="D158" s="8">
        <v>35783.1884955581</v>
      </c>
    </row>
    <row r="159" spans="1:4">
      <c r="A159" s="2">
        <v>2005</v>
      </c>
      <c r="B159" s="2" t="s">
        <v>66</v>
      </c>
      <c r="C159" s="2">
        <v>3</v>
      </c>
      <c r="D159" s="8">
        <v>14782.2597175939</v>
      </c>
    </row>
    <row r="160" spans="1:4">
      <c r="A160" s="2">
        <v>2005</v>
      </c>
      <c r="B160" s="2" t="s">
        <v>67</v>
      </c>
      <c r="C160" s="2">
        <v>4</v>
      </c>
      <c r="D160" s="8">
        <v>12495</v>
      </c>
    </row>
    <row r="161" spans="1:4">
      <c r="A161" s="2">
        <v>2005</v>
      </c>
      <c r="B161" s="2" t="s">
        <v>68</v>
      </c>
      <c r="C161" s="2">
        <v>5</v>
      </c>
      <c r="D161" s="8">
        <v>16330.8186701069</v>
      </c>
    </row>
    <row r="162" spans="1:4">
      <c r="A162" s="2">
        <v>2005</v>
      </c>
      <c r="B162" s="2" t="s">
        <v>69</v>
      </c>
      <c r="C162" s="2">
        <v>6</v>
      </c>
      <c r="D162" s="8">
        <v>18983.2012563673</v>
      </c>
    </row>
    <row r="163" spans="1:4">
      <c r="A163" s="2">
        <v>2005</v>
      </c>
      <c r="B163" s="2" t="s">
        <v>70</v>
      </c>
      <c r="C163" s="2">
        <v>7</v>
      </c>
      <c r="D163" s="8">
        <v>13348</v>
      </c>
    </row>
    <row r="164" spans="1:4">
      <c r="A164" s="2">
        <v>2005</v>
      </c>
      <c r="B164" s="2" t="s">
        <v>71</v>
      </c>
      <c r="C164" s="2">
        <v>8</v>
      </c>
      <c r="D164" s="8">
        <v>14434.0561491724</v>
      </c>
    </row>
    <row r="165" spans="1:4">
      <c r="A165" s="2">
        <v>2005</v>
      </c>
      <c r="B165" s="2" t="s">
        <v>72</v>
      </c>
      <c r="C165" s="2">
        <v>9</v>
      </c>
      <c r="D165" s="8">
        <v>51474</v>
      </c>
    </row>
    <row r="166" spans="1:4">
      <c r="A166" s="2">
        <v>2005</v>
      </c>
      <c r="B166" s="2" t="s">
        <v>73</v>
      </c>
      <c r="C166" s="2">
        <v>10</v>
      </c>
      <c r="D166" s="8">
        <v>24560</v>
      </c>
    </row>
    <row r="167" spans="1:4">
      <c r="A167" s="2">
        <v>2005</v>
      </c>
      <c r="B167" s="2" t="s">
        <v>74</v>
      </c>
      <c r="C167" s="2">
        <v>11</v>
      </c>
      <c r="D167" s="8">
        <v>27702.6846512652</v>
      </c>
    </row>
    <row r="168" spans="1:4">
      <c r="A168" s="2">
        <v>2005</v>
      </c>
      <c r="B168" s="2" t="s">
        <v>75</v>
      </c>
      <c r="C168" s="2">
        <v>12</v>
      </c>
      <c r="D168" s="8">
        <v>8675.14475153894</v>
      </c>
    </row>
    <row r="169" spans="1:4">
      <c r="A169" s="2">
        <v>2005</v>
      </c>
      <c r="B169" s="2" t="s">
        <v>76</v>
      </c>
      <c r="C169" s="2">
        <v>13</v>
      </c>
      <c r="D169" s="8">
        <v>18645.8416122623</v>
      </c>
    </row>
    <row r="170" spans="1:4">
      <c r="A170" s="2">
        <v>2005</v>
      </c>
      <c r="B170" s="2" t="s">
        <v>77</v>
      </c>
      <c r="C170" s="2">
        <v>14</v>
      </c>
      <c r="D170" s="8">
        <v>9440</v>
      </c>
    </row>
    <row r="171" spans="1:4">
      <c r="A171" s="2">
        <v>2005</v>
      </c>
      <c r="B171" s="2" t="s">
        <v>78</v>
      </c>
      <c r="C171" s="2">
        <v>15</v>
      </c>
      <c r="D171" s="8">
        <v>20096.4547387589</v>
      </c>
    </row>
    <row r="172" spans="1:4">
      <c r="A172" s="2">
        <v>2005</v>
      </c>
      <c r="B172" s="2" t="s">
        <v>79</v>
      </c>
      <c r="C172" s="2">
        <v>16</v>
      </c>
      <c r="D172" s="8">
        <v>11346.4979839415</v>
      </c>
    </row>
    <row r="173" spans="1:4">
      <c r="A173" s="2">
        <v>2005</v>
      </c>
      <c r="B173" s="2" t="s">
        <v>80</v>
      </c>
      <c r="C173" s="2">
        <v>17</v>
      </c>
      <c r="D173" s="8">
        <v>11431</v>
      </c>
    </row>
    <row r="174" spans="1:4">
      <c r="A174" s="2">
        <v>2005</v>
      </c>
      <c r="B174" s="2" t="s">
        <v>81</v>
      </c>
      <c r="C174" s="2">
        <v>18</v>
      </c>
      <c r="D174" s="8">
        <v>10426</v>
      </c>
    </row>
    <row r="175" spans="1:4">
      <c r="A175" s="2">
        <v>2005</v>
      </c>
      <c r="B175" s="2" t="s">
        <v>82</v>
      </c>
      <c r="C175" s="2">
        <v>19</v>
      </c>
      <c r="D175" s="8">
        <v>24435.0156428462</v>
      </c>
    </row>
    <row r="176" spans="1:4">
      <c r="A176" s="2">
        <v>2005</v>
      </c>
      <c r="B176" s="2" t="s">
        <v>83</v>
      </c>
      <c r="C176" s="2">
        <v>20</v>
      </c>
      <c r="D176" s="8">
        <v>8787.72899005432</v>
      </c>
    </row>
    <row r="177" spans="1:4">
      <c r="A177" s="2">
        <v>2005</v>
      </c>
      <c r="B177" s="2" t="s">
        <v>84</v>
      </c>
      <c r="C177" s="2">
        <v>21</v>
      </c>
      <c r="D177" s="8">
        <v>10871</v>
      </c>
    </row>
    <row r="178" spans="1:4">
      <c r="A178" s="2">
        <v>2005</v>
      </c>
      <c r="B178" s="2" t="s">
        <v>85</v>
      </c>
      <c r="C178" s="2">
        <v>22</v>
      </c>
      <c r="D178" s="8">
        <v>10982</v>
      </c>
    </row>
    <row r="179" spans="1:4">
      <c r="A179" s="2">
        <v>2005</v>
      </c>
      <c r="B179" s="2" t="s">
        <v>86</v>
      </c>
      <c r="C179" s="2">
        <v>23</v>
      </c>
      <c r="D179" s="8">
        <v>9060</v>
      </c>
    </row>
    <row r="180" spans="1:4">
      <c r="A180" s="2">
        <v>2005</v>
      </c>
      <c r="B180" s="2" t="s">
        <v>87</v>
      </c>
      <c r="C180" s="2">
        <v>24</v>
      </c>
      <c r="D180" s="8">
        <v>5051.96</v>
      </c>
    </row>
    <row r="181" spans="1:4">
      <c r="A181" s="2">
        <v>2005</v>
      </c>
      <c r="B181" s="2" t="s">
        <v>88</v>
      </c>
      <c r="C181" s="2">
        <v>25</v>
      </c>
      <c r="D181" s="8">
        <v>7835</v>
      </c>
    </row>
    <row r="182" spans="1:4">
      <c r="A182" s="2">
        <v>2005</v>
      </c>
      <c r="B182" s="2" t="s">
        <v>89</v>
      </c>
      <c r="C182" s="2">
        <v>26</v>
      </c>
      <c r="D182" s="8">
        <v>9114</v>
      </c>
    </row>
    <row r="183" spans="1:4">
      <c r="A183" s="2">
        <v>2005</v>
      </c>
      <c r="B183" s="2" t="s">
        <v>90</v>
      </c>
      <c r="C183" s="2">
        <v>27</v>
      </c>
      <c r="D183" s="8">
        <v>9899</v>
      </c>
    </row>
    <row r="184" spans="1:4">
      <c r="A184" s="2">
        <v>2005</v>
      </c>
      <c r="B184" s="2" t="s">
        <v>91</v>
      </c>
      <c r="C184" s="2">
        <v>28</v>
      </c>
      <c r="D184" s="8">
        <v>7476.52929271843</v>
      </c>
    </row>
    <row r="185" spans="1:4">
      <c r="A185" s="2">
        <v>2005</v>
      </c>
      <c r="B185" s="2" t="s">
        <v>92</v>
      </c>
      <c r="C185" s="2">
        <v>29</v>
      </c>
      <c r="D185" s="8">
        <v>10044.7403440201</v>
      </c>
    </row>
    <row r="186" spans="1:4">
      <c r="A186" s="2">
        <v>2005</v>
      </c>
      <c r="B186" s="2" t="s">
        <v>93</v>
      </c>
      <c r="C186" s="2">
        <v>30</v>
      </c>
      <c r="D186" s="8">
        <v>10239</v>
      </c>
    </row>
    <row r="187" spans="1:4">
      <c r="A187" s="2">
        <v>2005</v>
      </c>
      <c r="B187" s="2" t="s">
        <v>94</v>
      </c>
      <c r="C187" s="2">
        <v>31</v>
      </c>
      <c r="D187" s="8">
        <v>13108</v>
      </c>
    </row>
    <row r="188" spans="1:4">
      <c r="A188" s="2">
        <v>2006</v>
      </c>
      <c r="B188" s="2" t="s">
        <v>64</v>
      </c>
      <c r="C188" s="2">
        <v>1</v>
      </c>
      <c r="D188" s="8">
        <v>50467</v>
      </c>
    </row>
    <row r="189" spans="1:4">
      <c r="A189" s="2">
        <v>2006</v>
      </c>
      <c r="B189" s="2" t="s">
        <v>65</v>
      </c>
      <c r="C189" s="2">
        <v>2</v>
      </c>
      <c r="D189" s="8">
        <v>41163</v>
      </c>
    </row>
    <row r="190" spans="1:4">
      <c r="A190" s="2">
        <v>2006</v>
      </c>
      <c r="B190" s="2" t="s">
        <v>66</v>
      </c>
      <c r="C190" s="2">
        <v>3</v>
      </c>
      <c r="D190" s="8">
        <v>16962</v>
      </c>
    </row>
    <row r="191" spans="1:4">
      <c r="A191" s="2">
        <v>2006</v>
      </c>
      <c r="B191" s="2" t="s">
        <v>67</v>
      </c>
      <c r="C191" s="2">
        <v>4</v>
      </c>
      <c r="D191" s="8">
        <v>14123</v>
      </c>
    </row>
    <row r="192" spans="1:4">
      <c r="A192" s="2">
        <v>2006</v>
      </c>
      <c r="B192" s="2" t="s">
        <v>68</v>
      </c>
      <c r="C192" s="2">
        <v>5</v>
      </c>
      <c r="D192" s="8">
        <v>20053</v>
      </c>
    </row>
    <row r="193" spans="1:4">
      <c r="A193" s="2">
        <v>2006</v>
      </c>
      <c r="B193" s="2" t="s">
        <v>69</v>
      </c>
      <c r="C193" s="2">
        <v>6</v>
      </c>
      <c r="D193" s="8">
        <v>21788</v>
      </c>
    </row>
    <row r="194" spans="1:4">
      <c r="A194" s="2">
        <v>2006</v>
      </c>
      <c r="B194" s="2" t="s">
        <v>70</v>
      </c>
      <c r="C194" s="2">
        <v>7</v>
      </c>
      <c r="D194" s="8">
        <v>15720</v>
      </c>
    </row>
    <row r="195" spans="1:4">
      <c r="A195" s="2">
        <v>2006</v>
      </c>
      <c r="B195" s="2" t="s">
        <v>71</v>
      </c>
      <c r="C195" s="2">
        <v>8</v>
      </c>
      <c r="D195" s="8">
        <v>16195</v>
      </c>
    </row>
    <row r="196" spans="1:4">
      <c r="A196" s="2">
        <v>2006</v>
      </c>
      <c r="B196" s="2" t="s">
        <v>72</v>
      </c>
      <c r="C196" s="2">
        <v>9</v>
      </c>
      <c r="D196" s="8">
        <v>57695</v>
      </c>
    </row>
    <row r="197" spans="1:4">
      <c r="A197" s="2">
        <v>2006</v>
      </c>
      <c r="B197" s="2" t="s">
        <v>73</v>
      </c>
      <c r="C197" s="2">
        <v>10</v>
      </c>
      <c r="D197" s="8">
        <v>28814</v>
      </c>
    </row>
    <row r="198" spans="1:4">
      <c r="A198" s="2">
        <v>2006</v>
      </c>
      <c r="B198" s="2" t="s">
        <v>74</v>
      </c>
      <c r="C198" s="2">
        <v>11</v>
      </c>
      <c r="D198" s="8">
        <v>31874</v>
      </c>
    </row>
    <row r="199" spans="1:4">
      <c r="A199" s="2">
        <v>2006</v>
      </c>
      <c r="B199" s="2" t="s">
        <v>75</v>
      </c>
      <c r="C199" s="2">
        <v>12</v>
      </c>
      <c r="D199" s="8">
        <v>10055</v>
      </c>
    </row>
    <row r="200" spans="1:4">
      <c r="A200" s="2">
        <v>2006</v>
      </c>
      <c r="B200" s="2" t="s">
        <v>76</v>
      </c>
      <c r="C200" s="2">
        <v>13</v>
      </c>
      <c r="D200" s="8">
        <v>21471</v>
      </c>
    </row>
    <row r="201" spans="1:4">
      <c r="A201" s="2">
        <v>2006</v>
      </c>
      <c r="B201" s="2" t="s">
        <v>77</v>
      </c>
      <c r="C201" s="2">
        <v>14</v>
      </c>
      <c r="D201" s="8">
        <v>10798</v>
      </c>
    </row>
    <row r="202" spans="1:4">
      <c r="A202" s="2">
        <v>2006</v>
      </c>
      <c r="B202" s="2" t="s">
        <v>78</v>
      </c>
      <c r="C202" s="2">
        <v>15</v>
      </c>
      <c r="D202" s="8">
        <v>23794</v>
      </c>
    </row>
    <row r="203" spans="1:4">
      <c r="A203" s="2">
        <v>2006</v>
      </c>
      <c r="B203" s="2" t="s">
        <v>79</v>
      </c>
      <c r="C203" s="2">
        <v>16</v>
      </c>
      <c r="D203" s="8">
        <v>13313</v>
      </c>
    </row>
    <row r="204" spans="1:4">
      <c r="A204" s="2">
        <v>2006</v>
      </c>
      <c r="B204" s="2" t="s">
        <v>80</v>
      </c>
      <c r="C204" s="2">
        <v>17</v>
      </c>
      <c r="D204" s="8">
        <v>13296</v>
      </c>
    </row>
    <row r="205" spans="1:4">
      <c r="A205" s="2">
        <v>2006</v>
      </c>
      <c r="B205" s="2" t="s">
        <v>81</v>
      </c>
      <c r="C205" s="2">
        <v>18</v>
      </c>
      <c r="D205" s="8">
        <v>11950</v>
      </c>
    </row>
    <row r="206" spans="1:4">
      <c r="A206" s="2">
        <v>2006</v>
      </c>
      <c r="B206" s="2" t="s">
        <v>82</v>
      </c>
      <c r="C206" s="2">
        <v>19</v>
      </c>
      <c r="D206" s="8">
        <v>28332</v>
      </c>
    </row>
    <row r="207" spans="1:4">
      <c r="A207" s="2">
        <v>2006</v>
      </c>
      <c r="B207" s="2" t="s">
        <v>83</v>
      </c>
      <c r="C207" s="2">
        <v>20</v>
      </c>
      <c r="D207" s="8">
        <v>10296</v>
      </c>
    </row>
    <row r="208" spans="1:4">
      <c r="A208" s="2">
        <v>2006</v>
      </c>
      <c r="B208" s="2" t="s">
        <v>84</v>
      </c>
      <c r="C208" s="2">
        <v>21</v>
      </c>
      <c r="D208" s="8">
        <v>12654</v>
      </c>
    </row>
    <row r="209" spans="1:4">
      <c r="A209" s="2">
        <v>2006</v>
      </c>
      <c r="B209" s="2" t="s">
        <v>85</v>
      </c>
      <c r="C209" s="2">
        <v>22</v>
      </c>
      <c r="D209" s="8">
        <v>12457</v>
      </c>
    </row>
    <row r="210" spans="1:4">
      <c r="A210" s="2">
        <v>2006</v>
      </c>
      <c r="B210" s="2" t="s">
        <v>86</v>
      </c>
      <c r="C210" s="2">
        <v>23</v>
      </c>
      <c r="D210" s="8">
        <v>10546</v>
      </c>
    </row>
    <row r="211" spans="1:4">
      <c r="A211" s="2">
        <v>2006</v>
      </c>
      <c r="B211" s="2" t="s">
        <v>87</v>
      </c>
      <c r="C211" s="2">
        <v>24</v>
      </c>
      <c r="D211" s="8">
        <v>5787</v>
      </c>
    </row>
    <row r="212" spans="1:4">
      <c r="A212" s="2">
        <v>2006</v>
      </c>
      <c r="B212" s="2" t="s">
        <v>88</v>
      </c>
      <c r="C212" s="2">
        <v>25</v>
      </c>
      <c r="D212" s="8">
        <v>8970</v>
      </c>
    </row>
    <row r="213" spans="1:4">
      <c r="A213" s="2">
        <v>2006</v>
      </c>
      <c r="B213" s="2" t="s">
        <v>89</v>
      </c>
      <c r="C213" s="2">
        <v>26</v>
      </c>
      <c r="D213" s="8">
        <v>10430</v>
      </c>
    </row>
    <row r="214" spans="1:4">
      <c r="A214" s="2">
        <v>2006</v>
      </c>
      <c r="B214" s="2" t="s">
        <v>90</v>
      </c>
      <c r="C214" s="2">
        <v>27</v>
      </c>
      <c r="D214" s="8">
        <v>12138</v>
      </c>
    </row>
    <row r="215" spans="1:4">
      <c r="A215" s="2">
        <v>2006</v>
      </c>
      <c r="B215" s="2" t="s">
        <v>91</v>
      </c>
      <c r="C215" s="2">
        <v>28</v>
      </c>
      <c r="D215" s="8">
        <v>8757</v>
      </c>
    </row>
    <row r="216" spans="1:4">
      <c r="A216" s="2">
        <v>2006</v>
      </c>
      <c r="B216" s="2" t="s">
        <v>92</v>
      </c>
      <c r="C216" s="2">
        <v>29</v>
      </c>
      <c r="D216" s="8">
        <v>11762</v>
      </c>
    </row>
    <row r="217" spans="1:4">
      <c r="A217" s="2">
        <v>2006</v>
      </c>
      <c r="B217" s="2" t="s">
        <v>93</v>
      </c>
      <c r="C217" s="2">
        <v>30</v>
      </c>
      <c r="D217" s="8">
        <v>11847</v>
      </c>
    </row>
    <row r="218" spans="1:4">
      <c r="A218" s="2">
        <v>2006</v>
      </c>
      <c r="B218" s="2" t="s">
        <v>94</v>
      </c>
      <c r="C218" s="2">
        <v>31</v>
      </c>
      <c r="D218" s="8">
        <v>15000</v>
      </c>
    </row>
    <row r="219" spans="1:4">
      <c r="A219" s="2">
        <v>2007</v>
      </c>
      <c r="B219" s="2" t="s">
        <v>64</v>
      </c>
      <c r="C219" s="2">
        <v>1</v>
      </c>
      <c r="D219" s="8">
        <v>58204</v>
      </c>
    </row>
    <row r="220" spans="1:4">
      <c r="A220" s="2">
        <v>2007</v>
      </c>
      <c r="B220" s="2" t="s">
        <v>65</v>
      </c>
      <c r="C220" s="2">
        <v>2</v>
      </c>
      <c r="D220" s="8">
        <v>46122</v>
      </c>
    </row>
    <row r="221" spans="1:4">
      <c r="A221" s="2">
        <v>2007</v>
      </c>
      <c r="B221" s="2" t="s">
        <v>66</v>
      </c>
      <c r="C221" s="2">
        <v>3</v>
      </c>
      <c r="D221" s="8">
        <v>19877</v>
      </c>
    </row>
    <row r="222" spans="1:4">
      <c r="A222" s="2">
        <v>2007</v>
      </c>
      <c r="B222" s="2" t="s">
        <v>67</v>
      </c>
      <c r="C222" s="2">
        <v>4</v>
      </c>
      <c r="D222" s="8">
        <v>16945</v>
      </c>
    </row>
    <row r="223" spans="1:4">
      <c r="A223" s="2">
        <v>2007</v>
      </c>
      <c r="B223" s="2" t="s">
        <v>68</v>
      </c>
      <c r="C223" s="2">
        <v>5</v>
      </c>
      <c r="D223" s="8">
        <v>25393</v>
      </c>
    </row>
    <row r="224" spans="1:4">
      <c r="A224" s="2">
        <v>2007</v>
      </c>
      <c r="B224" s="2" t="s">
        <v>69</v>
      </c>
      <c r="C224" s="2">
        <v>6</v>
      </c>
      <c r="D224" s="8">
        <v>25729</v>
      </c>
    </row>
    <row r="225" spans="1:4">
      <c r="A225" s="2">
        <v>2007</v>
      </c>
      <c r="B225" s="2" t="s">
        <v>70</v>
      </c>
      <c r="C225" s="2">
        <v>7</v>
      </c>
      <c r="D225" s="8">
        <v>19383</v>
      </c>
    </row>
    <row r="226" spans="1:4">
      <c r="A226" s="2">
        <v>2007</v>
      </c>
      <c r="B226" s="2" t="s">
        <v>71</v>
      </c>
      <c r="C226" s="2">
        <v>8</v>
      </c>
      <c r="D226" s="8">
        <v>18478</v>
      </c>
    </row>
    <row r="227" spans="1:4">
      <c r="A227" s="2">
        <v>2007</v>
      </c>
      <c r="B227" s="2" t="s">
        <v>72</v>
      </c>
      <c r="C227" s="2">
        <v>9</v>
      </c>
      <c r="D227" s="8">
        <v>66367</v>
      </c>
    </row>
    <row r="228" spans="1:4">
      <c r="A228" s="2">
        <v>2007</v>
      </c>
      <c r="B228" s="2" t="s">
        <v>73</v>
      </c>
      <c r="C228" s="2">
        <v>10</v>
      </c>
      <c r="D228" s="8">
        <v>33928</v>
      </c>
    </row>
    <row r="229" spans="1:4">
      <c r="A229" s="2">
        <v>2007</v>
      </c>
      <c r="B229" s="2" t="s">
        <v>74</v>
      </c>
      <c r="C229" s="2">
        <v>11</v>
      </c>
      <c r="D229" s="8">
        <v>37411</v>
      </c>
    </row>
    <row r="230" spans="1:4">
      <c r="A230" s="2">
        <v>2007</v>
      </c>
      <c r="B230" s="2" t="s">
        <v>75</v>
      </c>
      <c r="C230" s="2">
        <v>12</v>
      </c>
      <c r="D230" s="8">
        <v>12045</v>
      </c>
    </row>
    <row r="231" spans="1:4">
      <c r="A231" s="2">
        <v>2007</v>
      </c>
      <c r="B231" s="2" t="s">
        <v>76</v>
      </c>
      <c r="C231" s="2">
        <v>13</v>
      </c>
      <c r="D231" s="8">
        <v>25908</v>
      </c>
    </row>
    <row r="232" spans="1:4">
      <c r="A232" s="2">
        <v>2007</v>
      </c>
      <c r="B232" s="2" t="s">
        <v>77</v>
      </c>
      <c r="C232" s="2">
        <v>14</v>
      </c>
      <c r="D232" s="8">
        <v>12633</v>
      </c>
    </row>
    <row r="233" spans="1:4">
      <c r="A233" s="2">
        <v>2007</v>
      </c>
      <c r="B233" s="2" t="s">
        <v>78</v>
      </c>
      <c r="C233" s="2">
        <v>15</v>
      </c>
      <c r="D233" s="8">
        <v>27807</v>
      </c>
    </row>
    <row r="234" spans="1:4">
      <c r="A234" s="2">
        <v>2007</v>
      </c>
      <c r="B234" s="2" t="s">
        <v>79</v>
      </c>
      <c r="C234" s="2">
        <v>16</v>
      </c>
      <c r="D234" s="8">
        <v>16012</v>
      </c>
    </row>
    <row r="235" spans="1:4">
      <c r="A235" s="2">
        <v>2007</v>
      </c>
      <c r="B235" s="2" t="s">
        <v>80</v>
      </c>
      <c r="C235" s="2">
        <v>17</v>
      </c>
      <c r="D235" s="8">
        <v>16206</v>
      </c>
    </row>
    <row r="236" spans="1:4">
      <c r="A236" s="2">
        <v>2007</v>
      </c>
      <c r="B236" s="2" t="s">
        <v>81</v>
      </c>
      <c r="C236" s="2">
        <v>18</v>
      </c>
      <c r="D236" s="8">
        <v>14492</v>
      </c>
    </row>
    <row r="237" spans="1:4">
      <c r="A237" s="2">
        <v>2007</v>
      </c>
      <c r="B237" s="2" t="s">
        <v>82</v>
      </c>
      <c r="C237" s="2">
        <v>19</v>
      </c>
      <c r="D237" s="8">
        <v>33151</v>
      </c>
    </row>
    <row r="238" spans="1:4">
      <c r="A238" s="2">
        <v>2007</v>
      </c>
      <c r="B238" s="2" t="s">
        <v>83</v>
      </c>
      <c r="C238" s="2">
        <v>20</v>
      </c>
      <c r="D238" s="8">
        <v>12555</v>
      </c>
    </row>
    <row r="239" spans="1:4">
      <c r="A239" s="2">
        <v>2007</v>
      </c>
      <c r="B239" s="2" t="s">
        <v>84</v>
      </c>
      <c r="C239" s="2">
        <v>21</v>
      </c>
      <c r="D239" s="8">
        <v>14555</v>
      </c>
    </row>
    <row r="240" spans="1:4">
      <c r="A240" s="2">
        <v>2007</v>
      </c>
      <c r="B240" s="2" t="s">
        <v>85</v>
      </c>
      <c r="C240" s="2">
        <v>22</v>
      </c>
      <c r="D240" s="8">
        <v>14660</v>
      </c>
    </row>
    <row r="241" spans="1:4">
      <c r="A241" s="2">
        <v>2007</v>
      </c>
      <c r="B241" s="2" t="s">
        <v>86</v>
      </c>
      <c r="C241" s="2">
        <v>23</v>
      </c>
      <c r="D241" s="8">
        <v>12893</v>
      </c>
    </row>
    <row r="242" spans="1:4">
      <c r="A242" s="2">
        <v>2007</v>
      </c>
      <c r="B242" s="2" t="s">
        <v>87</v>
      </c>
      <c r="C242" s="2">
        <v>24</v>
      </c>
      <c r="D242" s="8">
        <v>6915</v>
      </c>
    </row>
    <row r="243" spans="1:4">
      <c r="A243" s="2">
        <v>2007</v>
      </c>
      <c r="B243" s="2" t="s">
        <v>88</v>
      </c>
      <c r="C243" s="2">
        <v>25</v>
      </c>
      <c r="D243" s="8">
        <v>10540</v>
      </c>
    </row>
    <row r="244" spans="1:4">
      <c r="A244" s="2">
        <v>2007</v>
      </c>
      <c r="B244" s="2" t="s">
        <v>89</v>
      </c>
      <c r="C244" s="2">
        <v>26</v>
      </c>
      <c r="D244" s="8">
        <v>12109</v>
      </c>
    </row>
    <row r="245" spans="1:4">
      <c r="A245" s="2">
        <v>2007</v>
      </c>
      <c r="B245" s="2" t="s">
        <v>90</v>
      </c>
      <c r="C245" s="2">
        <v>27</v>
      </c>
      <c r="D245" s="8">
        <v>14607</v>
      </c>
    </row>
    <row r="246" spans="1:4">
      <c r="A246" s="2">
        <v>2007</v>
      </c>
      <c r="B246" s="2" t="s">
        <v>91</v>
      </c>
      <c r="C246" s="2">
        <v>28</v>
      </c>
      <c r="D246" s="8">
        <v>10346</v>
      </c>
    </row>
    <row r="247" spans="1:4">
      <c r="A247" s="2">
        <v>2007</v>
      </c>
      <c r="B247" s="2" t="s">
        <v>92</v>
      </c>
      <c r="C247" s="2">
        <v>29</v>
      </c>
      <c r="D247" s="8">
        <v>14257</v>
      </c>
    </row>
    <row r="248" spans="1:4">
      <c r="A248" s="2">
        <v>2007</v>
      </c>
      <c r="B248" s="2" t="s">
        <v>93</v>
      </c>
      <c r="C248" s="2">
        <v>30</v>
      </c>
      <c r="D248" s="8">
        <v>14649</v>
      </c>
    </row>
    <row r="249" spans="1:4">
      <c r="A249" s="2">
        <v>2007</v>
      </c>
      <c r="B249" s="2" t="s">
        <v>94</v>
      </c>
      <c r="C249" s="2">
        <v>31</v>
      </c>
      <c r="D249" s="8">
        <v>16999</v>
      </c>
    </row>
    <row r="250" spans="1:4">
      <c r="A250" s="2">
        <v>2008</v>
      </c>
      <c r="B250" s="2" t="s">
        <v>64</v>
      </c>
      <c r="C250" s="2">
        <v>1</v>
      </c>
      <c r="D250" s="8">
        <v>63029</v>
      </c>
    </row>
    <row r="251" spans="1:4">
      <c r="A251" s="2">
        <v>2008</v>
      </c>
      <c r="B251" s="2" t="s">
        <v>65</v>
      </c>
      <c r="C251" s="2">
        <v>2</v>
      </c>
      <c r="D251" s="8">
        <v>55473</v>
      </c>
    </row>
    <row r="252" spans="1:4">
      <c r="A252" s="2">
        <v>2008</v>
      </c>
      <c r="B252" s="2" t="s">
        <v>66</v>
      </c>
      <c r="C252" s="2">
        <v>3</v>
      </c>
      <c r="D252" s="8">
        <v>23239</v>
      </c>
    </row>
    <row r="253" spans="1:4">
      <c r="A253" s="2">
        <v>2008</v>
      </c>
      <c r="B253" s="2" t="s">
        <v>67</v>
      </c>
      <c r="C253" s="2">
        <v>4</v>
      </c>
      <c r="D253" s="8">
        <v>20398</v>
      </c>
    </row>
    <row r="254" spans="1:4">
      <c r="A254" s="2">
        <v>2008</v>
      </c>
      <c r="B254" s="2" t="s">
        <v>68</v>
      </c>
      <c r="C254" s="2">
        <v>5</v>
      </c>
      <c r="D254" s="8">
        <v>32214</v>
      </c>
    </row>
    <row r="255" spans="1:4">
      <c r="A255" s="2">
        <v>2008</v>
      </c>
      <c r="B255" s="2" t="s">
        <v>69</v>
      </c>
      <c r="C255" s="2">
        <v>6</v>
      </c>
      <c r="D255" s="8">
        <v>31259</v>
      </c>
    </row>
    <row r="256" spans="1:4">
      <c r="A256" s="2">
        <v>2008</v>
      </c>
      <c r="B256" s="2" t="s">
        <v>70</v>
      </c>
      <c r="C256" s="2">
        <v>7</v>
      </c>
      <c r="D256" s="8">
        <v>23514</v>
      </c>
    </row>
    <row r="257" spans="1:4">
      <c r="A257" s="2">
        <v>2008</v>
      </c>
      <c r="B257" s="2" t="s">
        <v>71</v>
      </c>
      <c r="C257" s="2">
        <v>8</v>
      </c>
      <c r="D257" s="8">
        <v>21727</v>
      </c>
    </row>
    <row r="258" spans="1:4">
      <c r="A258" s="2">
        <v>2008</v>
      </c>
      <c r="B258" s="2" t="s">
        <v>72</v>
      </c>
      <c r="C258" s="2">
        <v>9</v>
      </c>
      <c r="D258" s="8">
        <v>73124</v>
      </c>
    </row>
    <row r="259" spans="1:4">
      <c r="A259" s="2">
        <v>2008</v>
      </c>
      <c r="B259" s="2" t="s">
        <v>73</v>
      </c>
      <c r="C259" s="2">
        <v>10</v>
      </c>
      <c r="D259" s="8">
        <v>39622</v>
      </c>
    </row>
    <row r="260" spans="1:4">
      <c r="A260" s="2">
        <v>2008</v>
      </c>
      <c r="B260" s="2" t="s">
        <v>74</v>
      </c>
      <c r="C260" s="2">
        <v>11</v>
      </c>
      <c r="D260" s="8">
        <v>42214</v>
      </c>
    </row>
    <row r="261" spans="1:4">
      <c r="A261" s="2">
        <v>2008</v>
      </c>
      <c r="B261" s="2" t="s">
        <v>75</v>
      </c>
      <c r="C261" s="2">
        <v>12</v>
      </c>
      <c r="D261" s="8">
        <v>14485</v>
      </c>
    </row>
    <row r="262" spans="1:4">
      <c r="A262" s="2">
        <v>2008</v>
      </c>
      <c r="B262" s="2" t="s">
        <v>76</v>
      </c>
      <c r="C262" s="2">
        <v>13</v>
      </c>
      <c r="D262" s="8">
        <v>30123</v>
      </c>
    </row>
    <row r="263" spans="1:4">
      <c r="A263" s="2">
        <v>2008</v>
      </c>
      <c r="B263" s="2" t="s">
        <v>77</v>
      </c>
      <c r="C263" s="2">
        <v>14</v>
      </c>
      <c r="D263" s="8">
        <v>14781</v>
      </c>
    </row>
    <row r="264" spans="1:4">
      <c r="A264" s="2">
        <v>2008</v>
      </c>
      <c r="B264" s="2" t="s">
        <v>78</v>
      </c>
      <c r="C264" s="2">
        <v>15</v>
      </c>
      <c r="D264" s="8">
        <v>33083</v>
      </c>
    </row>
    <row r="265" spans="1:4">
      <c r="A265" s="2">
        <v>2008</v>
      </c>
      <c r="B265" s="2" t="s">
        <v>79</v>
      </c>
      <c r="C265" s="2">
        <v>16</v>
      </c>
      <c r="D265" s="8">
        <v>19593</v>
      </c>
    </row>
    <row r="266" spans="1:4">
      <c r="A266" s="2">
        <v>2008</v>
      </c>
      <c r="B266" s="2" t="s">
        <v>80</v>
      </c>
      <c r="C266" s="2">
        <v>17</v>
      </c>
      <c r="D266" s="8">
        <v>19860</v>
      </c>
    </row>
    <row r="267" spans="1:4">
      <c r="A267" s="2">
        <v>2008</v>
      </c>
      <c r="B267" s="2" t="s">
        <v>81</v>
      </c>
      <c r="C267" s="2">
        <v>18</v>
      </c>
      <c r="D267" s="8">
        <v>17521</v>
      </c>
    </row>
    <row r="268" spans="1:4">
      <c r="A268" s="2">
        <v>2008</v>
      </c>
      <c r="B268" s="2" t="s">
        <v>82</v>
      </c>
      <c r="C268" s="2">
        <v>19</v>
      </c>
      <c r="D268" s="8">
        <v>37589</v>
      </c>
    </row>
    <row r="269" spans="1:4">
      <c r="A269" s="2">
        <v>2008</v>
      </c>
      <c r="B269" s="2" t="s">
        <v>83</v>
      </c>
      <c r="C269" s="2">
        <v>20</v>
      </c>
      <c r="D269" s="8">
        <v>14966</v>
      </c>
    </row>
    <row r="270" spans="1:4">
      <c r="A270" s="2">
        <v>2008</v>
      </c>
      <c r="B270" s="2" t="s">
        <v>84</v>
      </c>
      <c r="C270" s="2">
        <v>21</v>
      </c>
      <c r="D270" s="8">
        <v>17175</v>
      </c>
    </row>
    <row r="271" spans="1:4">
      <c r="A271" s="2">
        <v>2008</v>
      </c>
      <c r="B271" s="2" t="s">
        <v>85</v>
      </c>
      <c r="C271" s="2">
        <v>22</v>
      </c>
      <c r="D271" s="8">
        <v>18025</v>
      </c>
    </row>
    <row r="272" spans="1:4">
      <c r="A272" s="2">
        <v>2008</v>
      </c>
      <c r="B272" s="2" t="s">
        <v>86</v>
      </c>
      <c r="C272" s="2">
        <v>23</v>
      </c>
      <c r="D272" s="8">
        <v>15378</v>
      </c>
    </row>
    <row r="273" spans="1:4">
      <c r="A273" s="2">
        <v>2008</v>
      </c>
      <c r="B273" s="2" t="s">
        <v>87</v>
      </c>
      <c r="C273" s="2">
        <v>24</v>
      </c>
      <c r="D273" s="8">
        <v>8824</v>
      </c>
    </row>
    <row r="274" spans="1:4">
      <c r="A274" s="2">
        <v>2008</v>
      </c>
      <c r="B274" s="2" t="s">
        <v>88</v>
      </c>
      <c r="C274" s="2">
        <v>25</v>
      </c>
      <c r="D274" s="8">
        <v>12587</v>
      </c>
    </row>
    <row r="275" spans="1:4">
      <c r="A275" s="2">
        <v>2008</v>
      </c>
      <c r="B275" s="2" t="s">
        <v>89</v>
      </c>
      <c r="C275" s="2">
        <v>26</v>
      </c>
      <c r="D275" s="8">
        <v>13861</v>
      </c>
    </row>
    <row r="276" spans="1:4">
      <c r="A276" s="2">
        <v>2008</v>
      </c>
      <c r="B276" s="2" t="s">
        <v>90</v>
      </c>
      <c r="C276" s="2">
        <v>27</v>
      </c>
      <c r="D276" s="8">
        <v>18246</v>
      </c>
    </row>
    <row r="277" spans="1:4">
      <c r="A277" s="2">
        <v>2008</v>
      </c>
      <c r="B277" s="2" t="s">
        <v>91</v>
      </c>
      <c r="C277" s="2">
        <v>28</v>
      </c>
      <c r="D277" s="8">
        <v>12110</v>
      </c>
    </row>
    <row r="278" spans="1:4">
      <c r="A278" s="2">
        <v>2008</v>
      </c>
      <c r="B278" s="2" t="s">
        <v>92</v>
      </c>
      <c r="C278" s="2">
        <v>29</v>
      </c>
      <c r="D278" s="8">
        <v>17389</v>
      </c>
    </row>
    <row r="279" spans="1:4">
      <c r="A279" s="2">
        <v>2008</v>
      </c>
      <c r="B279" s="2" t="s">
        <v>93</v>
      </c>
      <c r="C279" s="2">
        <v>30</v>
      </c>
      <c r="D279" s="8">
        <v>17892</v>
      </c>
    </row>
    <row r="280" spans="1:4">
      <c r="A280" s="2">
        <v>2008</v>
      </c>
      <c r="B280" s="2" t="s">
        <v>94</v>
      </c>
      <c r="C280" s="2">
        <v>31</v>
      </c>
      <c r="D280" s="8">
        <v>19893</v>
      </c>
    </row>
    <row r="281" spans="1:4">
      <c r="A281" s="2">
        <v>2009</v>
      </c>
      <c r="B281" s="2" t="s">
        <v>64</v>
      </c>
      <c r="C281" s="2">
        <v>1</v>
      </c>
      <c r="D281" s="8">
        <v>70452</v>
      </c>
    </row>
    <row r="282" spans="1:4">
      <c r="A282" s="2">
        <v>2009</v>
      </c>
      <c r="B282" s="2" t="s">
        <v>65</v>
      </c>
      <c r="C282" s="2">
        <v>2</v>
      </c>
      <c r="D282" s="8">
        <v>62574</v>
      </c>
    </row>
    <row r="283" spans="1:4">
      <c r="A283" s="2">
        <v>2009</v>
      </c>
      <c r="B283" s="2" t="s">
        <v>66</v>
      </c>
      <c r="C283" s="2">
        <v>3</v>
      </c>
      <c r="D283" s="8">
        <v>24581</v>
      </c>
    </row>
    <row r="284" spans="1:4">
      <c r="A284" s="2">
        <v>2009</v>
      </c>
      <c r="B284" s="2" t="s">
        <v>67</v>
      </c>
      <c r="C284" s="2">
        <v>4</v>
      </c>
      <c r="D284" s="8">
        <v>21522</v>
      </c>
    </row>
    <row r="285" spans="1:4">
      <c r="A285" s="2">
        <v>2009</v>
      </c>
      <c r="B285" s="2" t="s">
        <v>68</v>
      </c>
      <c r="C285" s="2">
        <v>5</v>
      </c>
      <c r="D285" s="8">
        <v>40282</v>
      </c>
    </row>
    <row r="286" spans="1:4">
      <c r="A286" s="2">
        <v>2009</v>
      </c>
      <c r="B286" s="2" t="s">
        <v>69</v>
      </c>
      <c r="C286" s="2">
        <v>6</v>
      </c>
      <c r="D286" s="8">
        <v>35239</v>
      </c>
    </row>
    <row r="287" spans="1:4">
      <c r="A287" s="2">
        <v>2009</v>
      </c>
      <c r="B287" s="2" t="s">
        <v>70</v>
      </c>
      <c r="C287" s="2">
        <v>7</v>
      </c>
      <c r="D287" s="8">
        <v>26595</v>
      </c>
    </row>
    <row r="288" spans="1:4">
      <c r="A288" s="2">
        <v>2009</v>
      </c>
      <c r="B288" s="2" t="s">
        <v>71</v>
      </c>
      <c r="C288" s="2">
        <v>8</v>
      </c>
      <c r="D288" s="8">
        <v>22447</v>
      </c>
    </row>
    <row r="289" spans="1:4">
      <c r="A289" s="2">
        <v>2009</v>
      </c>
      <c r="B289" s="2" t="s">
        <v>72</v>
      </c>
      <c r="C289" s="2">
        <v>9</v>
      </c>
      <c r="D289" s="8">
        <v>78989</v>
      </c>
    </row>
    <row r="290" spans="1:4">
      <c r="A290" s="2">
        <v>2009</v>
      </c>
      <c r="B290" s="2" t="s">
        <v>73</v>
      </c>
      <c r="C290" s="2">
        <v>10</v>
      </c>
      <c r="D290" s="8">
        <v>44744</v>
      </c>
    </row>
    <row r="291" spans="1:4">
      <c r="A291" s="2">
        <v>2009</v>
      </c>
      <c r="B291" s="2" t="s">
        <v>74</v>
      </c>
      <c r="C291" s="2">
        <v>11</v>
      </c>
      <c r="D291" s="8">
        <v>44641</v>
      </c>
    </row>
    <row r="292" spans="1:4">
      <c r="A292" s="2">
        <v>2009</v>
      </c>
      <c r="B292" s="2" t="s">
        <v>75</v>
      </c>
      <c r="C292" s="2">
        <v>12</v>
      </c>
      <c r="D292" s="8">
        <v>16407.66</v>
      </c>
    </row>
    <row r="293" spans="1:4">
      <c r="A293" s="2">
        <v>2009</v>
      </c>
      <c r="B293" s="2" t="s">
        <v>76</v>
      </c>
      <c r="C293" s="2">
        <v>13</v>
      </c>
      <c r="D293" s="8">
        <v>33840</v>
      </c>
    </row>
    <row r="294" spans="1:4">
      <c r="A294" s="2">
        <v>2009</v>
      </c>
      <c r="B294" s="2" t="s">
        <v>77</v>
      </c>
      <c r="C294" s="2">
        <v>14</v>
      </c>
      <c r="D294" s="8">
        <v>17335</v>
      </c>
    </row>
    <row r="295" spans="1:4">
      <c r="A295" s="2">
        <v>2009</v>
      </c>
      <c r="B295" s="2" t="s">
        <v>78</v>
      </c>
      <c r="C295" s="2">
        <v>15</v>
      </c>
      <c r="D295" s="8">
        <v>35894</v>
      </c>
    </row>
    <row r="296" spans="1:4">
      <c r="A296" s="2">
        <v>2009</v>
      </c>
      <c r="B296" s="2" t="s">
        <v>79</v>
      </c>
      <c r="C296" s="2">
        <v>16</v>
      </c>
      <c r="D296" s="8">
        <v>20597</v>
      </c>
    </row>
    <row r="297" spans="1:4">
      <c r="A297" s="2">
        <v>2009</v>
      </c>
      <c r="B297" s="2" t="s">
        <v>80</v>
      </c>
      <c r="C297" s="2">
        <v>17</v>
      </c>
      <c r="D297" s="8">
        <v>22677</v>
      </c>
    </row>
    <row r="298" spans="1:4">
      <c r="A298" s="2">
        <v>2009</v>
      </c>
      <c r="B298" s="2" t="s">
        <v>81</v>
      </c>
      <c r="C298" s="2">
        <v>18</v>
      </c>
      <c r="D298" s="8">
        <v>20428</v>
      </c>
    </row>
    <row r="299" spans="1:4">
      <c r="A299" s="2">
        <v>2009</v>
      </c>
      <c r="B299" s="2" t="s">
        <v>82</v>
      </c>
      <c r="C299" s="2">
        <v>19</v>
      </c>
      <c r="D299" s="8">
        <v>41166</v>
      </c>
    </row>
    <row r="300" spans="1:4">
      <c r="A300" s="2">
        <v>2009</v>
      </c>
      <c r="B300" s="2" t="s">
        <v>83</v>
      </c>
      <c r="C300" s="2">
        <v>20</v>
      </c>
      <c r="D300" s="8">
        <v>16045</v>
      </c>
    </row>
    <row r="301" spans="1:4">
      <c r="A301" s="2">
        <v>2009</v>
      </c>
      <c r="B301" s="2" t="s">
        <v>84</v>
      </c>
      <c r="C301" s="2">
        <v>21</v>
      </c>
      <c r="D301" s="8">
        <v>19254</v>
      </c>
    </row>
    <row r="302" spans="1:4">
      <c r="A302" s="2">
        <v>2009</v>
      </c>
      <c r="B302" s="2" t="s">
        <v>85</v>
      </c>
      <c r="C302" s="2">
        <v>22</v>
      </c>
      <c r="D302" s="8">
        <v>22920</v>
      </c>
    </row>
    <row r="303" spans="1:4">
      <c r="A303" s="2">
        <v>2009</v>
      </c>
      <c r="B303" s="2" t="s">
        <v>86</v>
      </c>
      <c r="C303" s="2">
        <v>23</v>
      </c>
      <c r="D303" s="8">
        <v>17339</v>
      </c>
    </row>
    <row r="304" spans="1:4">
      <c r="A304" s="2">
        <v>2009</v>
      </c>
      <c r="B304" s="2" t="s">
        <v>87</v>
      </c>
      <c r="C304" s="2">
        <v>24</v>
      </c>
      <c r="D304" s="8">
        <v>10309</v>
      </c>
    </row>
    <row r="305" spans="1:4">
      <c r="A305" s="2">
        <v>2009</v>
      </c>
      <c r="B305" s="2" t="s">
        <v>88</v>
      </c>
      <c r="C305" s="2">
        <v>25</v>
      </c>
      <c r="D305" s="8">
        <v>13539</v>
      </c>
    </row>
    <row r="306" spans="1:4">
      <c r="A306" s="2">
        <v>2009</v>
      </c>
      <c r="B306" s="2" t="s">
        <v>89</v>
      </c>
      <c r="C306" s="2">
        <v>26</v>
      </c>
      <c r="D306" s="8">
        <v>15295</v>
      </c>
    </row>
    <row r="307" spans="1:4">
      <c r="A307" s="2">
        <v>2009</v>
      </c>
      <c r="B307" s="2" t="s">
        <v>90</v>
      </c>
      <c r="C307" s="2">
        <v>27</v>
      </c>
      <c r="D307" s="8">
        <v>21688</v>
      </c>
    </row>
    <row r="308" spans="1:4">
      <c r="A308" s="2">
        <v>2009</v>
      </c>
      <c r="B308" s="2" t="s">
        <v>91</v>
      </c>
      <c r="C308" s="2">
        <v>28</v>
      </c>
      <c r="D308" s="8">
        <v>12872</v>
      </c>
    </row>
    <row r="309" spans="1:4">
      <c r="A309" s="2">
        <v>2009</v>
      </c>
      <c r="B309" s="2" t="s">
        <v>92</v>
      </c>
      <c r="C309" s="2">
        <v>29</v>
      </c>
      <c r="D309" s="8">
        <v>19454</v>
      </c>
    </row>
    <row r="310" spans="1:4">
      <c r="A310" s="2">
        <v>2009</v>
      </c>
      <c r="B310" s="2" t="s">
        <v>93</v>
      </c>
      <c r="C310" s="2">
        <v>30</v>
      </c>
      <c r="D310" s="8">
        <v>21777</v>
      </c>
    </row>
    <row r="311" spans="1:4">
      <c r="A311" s="2">
        <v>2009</v>
      </c>
      <c r="B311" s="2" t="s">
        <v>94</v>
      </c>
      <c r="C311" s="2">
        <v>31</v>
      </c>
      <c r="D311" s="8">
        <v>19942</v>
      </c>
    </row>
    <row r="312" spans="1:4">
      <c r="A312" s="2">
        <v>2010</v>
      </c>
      <c r="B312" s="2" t="s">
        <v>64</v>
      </c>
      <c r="C312" s="2">
        <v>1</v>
      </c>
      <c r="D312" s="9">
        <v>75943</v>
      </c>
    </row>
    <row r="313" spans="1:4">
      <c r="A313" s="2">
        <v>2010</v>
      </c>
      <c r="B313" s="2" t="s">
        <v>65</v>
      </c>
      <c r="C313" s="2">
        <v>2</v>
      </c>
      <c r="D313" s="9">
        <v>72994</v>
      </c>
    </row>
    <row r="314" spans="1:4">
      <c r="A314" s="2">
        <v>2010</v>
      </c>
      <c r="B314" s="2" t="s">
        <v>66</v>
      </c>
      <c r="C314" s="2">
        <v>3</v>
      </c>
      <c r="D314" s="9">
        <v>28668</v>
      </c>
    </row>
    <row r="315" spans="1:4">
      <c r="A315" s="2">
        <v>2010</v>
      </c>
      <c r="B315" s="2" t="s">
        <v>67</v>
      </c>
      <c r="C315" s="2">
        <v>4</v>
      </c>
      <c r="D315" s="9">
        <v>26283</v>
      </c>
    </row>
    <row r="316" spans="1:4">
      <c r="A316" s="2">
        <v>2010</v>
      </c>
      <c r="B316" s="2" t="s">
        <v>68</v>
      </c>
      <c r="C316" s="2">
        <v>5</v>
      </c>
      <c r="D316" s="9">
        <v>47347</v>
      </c>
    </row>
    <row r="317" spans="1:4">
      <c r="A317" s="2">
        <v>2010</v>
      </c>
      <c r="B317" s="2" t="s">
        <v>69</v>
      </c>
      <c r="C317" s="2">
        <v>6</v>
      </c>
      <c r="D317" s="9">
        <v>42355</v>
      </c>
    </row>
    <row r="318" spans="1:4">
      <c r="A318" s="2">
        <v>2010</v>
      </c>
      <c r="B318" s="2" t="s">
        <v>70</v>
      </c>
      <c r="C318" s="2">
        <v>7</v>
      </c>
      <c r="D318" s="9">
        <v>31599</v>
      </c>
    </row>
    <row r="319" spans="1:4">
      <c r="A319" s="2">
        <v>2010</v>
      </c>
      <c r="B319" s="2" t="s">
        <v>71</v>
      </c>
      <c r="C319" s="2">
        <v>8</v>
      </c>
      <c r="D319" s="9">
        <v>27076</v>
      </c>
    </row>
    <row r="320" spans="1:4">
      <c r="A320" s="2">
        <v>2010</v>
      </c>
      <c r="B320" s="2" t="s">
        <v>72</v>
      </c>
      <c r="C320" s="2">
        <v>9</v>
      </c>
      <c r="D320" s="9">
        <v>76074.49</v>
      </c>
    </row>
    <row r="321" spans="1:4">
      <c r="A321" s="2">
        <v>2010</v>
      </c>
      <c r="B321" s="2" t="s">
        <v>73</v>
      </c>
      <c r="C321" s="2">
        <v>10</v>
      </c>
      <c r="D321" s="9">
        <v>52840</v>
      </c>
    </row>
    <row r="322" spans="1:4">
      <c r="A322" s="2">
        <v>2010</v>
      </c>
      <c r="B322" s="2" t="s">
        <v>74</v>
      </c>
      <c r="C322" s="2">
        <v>11</v>
      </c>
      <c r="D322" s="9">
        <v>51711</v>
      </c>
    </row>
    <row r="323" spans="1:4">
      <c r="A323" s="2">
        <v>2010</v>
      </c>
      <c r="B323" s="2" t="s">
        <v>75</v>
      </c>
      <c r="C323" s="2">
        <v>12</v>
      </c>
      <c r="D323" s="9">
        <v>20888</v>
      </c>
    </row>
    <row r="324" spans="1:4">
      <c r="A324" s="2">
        <v>2010</v>
      </c>
      <c r="B324" s="2" t="s">
        <v>76</v>
      </c>
      <c r="C324" s="2">
        <v>13</v>
      </c>
      <c r="D324" s="9">
        <v>40025</v>
      </c>
    </row>
    <row r="325" spans="1:4">
      <c r="A325" s="2">
        <v>2010</v>
      </c>
      <c r="B325" s="2" t="s">
        <v>77</v>
      </c>
      <c r="C325" s="2">
        <v>14</v>
      </c>
      <c r="D325" s="9">
        <v>21253</v>
      </c>
    </row>
    <row r="326" spans="1:4">
      <c r="A326" s="2">
        <v>2010</v>
      </c>
      <c r="B326" s="2" t="s">
        <v>78</v>
      </c>
      <c r="C326" s="2">
        <v>15</v>
      </c>
      <c r="D326" s="9">
        <v>41106</v>
      </c>
    </row>
    <row r="327" spans="1:4">
      <c r="A327" s="2">
        <v>2010</v>
      </c>
      <c r="B327" s="2" t="s">
        <v>79</v>
      </c>
      <c r="C327" s="2">
        <v>16</v>
      </c>
      <c r="D327" s="9">
        <v>24446</v>
      </c>
    </row>
    <row r="328" spans="1:4">
      <c r="A328" s="2">
        <v>2010</v>
      </c>
      <c r="B328" s="2" t="s">
        <v>80</v>
      </c>
      <c r="C328" s="2">
        <v>17</v>
      </c>
      <c r="D328" s="9">
        <v>27906</v>
      </c>
    </row>
    <row r="329" spans="1:4">
      <c r="A329" s="2">
        <v>2010</v>
      </c>
      <c r="B329" s="2" t="s">
        <v>81</v>
      </c>
      <c r="C329" s="2">
        <v>18</v>
      </c>
      <c r="D329" s="9">
        <v>24719</v>
      </c>
    </row>
    <row r="330" spans="1:4">
      <c r="A330" s="2">
        <v>2010</v>
      </c>
      <c r="B330" s="2" t="s">
        <v>82</v>
      </c>
      <c r="C330" s="2">
        <v>19</v>
      </c>
      <c r="D330" s="9">
        <v>44736</v>
      </c>
    </row>
    <row r="331" spans="1:4">
      <c r="A331" s="2">
        <v>2010</v>
      </c>
      <c r="B331" s="2" t="s">
        <v>83</v>
      </c>
      <c r="C331" s="2">
        <v>20</v>
      </c>
      <c r="D331" s="9">
        <v>20219</v>
      </c>
    </row>
    <row r="332" spans="1:4">
      <c r="A332" s="2">
        <v>2010</v>
      </c>
      <c r="B332" s="2" t="s">
        <v>84</v>
      </c>
      <c r="C332" s="2">
        <v>21</v>
      </c>
      <c r="D332" s="9">
        <v>23831</v>
      </c>
    </row>
    <row r="333" spans="1:4">
      <c r="A333" s="2">
        <v>2010</v>
      </c>
      <c r="B333" s="2" t="s">
        <v>85</v>
      </c>
      <c r="C333" s="2">
        <v>22</v>
      </c>
      <c r="D333" s="9">
        <v>27596</v>
      </c>
    </row>
    <row r="334" spans="1:4">
      <c r="A334" s="2">
        <v>2010</v>
      </c>
      <c r="B334" s="2" t="s">
        <v>86</v>
      </c>
      <c r="C334" s="2">
        <v>23</v>
      </c>
      <c r="D334" s="9">
        <v>21182</v>
      </c>
    </row>
    <row r="335" spans="1:4">
      <c r="A335" s="2">
        <v>2010</v>
      </c>
      <c r="B335" s="2" t="s">
        <v>87</v>
      </c>
      <c r="C335" s="2">
        <v>24</v>
      </c>
      <c r="D335" s="9">
        <v>13119</v>
      </c>
    </row>
    <row r="336" spans="1:4">
      <c r="A336" s="2">
        <v>2010</v>
      </c>
      <c r="B336" s="2" t="s">
        <v>88</v>
      </c>
      <c r="C336" s="2">
        <v>25</v>
      </c>
      <c r="D336" s="9">
        <v>15752</v>
      </c>
    </row>
    <row r="337" spans="1:4">
      <c r="A337" s="2">
        <v>2010</v>
      </c>
      <c r="B337" s="2" t="s">
        <v>89</v>
      </c>
      <c r="C337" s="2">
        <v>26</v>
      </c>
      <c r="D337" s="9">
        <v>17319</v>
      </c>
    </row>
    <row r="338" spans="1:4">
      <c r="A338" s="2">
        <v>2010</v>
      </c>
      <c r="B338" s="2" t="s">
        <v>90</v>
      </c>
      <c r="C338" s="2">
        <v>27</v>
      </c>
      <c r="D338" s="9">
        <v>27133</v>
      </c>
    </row>
    <row r="339" spans="1:4">
      <c r="A339" s="2">
        <v>2010</v>
      </c>
      <c r="B339" s="2" t="s">
        <v>91</v>
      </c>
      <c r="C339" s="2">
        <v>28</v>
      </c>
      <c r="D339" s="9">
        <v>16113</v>
      </c>
    </row>
    <row r="340" spans="1:4">
      <c r="A340" s="2">
        <v>2010</v>
      </c>
      <c r="B340" s="2" t="s">
        <v>92</v>
      </c>
      <c r="C340" s="2">
        <v>29</v>
      </c>
      <c r="D340" s="9">
        <v>24115</v>
      </c>
    </row>
    <row r="341" spans="1:4">
      <c r="A341" s="2">
        <v>2010</v>
      </c>
      <c r="B341" s="2" t="s">
        <v>93</v>
      </c>
      <c r="C341" s="2">
        <v>30</v>
      </c>
      <c r="D341" s="9">
        <v>26860</v>
      </c>
    </row>
    <row r="342" spans="1:4">
      <c r="A342" s="2">
        <v>2010</v>
      </c>
      <c r="B342" s="2" t="s">
        <v>94</v>
      </c>
      <c r="C342" s="2">
        <v>31</v>
      </c>
      <c r="D342" s="9">
        <v>25034</v>
      </c>
    </row>
    <row r="343" spans="1:4">
      <c r="A343" s="2">
        <v>2011</v>
      </c>
      <c r="B343" s="2" t="s">
        <v>64</v>
      </c>
      <c r="C343" s="2">
        <v>1</v>
      </c>
      <c r="D343" s="10">
        <v>81658</v>
      </c>
    </row>
    <row r="344" spans="1:4">
      <c r="A344" s="2">
        <v>2011</v>
      </c>
      <c r="B344" s="2" t="s">
        <v>65</v>
      </c>
      <c r="C344" s="2">
        <v>2</v>
      </c>
      <c r="D344" s="10">
        <v>85213</v>
      </c>
    </row>
    <row r="345" spans="1:4">
      <c r="A345" s="2">
        <v>2011</v>
      </c>
      <c r="B345" s="2" t="s">
        <v>66</v>
      </c>
      <c r="C345" s="2">
        <v>3</v>
      </c>
      <c r="D345" s="10">
        <v>33969</v>
      </c>
    </row>
    <row r="346" spans="1:4">
      <c r="A346" s="2">
        <v>2011</v>
      </c>
      <c r="B346" s="2" t="s">
        <v>67</v>
      </c>
      <c r="C346" s="2">
        <v>4</v>
      </c>
      <c r="D346" s="10">
        <v>31357</v>
      </c>
    </row>
    <row r="347" spans="1:4">
      <c r="A347" s="2">
        <v>2011</v>
      </c>
      <c r="B347" s="2" t="s">
        <v>68</v>
      </c>
      <c r="C347" s="2">
        <v>5</v>
      </c>
      <c r="D347" s="10">
        <v>57974</v>
      </c>
    </row>
    <row r="348" spans="1:4">
      <c r="A348" s="2">
        <v>2011</v>
      </c>
      <c r="B348" s="2" t="s">
        <v>69</v>
      </c>
      <c r="C348" s="2">
        <v>6</v>
      </c>
      <c r="D348" s="10">
        <v>50760</v>
      </c>
    </row>
    <row r="349" spans="1:4">
      <c r="A349" s="2">
        <v>2011</v>
      </c>
      <c r="B349" s="2" t="s">
        <v>70</v>
      </c>
      <c r="C349" s="2">
        <v>7</v>
      </c>
      <c r="D349" s="10">
        <v>38460</v>
      </c>
    </row>
    <row r="350" spans="1:4">
      <c r="A350" s="2">
        <v>2011</v>
      </c>
      <c r="B350" s="2" t="s">
        <v>71</v>
      </c>
      <c r="C350" s="2">
        <v>8</v>
      </c>
      <c r="D350" s="10">
        <v>32819</v>
      </c>
    </row>
    <row r="351" spans="1:4">
      <c r="A351" s="2">
        <v>2011</v>
      </c>
      <c r="B351" s="2" t="s">
        <v>72</v>
      </c>
      <c r="C351" s="2">
        <v>9</v>
      </c>
      <c r="D351" s="10">
        <v>82560</v>
      </c>
    </row>
    <row r="352" spans="1:4">
      <c r="A352" s="2">
        <v>2011</v>
      </c>
      <c r="B352" s="2" t="s">
        <v>73</v>
      </c>
      <c r="C352" s="2">
        <v>10</v>
      </c>
      <c r="D352" s="10">
        <v>62290</v>
      </c>
    </row>
    <row r="353" spans="1:4">
      <c r="A353" s="2">
        <v>2011</v>
      </c>
      <c r="B353" s="2" t="s">
        <v>74</v>
      </c>
      <c r="C353" s="2">
        <v>11</v>
      </c>
      <c r="D353" s="10">
        <v>59249</v>
      </c>
    </row>
    <row r="354" spans="1:4">
      <c r="A354" s="2">
        <v>2011</v>
      </c>
      <c r="B354" s="2" t="s">
        <v>75</v>
      </c>
      <c r="C354" s="2">
        <v>12</v>
      </c>
      <c r="D354" s="10">
        <v>25659</v>
      </c>
    </row>
    <row r="355" spans="1:4">
      <c r="A355" s="2">
        <v>2011</v>
      </c>
      <c r="B355" s="2" t="s">
        <v>76</v>
      </c>
      <c r="C355" s="2">
        <v>13</v>
      </c>
      <c r="D355" s="10">
        <v>47377</v>
      </c>
    </row>
    <row r="356" spans="1:4">
      <c r="A356" s="2">
        <v>2011</v>
      </c>
      <c r="B356" s="2" t="s">
        <v>77</v>
      </c>
      <c r="C356" s="2">
        <v>14</v>
      </c>
      <c r="D356" s="10">
        <v>26150</v>
      </c>
    </row>
    <row r="357" spans="1:4">
      <c r="A357" s="2">
        <v>2011</v>
      </c>
      <c r="B357" s="2" t="s">
        <v>78</v>
      </c>
      <c r="C357" s="2">
        <v>15</v>
      </c>
      <c r="D357" s="10">
        <v>47335</v>
      </c>
    </row>
    <row r="358" spans="1:4">
      <c r="A358" s="2">
        <v>2011</v>
      </c>
      <c r="B358" s="2" t="s">
        <v>79</v>
      </c>
      <c r="C358" s="2">
        <v>16</v>
      </c>
      <c r="D358" s="10">
        <v>28661</v>
      </c>
    </row>
    <row r="359" spans="1:4">
      <c r="A359" s="2">
        <v>2011</v>
      </c>
      <c r="B359" s="2" t="s">
        <v>80</v>
      </c>
      <c r="C359" s="2">
        <v>17</v>
      </c>
      <c r="D359" s="10">
        <v>34197</v>
      </c>
    </row>
    <row r="360" spans="1:4">
      <c r="A360" s="2">
        <v>2011</v>
      </c>
      <c r="B360" s="2" t="s">
        <v>81</v>
      </c>
      <c r="C360" s="2">
        <v>18</v>
      </c>
      <c r="D360" s="10">
        <v>29880</v>
      </c>
    </row>
    <row r="361" spans="1:4">
      <c r="A361" s="2">
        <v>2011</v>
      </c>
      <c r="B361" s="2" t="s">
        <v>82</v>
      </c>
      <c r="C361" s="2">
        <v>19</v>
      </c>
      <c r="D361" s="10">
        <v>50807</v>
      </c>
    </row>
    <row r="362" spans="1:4">
      <c r="A362" s="2">
        <v>2011</v>
      </c>
      <c r="B362" s="2" t="s">
        <v>83</v>
      </c>
      <c r="C362" s="2">
        <v>20</v>
      </c>
      <c r="D362" s="10">
        <v>25326</v>
      </c>
    </row>
    <row r="363" spans="1:4">
      <c r="A363" s="2">
        <v>2011</v>
      </c>
      <c r="B363" s="2" t="s">
        <v>84</v>
      </c>
      <c r="C363" s="2">
        <v>21</v>
      </c>
      <c r="D363" s="10">
        <v>28898</v>
      </c>
    </row>
    <row r="364" spans="1:4">
      <c r="A364" s="2">
        <v>2011</v>
      </c>
      <c r="B364" s="2" t="s">
        <v>85</v>
      </c>
      <c r="C364" s="2">
        <v>22</v>
      </c>
      <c r="D364" s="10">
        <v>34500</v>
      </c>
    </row>
    <row r="365" spans="1:4">
      <c r="A365" s="2">
        <v>2011</v>
      </c>
      <c r="B365" s="2" t="s">
        <v>86</v>
      </c>
      <c r="C365" s="2">
        <v>23</v>
      </c>
      <c r="D365" s="10">
        <v>26133</v>
      </c>
    </row>
    <row r="366" spans="1:4">
      <c r="A366" s="2">
        <v>2011</v>
      </c>
      <c r="B366" s="2" t="s">
        <v>87</v>
      </c>
      <c r="C366" s="2">
        <v>24</v>
      </c>
      <c r="D366" s="10">
        <v>16413</v>
      </c>
    </row>
    <row r="367" spans="1:4">
      <c r="A367" s="2">
        <v>2011</v>
      </c>
      <c r="B367" s="2" t="s">
        <v>88</v>
      </c>
      <c r="C367" s="2">
        <v>25</v>
      </c>
      <c r="D367" s="10">
        <v>19265</v>
      </c>
    </row>
    <row r="368" spans="1:4">
      <c r="A368" s="2">
        <v>2011</v>
      </c>
      <c r="B368" s="2" t="s">
        <v>89</v>
      </c>
      <c r="C368" s="2">
        <v>26</v>
      </c>
      <c r="D368" s="10">
        <v>20077</v>
      </c>
    </row>
    <row r="369" spans="1:4">
      <c r="A369" s="2">
        <v>2011</v>
      </c>
      <c r="B369" s="2" t="s">
        <v>90</v>
      </c>
      <c r="C369" s="2">
        <v>27</v>
      </c>
      <c r="D369" s="10">
        <v>33464</v>
      </c>
    </row>
    <row r="370" spans="1:4">
      <c r="A370" s="2">
        <v>2011</v>
      </c>
      <c r="B370" s="2" t="s">
        <v>91</v>
      </c>
      <c r="C370" s="2">
        <v>28</v>
      </c>
      <c r="D370" s="10">
        <v>19595</v>
      </c>
    </row>
    <row r="371" spans="1:4">
      <c r="A371" s="2">
        <v>2011</v>
      </c>
      <c r="B371" s="2" t="s">
        <v>92</v>
      </c>
      <c r="C371" s="2">
        <v>29</v>
      </c>
      <c r="D371" s="10">
        <v>29522</v>
      </c>
    </row>
    <row r="372" spans="1:4">
      <c r="A372" s="2">
        <v>2011</v>
      </c>
      <c r="B372" s="2" t="s">
        <v>93</v>
      </c>
      <c r="C372" s="2">
        <v>30</v>
      </c>
      <c r="D372" s="10">
        <v>33043</v>
      </c>
    </row>
    <row r="373" spans="1:4">
      <c r="A373" s="2">
        <v>2011</v>
      </c>
      <c r="B373" s="2" t="s">
        <v>94</v>
      </c>
      <c r="C373" s="2">
        <v>31</v>
      </c>
      <c r="D373" s="10">
        <v>30087</v>
      </c>
    </row>
    <row r="374" spans="1:4">
      <c r="A374" s="2">
        <v>2012</v>
      </c>
      <c r="B374" s="2" t="s">
        <v>64</v>
      </c>
      <c r="C374" s="2">
        <v>1</v>
      </c>
      <c r="D374" s="9">
        <v>87475</v>
      </c>
    </row>
    <row r="375" spans="1:4">
      <c r="A375" s="2">
        <v>2012</v>
      </c>
      <c r="B375" s="2" t="s">
        <v>65</v>
      </c>
      <c r="C375" s="2">
        <v>2</v>
      </c>
      <c r="D375" s="9">
        <v>93173</v>
      </c>
    </row>
    <row r="376" spans="1:4">
      <c r="A376" s="2">
        <v>2012</v>
      </c>
      <c r="B376" s="2" t="s">
        <v>66</v>
      </c>
      <c r="C376" s="2">
        <v>3</v>
      </c>
      <c r="D376" s="9">
        <v>36584</v>
      </c>
    </row>
    <row r="377" spans="1:4">
      <c r="A377" s="2">
        <v>2012</v>
      </c>
      <c r="B377" s="2" t="s">
        <v>67</v>
      </c>
      <c r="C377" s="2">
        <v>4</v>
      </c>
      <c r="D377" s="9">
        <v>33628</v>
      </c>
    </row>
    <row r="378" spans="1:4">
      <c r="A378" s="2">
        <v>2012</v>
      </c>
      <c r="B378" s="2" t="s">
        <v>68</v>
      </c>
      <c r="C378" s="2">
        <v>5</v>
      </c>
      <c r="D378" s="9">
        <v>63886</v>
      </c>
    </row>
    <row r="379" spans="1:4">
      <c r="A379" s="2">
        <v>2012</v>
      </c>
      <c r="B379" s="2" t="s">
        <v>69</v>
      </c>
      <c r="C379" s="2">
        <v>6</v>
      </c>
      <c r="D379" s="9">
        <v>56649</v>
      </c>
    </row>
    <row r="380" spans="1:4">
      <c r="A380" s="2">
        <v>2012</v>
      </c>
      <c r="B380" s="2" t="s">
        <v>70</v>
      </c>
      <c r="C380" s="2">
        <v>7</v>
      </c>
      <c r="D380" s="9">
        <v>43415</v>
      </c>
    </row>
    <row r="381" spans="1:4">
      <c r="A381" s="2">
        <v>2012</v>
      </c>
      <c r="B381" s="2" t="s">
        <v>71</v>
      </c>
      <c r="C381" s="2">
        <v>8</v>
      </c>
      <c r="D381" s="9">
        <v>35711</v>
      </c>
    </row>
    <row r="382" spans="1:4">
      <c r="A382" s="2">
        <v>2012</v>
      </c>
      <c r="B382" s="2" t="s">
        <v>72</v>
      </c>
      <c r="C382" s="2">
        <v>9</v>
      </c>
      <c r="D382" s="9">
        <v>85373</v>
      </c>
    </row>
    <row r="383" spans="1:4">
      <c r="A383" s="2">
        <v>2012</v>
      </c>
      <c r="B383" s="2" t="s">
        <v>73</v>
      </c>
      <c r="C383" s="2">
        <v>10</v>
      </c>
      <c r="D383" s="9">
        <v>68347</v>
      </c>
    </row>
    <row r="384" spans="1:4">
      <c r="A384" s="2">
        <v>2012</v>
      </c>
      <c r="B384" s="2" t="s">
        <v>74</v>
      </c>
      <c r="C384" s="2">
        <v>11</v>
      </c>
      <c r="D384" s="9">
        <v>63374</v>
      </c>
    </row>
    <row r="385" spans="1:4">
      <c r="A385" s="2">
        <v>2012</v>
      </c>
      <c r="B385" s="2" t="s">
        <v>75</v>
      </c>
      <c r="C385" s="2">
        <v>12</v>
      </c>
      <c r="D385" s="9">
        <v>28792</v>
      </c>
    </row>
    <row r="386" spans="1:4">
      <c r="A386" s="2">
        <v>2012</v>
      </c>
      <c r="B386" s="2" t="s">
        <v>76</v>
      </c>
      <c r="C386" s="2">
        <v>13</v>
      </c>
      <c r="D386" s="9">
        <v>52763</v>
      </c>
    </row>
    <row r="387" spans="1:4">
      <c r="A387" s="2">
        <v>2012</v>
      </c>
      <c r="B387" s="2" t="s">
        <v>77</v>
      </c>
      <c r="C387" s="2">
        <v>14</v>
      </c>
      <c r="D387" s="9">
        <v>28800</v>
      </c>
    </row>
    <row r="388" spans="1:4">
      <c r="A388" s="2">
        <v>2012</v>
      </c>
      <c r="B388" s="2" t="s">
        <v>78</v>
      </c>
      <c r="C388" s="2">
        <v>15</v>
      </c>
      <c r="D388" s="9">
        <v>51768</v>
      </c>
    </row>
    <row r="389" spans="1:4">
      <c r="A389" s="2">
        <v>2012</v>
      </c>
      <c r="B389" s="2" t="s">
        <v>79</v>
      </c>
      <c r="C389" s="2">
        <v>16</v>
      </c>
      <c r="D389" s="9">
        <v>31499</v>
      </c>
    </row>
    <row r="390" spans="1:4">
      <c r="A390" s="2">
        <v>2012</v>
      </c>
      <c r="B390" s="2" t="s">
        <v>80</v>
      </c>
      <c r="C390" s="2">
        <v>17</v>
      </c>
      <c r="D390" s="9">
        <v>38572</v>
      </c>
    </row>
    <row r="391" spans="1:4">
      <c r="A391" s="2">
        <v>2012</v>
      </c>
      <c r="B391" s="2" t="s">
        <v>81</v>
      </c>
      <c r="C391" s="2">
        <v>18</v>
      </c>
      <c r="D391" s="9">
        <v>33480</v>
      </c>
    </row>
    <row r="392" spans="1:4">
      <c r="A392" s="2">
        <v>2012</v>
      </c>
      <c r="B392" s="2" t="s">
        <v>82</v>
      </c>
      <c r="C392" s="2">
        <v>19</v>
      </c>
      <c r="D392" s="9">
        <v>54095</v>
      </c>
    </row>
    <row r="393" spans="1:4">
      <c r="A393" s="2">
        <v>2012</v>
      </c>
      <c r="B393" s="2" t="s">
        <v>83</v>
      </c>
      <c r="C393" s="2">
        <v>20</v>
      </c>
      <c r="D393" s="9">
        <v>27952</v>
      </c>
    </row>
    <row r="394" spans="1:4">
      <c r="A394" s="2">
        <v>2012</v>
      </c>
      <c r="B394" s="2" t="s">
        <v>84</v>
      </c>
      <c r="C394" s="2">
        <v>21</v>
      </c>
      <c r="D394" s="9">
        <v>32377</v>
      </c>
    </row>
    <row r="395" spans="1:4">
      <c r="A395" s="2">
        <v>2012</v>
      </c>
      <c r="B395" s="2" t="s">
        <v>85</v>
      </c>
      <c r="C395" s="2">
        <v>22</v>
      </c>
      <c r="D395" s="9">
        <v>38914</v>
      </c>
    </row>
    <row r="396" spans="1:4">
      <c r="A396" s="2">
        <v>2012</v>
      </c>
      <c r="B396" s="2" t="s">
        <v>86</v>
      </c>
      <c r="C396" s="2">
        <v>23</v>
      </c>
      <c r="D396" s="9">
        <v>29608</v>
      </c>
    </row>
    <row r="397" spans="1:4">
      <c r="A397" s="2">
        <v>2012</v>
      </c>
      <c r="B397" s="2" t="s">
        <v>87</v>
      </c>
      <c r="C397" s="2">
        <v>24</v>
      </c>
      <c r="D397" s="9">
        <v>19710</v>
      </c>
    </row>
    <row r="398" spans="1:4">
      <c r="A398" s="2">
        <v>2012</v>
      </c>
      <c r="B398" s="2" t="s">
        <v>88</v>
      </c>
      <c r="C398" s="2">
        <v>25</v>
      </c>
      <c r="D398" s="9">
        <v>22195</v>
      </c>
    </row>
    <row r="399" spans="1:4">
      <c r="A399" s="2">
        <v>2012</v>
      </c>
      <c r="B399" s="2" t="s">
        <v>89</v>
      </c>
      <c r="C399" s="2">
        <v>26</v>
      </c>
      <c r="D399" s="9">
        <v>22936</v>
      </c>
    </row>
    <row r="400" spans="1:4">
      <c r="A400" s="2">
        <v>2012</v>
      </c>
      <c r="B400" s="2" t="s">
        <v>90</v>
      </c>
      <c r="C400" s="2">
        <v>27</v>
      </c>
      <c r="D400" s="9">
        <v>38564</v>
      </c>
    </row>
    <row r="401" spans="1:4">
      <c r="A401" s="2">
        <v>2012</v>
      </c>
      <c r="B401" s="2" t="s">
        <v>91</v>
      </c>
      <c r="C401" s="2">
        <v>28</v>
      </c>
      <c r="D401" s="9">
        <v>21978</v>
      </c>
    </row>
    <row r="402" spans="1:4">
      <c r="A402" s="2">
        <v>2012</v>
      </c>
      <c r="B402" s="2" t="s">
        <v>92</v>
      </c>
      <c r="C402" s="2">
        <v>29</v>
      </c>
      <c r="D402" s="9">
        <v>33181</v>
      </c>
    </row>
    <row r="403" spans="1:4">
      <c r="A403" s="2">
        <v>2012</v>
      </c>
      <c r="B403" s="2" t="s">
        <v>93</v>
      </c>
      <c r="C403" s="2">
        <v>30</v>
      </c>
      <c r="D403" s="9">
        <v>36394</v>
      </c>
    </row>
    <row r="404" spans="1:4">
      <c r="A404" s="2">
        <v>2012</v>
      </c>
      <c r="B404" s="2" t="s">
        <v>94</v>
      </c>
      <c r="C404" s="2">
        <v>31</v>
      </c>
      <c r="D404" s="9">
        <v>33796</v>
      </c>
    </row>
    <row r="405" spans="1:4">
      <c r="A405" s="2">
        <v>2013</v>
      </c>
      <c r="B405" s="2" t="s">
        <v>64</v>
      </c>
      <c r="C405" s="2">
        <v>1</v>
      </c>
      <c r="D405" s="9">
        <v>94647.8812647881</v>
      </c>
    </row>
    <row r="406" spans="1:4">
      <c r="A406" s="2">
        <v>2013</v>
      </c>
      <c r="B406" s="2" t="s">
        <v>65</v>
      </c>
      <c r="C406" s="2">
        <v>2</v>
      </c>
      <c r="D406" s="9">
        <v>100105.428785316</v>
      </c>
    </row>
    <row r="407" spans="1:4">
      <c r="A407" s="2">
        <v>2013</v>
      </c>
      <c r="B407" s="2" t="s">
        <v>66</v>
      </c>
      <c r="C407" s="2">
        <v>3</v>
      </c>
      <c r="D407" s="9">
        <v>38909</v>
      </c>
    </row>
    <row r="408" spans="1:4">
      <c r="A408" s="2">
        <v>2013</v>
      </c>
      <c r="B408" s="2" t="s">
        <v>67</v>
      </c>
      <c r="C408" s="2">
        <v>4</v>
      </c>
      <c r="D408" s="9">
        <v>34983.8342796138</v>
      </c>
    </row>
    <row r="409" spans="1:4">
      <c r="A409" s="2">
        <v>2013</v>
      </c>
      <c r="B409" s="2" t="s">
        <v>68</v>
      </c>
      <c r="C409" s="2">
        <v>5</v>
      </c>
      <c r="D409" s="9">
        <v>67835.6007711404</v>
      </c>
    </row>
    <row r="410" spans="1:4">
      <c r="A410" s="2">
        <v>2013</v>
      </c>
      <c r="B410" s="2" t="s">
        <v>69</v>
      </c>
      <c r="C410" s="2">
        <v>6</v>
      </c>
      <c r="D410" s="9">
        <v>61996.172684816</v>
      </c>
    </row>
    <row r="411" spans="1:4">
      <c r="A411" s="2">
        <v>2013</v>
      </c>
      <c r="B411" s="2" t="s">
        <v>70</v>
      </c>
      <c r="C411" s="2">
        <v>7</v>
      </c>
      <c r="D411" s="9">
        <v>47428</v>
      </c>
    </row>
    <row r="412" spans="1:4">
      <c r="A412" s="2">
        <v>2013</v>
      </c>
      <c r="B412" s="2" t="s">
        <v>71</v>
      </c>
      <c r="C412" s="2">
        <v>8</v>
      </c>
      <c r="D412" s="9">
        <v>37696.9664738372</v>
      </c>
    </row>
    <row r="413" spans="1:4">
      <c r="A413" s="2">
        <v>2013</v>
      </c>
      <c r="B413" s="2" t="s">
        <v>72</v>
      </c>
      <c r="C413" s="2">
        <v>9</v>
      </c>
      <c r="D413" s="9">
        <v>90993</v>
      </c>
    </row>
    <row r="414" spans="1:4">
      <c r="A414" s="2">
        <v>2013</v>
      </c>
      <c r="B414" s="2" t="s">
        <v>73</v>
      </c>
      <c r="C414" s="2">
        <v>10</v>
      </c>
      <c r="D414" s="9">
        <v>75354</v>
      </c>
    </row>
    <row r="415" spans="1:4">
      <c r="A415" s="2">
        <v>2013</v>
      </c>
      <c r="B415" s="2" t="s">
        <v>74</v>
      </c>
      <c r="C415" s="2">
        <v>11</v>
      </c>
      <c r="D415" s="9">
        <v>68804.7198177676</v>
      </c>
    </row>
    <row r="416" spans="1:4">
      <c r="A416" s="2">
        <v>2013</v>
      </c>
      <c r="B416" s="2" t="s">
        <v>75</v>
      </c>
      <c r="C416" s="2">
        <v>12</v>
      </c>
      <c r="D416" s="9">
        <v>32000.8938259278</v>
      </c>
    </row>
    <row r="417" spans="1:4">
      <c r="A417" s="2">
        <v>2013</v>
      </c>
      <c r="B417" s="2" t="s">
        <v>76</v>
      </c>
      <c r="C417" s="2">
        <v>13</v>
      </c>
      <c r="D417" s="9">
        <v>58145</v>
      </c>
    </row>
    <row r="418" spans="1:4">
      <c r="A418" s="2">
        <v>2013</v>
      </c>
      <c r="B418" s="2" t="s">
        <v>77</v>
      </c>
      <c r="C418" s="2">
        <v>14</v>
      </c>
      <c r="D418" s="9">
        <v>31930</v>
      </c>
    </row>
    <row r="419" spans="1:4">
      <c r="A419" s="2">
        <v>2013</v>
      </c>
      <c r="B419" s="2" t="s">
        <v>78</v>
      </c>
      <c r="C419" s="2">
        <v>15</v>
      </c>
      <c r="D419" s="9">
        <v>56884.937064392</v>
      </c>
    </row>
    <row r="420" spans="1:4">
      <c r="A420" s="2">
        <v>2013</v>
      </c>
      <c r="B420" s="2" t="s">
        <v>79</v>
      </c>
      <c r="C420" s="2">
        <v>16</v>
      </c>
      <c r="D420" s="9">
        <v>34211.4883022477</v>
      </c>
    </row>
    <row r="421" spans="1:4">
      <c r="A421" s="2">
        <v>2013</v>
      </c>
      <c r="B421" s="2" t="s">
        <v>80</v>
      </c>
      <c r="C421" s="2">
        <v>17</v>
      </c>
      <c r="D421" s="9">
        <v>42825.76</v>
      </c>
    </row>
    <row r="422" spans="1:4">
      <c r="A422" s="2">
        <v>2013</v>
      </c>
      <c r="B422" s="2" t="s">
        <v>81</v>
      </c>
      <c r="C422" s="2">
        <v>18</v>
      </c>
      <c r="D422" s="9">
        <v>36943</v>
      </c>
    </row>
    <row r="423" spans="1:4">
      <c r="A423" s="2">
        <v>2013</v>
      </c>
      <c r="B423" s="2" t="s">
        <v>82</v>
      </c>
      <c r="C423" s="2">
        <v>19</v>
      </c>
      <c r="D423" s="9">
        <v>58833</v>
      </c>
    </row>
    <row r="424" spans="1:4">
      <c r="A424" s="2">
        <v>2013</v>
      </c>
      <c r="B424" s="2" t="s">
        <v>83</v>
      </c>
      <c r="C424" s="2">
        <v>20</v>
      </c>
      <c r="D424" s="9">
        <v>30741.2062546538</v>
      </c>
    </row>
    <row r="425" spans="1:4">
      <c r="A425" s="2">
        <v>2013</v>
      </c>
      <c r="B425" s="2" t="s">
        <v>84</v>
      </c>
      <c r="C425" s="2">
        <v>21</v>
      </c>
      <c r="D425" s="9">
        <v>35663</v>
      </c>
    </row>
    <row r="426" spans="1:4">
      <c r="A426" s="2">
        <v>2013</v>
      </c>
      <c r="B426" s="2" t="s">
        <v>85</v>
      </c>
      <c r="C426" s="2">
        <v>22</v>
      </c>
      <c r="D426" s="9">
        <v>43223</v>
      </c>
    </row>
    <row r="427" spans="1:4">
      <c r="A427" s="2">
        <v>2013</v>
      </c>
      <c r="B427" s="2" t="s">
        <v>86</v>
      </c>
      <c r="C427" s="2">
        <v>23</v>
      </c>
      <c r="D427" s="9">
        <v>32617</v>
      </c>
    </row>
    <row r="428" spans="1:4">
      <c r="A428" s="2">
        <v>2013</v>
      </c>
      <c r="B428" s="2" t="s">
        <v>87</v>
      </c>
      <c r="C428" s="2">
        <v>24</v>
      </c>
      <c r="D428" s="9">
        <v>23151</v>
      </c>
    </row>
    <row r="429" spans="1:4">
      <c r="A429" s="2">
        <v>2013</v>
      </c>
      <c r="B429" s="2" t="s">
        <v>88</v>
      </c>
      <c r="C429" s="2">
        <v>25</v>
      </c>
      <c r="D429" s="9">
        <v>25322</v>
      </c>
    </row>
    <row r="430" spans="1:4">
      <c r="A430" s="2">
        <v>2013</v>
      </c>
      <c r="B430" s="2" t="s">
        <v>89</v>
      </c>
      <c r="C430" s="2">
        <v>26</v>
      </c>
      <c r="D430" s="9">
        <v>26326</v>
      </c>
    </row>
    <row r="431" spans="1:4">
      <c r="A431" s="2">
        <v>2013</v>
      </c>
      <c r="B431" s="2" t="s">
        <v>90</v>
      </c>
      <c r="C431" s="2">
        <v>27</v>
      </c>
      <c r="D431" s="9">
        <v>43117</v>
      </c>
    </row>
    <row r="432" spans="1:4">
      <c r="A432" s="2">
        <v>2013</v>
      </c>
      <c r="B432" s="2" t="s">
        <v>91</v>
      </c>
      <c r="C432" s="2">
        <v>28</v>
      </c>
      <c r="D432" s="9">
        <v>24538.8511204823</v>
      </c>
    </row>
    <row r="433" spans="1:4">
      <c r="A433" s="2">
        <v>2013</v>
      </c>
      <c r="B433" s="2" t="s">
        <v>92</v>
      </c>
      <c r="C433" s="2">
        <v>29</v>
      </c>
      <c r="D433" s="9">
        <v>36875</v>
      </c>
    </row>
    <row r="434" spans="1:4">
      <c r="A434" s="2">
        <v>2013</v>
      </c>
      <c r="B434" s="2" t="s">
        <v>93</v>
      </c>
      <c r="C434" s="2">
        <v>30</v>
      </c>
      <c r="D434" s="9">
        <v>39613</v>
      </c>
    </row>
    <row r="435" spans="1:4">
      <c r="A435" s="2">
        <v>2013</v>
      </c>
      <c r="B435" s="2" t="s">
        <v>94</v>
      </c>
      <c r="C435" s="2">
        <v>31</v>
      </c>
      <c r="D435" s="9">
        <v>37552.5452071122</v>
      </c>
    </row>
    <row r="436" spans="1:4">
      <c r="A436" s="2">
        <v>2014</v>
      </c>
      <c r="B436" s="2" t="s">
        <v>64</v>
      </c>
      <c r="C436" s="2">
        <v>1</v>
      </c>
      <c r="D436" s="9">
        <v>99995</v>
      </c>
    </row>
    <row r="437" spans="1:4">
      <c r="A437" s="2">
        <v>2014</v>
      </c>
      <c r="B437" s="2" t="s">
        <v>65</v>
      </c>
      <c r="C437" s="2">
        <v>2</v>
      </c>
      <c r="D437" s="9">
        <v>105231.346729028</v>
      </c>
    </row>
    <row r="438" spans="1:4">
      <c r="A438" s="2">
        <v>2014</v>
      </c>
      <c r="B438" s="2" t="s">
        <v>66</v>
      </c>
      <c r="C438" s="2">
        <v>3</v>
      </c>
      <c r="D438" s="9">
        <v>39984</v>
      </c>
    </row>
    <row r="439" spans="1:4">
      <c r="A439" s="2">
        <v>2014</v>
      </c>
      <c r="B439" s="2" t="s">
        <v>67</v>
      </c>
      <c r="C439" s="2">
        <v>4</v>
      </c>
      <c r="D439" s="9">
        <v>35070</v>
      </c>
    </row>
    <row r="440" spans="1:4">
      <c r="A440" s="2">
        <v>2014</v>
      </c>
      <c r="B440" s="2" t="s">
        <v>68</v>
      </c>
      <c r="C440" s="2">
        <v>5</v>
      </c>
      <c r="D440" s="9">
        <v>71046.3688334882</v>
      </c>
    </row>
    <row r="441" spans="1:4">
      <c r="A441" s="2">
        <v>2014</v>
      </c>
      <c r="B441" s="2" t="s">
        <v>69</v>
      </c>
      <c r="C441" s="2">
        <v>6</v>
      </c>
      <c r="D441" s="9">
        <v>65201.1843753559</v>
      </c>
    </row>
    <row r="442" spans="1:4">
      <c r="A442" s="2">
        <v>2014</v>
      </c>
      <c r="B442" s="2" t="s">
        <v>70</v>
      </c>
      <c r="C442" s="2">
        <v>7</v>
      </c>
      <c r="D442" s="9">
        <v>50160</v>
      </c>
    </row>
    <row r="443" spans="1:4">
      <c r="A443" s="2">
        <v>2014</v>
      </c>
      <c r="B443" s="2" t="s">
        <v>71</v>
      </c>
      <c r="C443" s="2">
        <v>8</v>
      </c>
      <c r="D443" s="9">
        <v>39226.3338859837</v>
      </c>
    </row>
    <row r="444" spans="1:4">
      <c r="A444" s="2">
        <v>2014</v>
      </c>
      <c r="B444" s="2" t="s">
        <v>72</v>
      </c>
      <c r="C444" s="2">
        <v>9</v>
      </c>
      <c r="D444" s="9">
        <v>97370</v>
      </c>
    </row>
    <row r="445" spans="1:4">
      <c r="A445" s="2">
        <v>2014</v>
      </c>
      <c r="B445" s="2" t="s">
        <v>73</v>
      </c>
      <c r="C445" s="2">
        <v>10</v>
      </c>
      <c r="D445" s="9">
        <v>81874</v>
      </c>
    </row>
    <row r="446" spans="1:4">
      <c r="A446" s="2">
        <v>2014</v>
      </c>
      <c r="B446" s="2" t="s">
        <v>74</v>
      </c>
      <c r="C446" s="2">
        <v>11</v>
      </c>
      <c r="D446" s="9">
        <v>73002.0534254043</v>
      </c>
    </row>
    <row r="447" spans="1:4">
      <c r="A447" s="2">
        <v>2014</v>
      </c>
      <c r="B447" s="2" t="s">
        <v>75</v>
      </c>
      <c r="C447" s="2">
        <v>12</v>
      </c>
      <c r="D447" s="9">
        <v>34424.6121839061</v>
      </c>
    </row>
    <row r="448" spans="1:4">
      <c r="A448" s="2">
        <v>2014</v>
      </c>
      <c r="B448" s="2" t="s">
        <v>76</v>
      </c>
      <c r="C448" s="2">
        <v>13</v>
      </c>
      <c r="D448" s="9">
        <v>63472</v>
      </c>
    </row>
    <row r="449" spans="1:4">
      <c r="A449" s="2">
        <v>2014</v>
      </c>
      <c r="B449" s="2" t="s">
        <v>77</v>
      </c>
      <c r="C449" s="2">
        <v>14</v>
      </c>
      <c r="D449" s="9">
        <v>34674</v>
      </c>
    </row>
    <row r="450" spans="1:4">
      <c r="A450" s="2">
        <v>2014</v>
      </c>
      <c r="B450" s="2" t="s">
        <v>78</v>
      </c>
      <c r="C450" s="2">
        <v>15</v>
      </c>
      <c r="D450" s="9">
        <v>60879.1047579211</v>
      </c>
    </row>
    <row r="451" spans="1:4">
      <c r="A451" s="2">
        <v>2014</v>
      </c>
      <c r="B451" s="2" t="s">
        <v>79</v>
      </c>
      <c r="C451" s="2">
        <v>16</v>
      </c>
      <c r="D451" s="9">
        <v>37071.7173324845</v>
      </c>
    </row>
    <row r="452" spans="1:4">
      <c r="A452" s="2">
        <v>2014</v>
      </c>
      <c r="B452" s="2" t="s">
        <v>80</v>
      </c>
      <c r="C452" s="2">
        <v>17</v>
      </c>
      <c r="D452" s="9">
        <v>47144.6</v>
      </c>
    </row>
    <row r="453" spans="1:4">
      <c r="A453" s="2">
        <v>2014</v>
      </c>
      <c r="B453" s="2" t="s">
        <v>81</v>
      </c>
      <c r="C453" s="2">
        <v>18</v>
      </c>
      <c r="D453" s="9">
        <v>40270.5442512074</v>
      </c>
    </row>
    <row r="454" spans="1:4">
      <c r="A454" s="2">
        <v>2014</v>
      </c>
      <c r="B454" s="2" t="s">
        <v>82</v>
      </c>
      <c r="C454" s="2">
        <v>19</v>
      </c>
      <c r="D454" s="9">
        <v>63469</v>
      </c>
    </row>
    <row r="455" spans="1:4">
      <c r="A455" s="2">
        <v>2014</v>
      </c>
      <c r="B455" s="2" t="s">
        <v>83</v>
      </c>
      <c r="C455" s="2">
        <v>20</v>
      </c>
      <c r="D455" s="9">
        <v>33089.6090046007</v>
      </c>
    </row>
    <row r="456" spans="1:4">
      <c r="A456" s="2">
        <v>2014</v>
      </c>
      <c r="B456" s="2" t="s">
        <v>84</v>
      </c>
      <c r="C456" s="2">
        <v>21</v>
      </c>
      <c r="D456" s="9">
        <v>38923.7</v>
      </c>
    </row>
    <row r="457" spans="1:4">
      <c r="A457" s="2">
        <v>2014</v>
      </c>
      <c r="B457" s="2" t="s">
        <v>85</v>
      </c>
      <c r="C457" s="2">
        <v>22</v>
      </c>
      <c r="D457" s="9">
        <v>47850</v>
      </c>
    </row>
    <row r="458" spans="1:4">
      <c r="A458" s="2">
        <v>2014</v>
      </c>
      <c r="B458" s="2" t="s">
        <v>86</v>
      </c>
      <c r="C458" s="2">
        <v>23</v>
      </c>
      <c r="D458" s="9">
        <v>35128</v>
      </c>
    </row>
    <row r="459" spans="1:4">
      <c r="A459" s="2">
        <v>2014</v>
      </c>
      <c r="B459" s="2" t="s">
        <v>87</v>
      </c>
      <c r="C459" s="2">
        <v>24</v>
      </c>
      <c r="D459" s="9">
        <v>26437</v>
      </c>
    </row>
    <row r="460" spans="1:4">
      <c r="A460" s="2">
        <v>2014</v>
      </c>
      <c r="B460" s="2" t="s">
        <v>88</v>
      </c>
      <c r="C460" s="2">
        <v>25</v>
      </c>
      <c r="D460" s="9">
        <v>27263.6349130365</v>
      </c>
    </row>
    <row r="461" spans="1:4">
      <c r="A461" s="2">
        <v>2014</v>
      </c>
      <c r="B461" s="2" t="s">
        <v>89</v>
      </c>
      <c r="C461" s="2">
        <v>26</v>
      </c>
      <c r="D461" s="9">
        <v>29252</v>
      </c>
    </row>
    <row r="462" spans="1:4">
      <c r="A462" s="2">
        <v>2014</v>
      </c>
      <c r="B462" s="2" t="s">
        <v>90</v>
      </c>
      <c r="C462" s="2">
        <v>27</v>
      </c>
      <c r="D462" s="9">
        <v>46929</v>
      </c>
    </row>
    <row r="463" spans="1:4">
      <c r="A463" s="2">
        <v>2014</v>
      </c>
      <c r="B463" s="2" t="s">
        <v>91</v>
      </c>
      <c r="C463" s="2">
        <v>28</v>
      </c>
      <c r="D463" s="9">
        <v>26432.9157307621</v>
      </c>
    </row>
    <row r="464" spans="1:4">
      <c r="A464" s="2">
        <v>2014</v>
      </c>
      <c r="B464" s="2" t="s">
        <v>92</v>
      </c>
      <c r="C464" s="2">
        <v>29</v>
      </c>
      <c r="D464" s="9">
        <v>39671</v>
      </c>
    </row>
    <row r="465" spans="1:4">
      <c r="A465" s="2">
        <v>2014</v>
      </c>
      <c r="B465" s="2" t="s">
        <v>93</v>
      </c>
      <c r="C465" s="2">
        <v>30</v>
      </c>
      <c r="D465" s="9">
        <v>41834</v>
      </c>
    </row>
    <row r="466" spans="1:4">
      <c r="A466" s="2">
        <v>2014</v>
      </c>
      <c r="B466" s="2" t="s">
        <v>94</v>
      </c>
      <c r="C466" s="2">
        <v>31</v>
      </c>
      <c r="D466" s="9">
        <v>40648</v>
      </c>
    </row>
    <row r="467" spans="1:4">
      <c r="A467" s="2">
        <v>2015</v>
      </c>
      <c r="B467" s="2" t="s">
        <v>64</v>
      </c>
      <c r="C467" s="2">
        <v>1</v>
      </c>
      <c r="D467" s="9">
        <v>106497</v>
      </c>
    </row>
    <row r="468" spans="1:4">
      <c r="A468" s="2">
        <v>2015</v>
      </c>
      <c r="B468" s="2" t="s">
        <v>65</v>
      </c>
      <c r="C468" s="2">
        <v>2</v>
      </c>
      <c r="D468" s="9">
        <v>107960.088257566</v>
      </c>
    </row>
    <row r="469" spans="1:4">
      <c r="A469" s="2">
        <v>2015</v>
      </c>
      <c r="B469" s="2" t="s">
        <v>66</v>
      </c>
      <c r="C469" s="2">
        <v>3</v>
      </c>
      <c r="D469" s="9">
        <v>40255</v>
      </c>
    </row>
    <row r="470" spans="1:4">
      <c r="A470" s="2">
        <v>2015</v>
      </c>
      <c r="B470" s="2" t="s">
        <v>67</v>
      </c>
      <c r="C470" s="2">
        <v>4</v>
      </c>
      <c r="D470" s="9">
        <v>34918.71</v>
      </c>
    </row>
    <row r="471" spans="1:4">
      <c r="A471" s="2">
        <v>2015</v>
      </c>
      <c r="B471" s="2" t="s">
        <v>68</v>
      </c>
      <c r="C471" s="2">
        <v>5</v>
      </c>
      <c r="D471" s="9">
        <v>71100.5442070324</v>
      </c>
    </row>
    <row r="472" spans="1:4">
      <c r="A472" s="2">
        <v>2015</v>
      </c>
      <c r="B472" s="2" t="s">
        <v>69</v>
      </c>
      <c r="C472" s="2">
        <v>6</v>
      </c>
      <c r="D472" s="9">
        <v>65354.4122005152</v>
      </c>
    </row>
    <row r="473" spans="1:4">
      <c r="A473" s="2">
        <v>2015</v>
      </c>
      <c r="B473" s="2" t="s">
        <v>70</v>
      </c>
      <c r="C473" s="2">
        <v>7</v>
      </c>
      <c r="D473" s="9">
        <v>51086</v>
      </c>
    </row>
    <row r="474" spans="1:4">
      <c r="A474" s="2">
        <v>2015</v>
      </c>
      <c r="B474" s="2" t="s">
        <v>71</v>
      </c>
      <c r="C474" s="2">
        <v>8</v>
      </c>
      <c r="D474" s="9">
        <v>39461.5644220732</v>
      </c>
    </row>
    <row r="475" spans="1:4">
      <c r="A475" s="2">
        <v>2015</v>
      </c>
      <c r="B475" s="2" t="s">
        <v>72</v>
      </c>
      <c r="C475" s="2">
        <v>9</v>
      </c>
      <c r="D475" s="9">
        <v>103795.536000165</v>
      </c>
    </row>
    <row r="476" spans="1:4">
      <c r="A476" s="2">
        <v>2015</v>
      </c>
      <c r="B476" s="2" t="s">
        <v>73</v>
      </c>
      <c r="C476" s="2">
        <v>10</v>
      </c>
      <c r="D476" s="9">
        <v>87995</v>
      </c>
    </row>
    <row r="477" spans="1:4">
      <c r="A477" s="2">
        <v>2015</v>
      </c>
      <c r="B477" s="2" t="s">
        <v>74</v>
      </c>
      <c r="C477" s="2">
        <v>11</v>
      </c>
      <c r="D477" s="9">
        <v>77643.6860686159</v>
      </c>
    </row>
    <row r="478" spans="1:4">
      <c r="A478" s="2">
        <v>2015</v>
      </c>
      <c r="B478" s="2" t="s">
        <v>75</v>
      </c>
      <c r="C478" s="2">
        <v>12</v>
      </c>
      <c r="D478" s="9">
        <v>35996.5641199734</v>
      </c>
    </row>
    <row r="479" spans="1:4">
      <c r="A479" s="2">
        <v>2015</v>
      </c>
      <c r="B479" s="2" t="s">
        <v>76</v>
      </c>
      <c r="C479" s="2">
        <v>13</v>
      </c>
      <c r="D479" s="9">
        <v>67965.5199476782</v>
      </c>
    </row>
    <row r="480" spans="1:4">
      <c r="A480" s="2">
        <v>2015</v>
      </c>
      <c r="B480" s="2" t="s">
        <v>77</v>
      </c>
      <c r="C480" s="2">
        <v>14</v>
      </c>
      <c r="D480" s="9">
        <v>36724</v>
      </c>
    </row>
    <row r="481" spans="1:4">
      <c r="A481" s="2">
        <v>2015</v>
      </c>
      <c r="B481" s="2" t="s">
        <v>78</v>
      </c>
      <c r="C481" s="2">
        <v>15</v>
      </c>
      <c r="D481" s="9">
        <v>64168.3000969109</v>
      </c>
    </row>
    <row r="482" spans="1:4">
      <c r="A482" s="2">
        <v>2015</v>
      </c>
      <c r="B482" s="2" t="s">
        <v>79</v>
      </c>
      <c r="C482" s="2">
        <v>16</v>
      </c>
      <c r="D482" s="9">
        <v>39122.61</v>
      </c>
    </row>
    <row r="483" spans="1:4">
      <c r="A483" s="2">
        <v>2015</v>
      </c>
      <c r="B483" s="2" t="s">
        <v>80</v>
      </c>
      <c r="C483" s="2">
        <v>17</v>
      </c>
      <c r="D483" s="9">
        <v>50653.85</v>
      </c>
    </row>
    <row r="484" spans="1:4">
      <c r="A484" s="2">
        <v>2015</v>
      </c>
      <c r="B484" s="2" t="s">
        <v>81</v>
      </c>
      <c r="C484" s="2">
        <v>18</v>
      </c>
      <c r="D484" s="9">
        <v>42753.86</v>
      </c>
    </row>
    <row r="485" spans="1:4">
      <c r="A485" s="2">
        <v>2015</v>
      </c>
      <c r="B485" s="2" t="s">
        <v>82</v>
      </c>
      <c r="C485" s="2">
        <v>19</v>
      </c>
      <c r="D485" s="9">
        <v>67503</v>
      </c>
    </row>
    <row r="486" spans="1:4">
      <c r="A486" s="2">
        <v>2015</v>
      </c>
      <c r="B486" s="2" t="s">
        <v>83</v>
      </c>
      <c r="C486" s="2">
        <v>20</v>
      </c>
      <c r="D486" s="9">
        <v>35190</v>
      </c>
    </row>
    <row r="487" spans="1:4">
      <c r="A487" s="2">
        <v>2015</v>
      </c>
      <c r="B487" s="2" t="s">
        <v>84</v>
      </c>
      <c r="C487" s="2">
        <v>21</v>
      </c>
      <c r="D487" s="9">
        <v>40818</v>
      </c>
    </row>
    <row r="488" spans="1:4">
      <c r="A488" s="2">
        <v>2015</v>
      </c>
      <c r="B488" s="2" t="s">
        <v>85</v>
      </c>
      <c r="C488" s="2">
        <v>22</v>
      </c>
      <c r="D488" s="9">
        <v>52321</v>
      </c>
    </row>
    <row r="489" spans="1:4">
      <c r="A489" s="2">
        <v>2015</v>
      </c>
      <c r="B489" s="2" t="s">
        <v>86</v>
      </c>
      <c r="C489" s="2">
        <v>23</v>
      </c>
      <c r="D489" s="9">
        <v>36775</v>
      </c>
    </row>
    <row r="490" spans="1:4">
      <c r="A490" s="2">
        <v>2015</v>
      </c>
      <c r="B490" s="2" t="s">
        <v>87</v>
      </c>
      <c r="C490" s="2">
        <v>24</v>
      </c>
      <c r="D490" s="9">
        <v>29847.2477598706</v>
      </c>
    </row>
    <row r="491" spans="1:4">
      <c r="A491" s="2">
        <v>2015</v>
      </c>
      <c r="B491" s="2" t="s">
        <v>88</v>
      </c>
      <c r="C491" s="2">
        <v>25</v>
      </c>
      <c r="D491" s="9">
        <v>28806</v>
      </c>
    </row>
    <row r="492" spans="1:4">
      <c r="A492" s="2">
        <v>2015</v>
      </c>
      <c r="B492" s="2" t="s">
        <v>89</v>
      </c>
      <c r="C492" s="2">
        <v>26</v>
      </c>
      <c r="D492" s="9">
        <v>31999</v>
      </c>
    </row>
    <row r="493" spans="1:4">
      <c r="A493" s="2">
        <v>2015</v>
      </c>
      <c r="B493" s="2" t="s">
        <v>90</v>
      </c>
      <c r="C493" s="2">
        <v>27</v>
      </c>
      <c r="D493" s="9">
        <v>47626</v>
      </c>
    </row>
    <row r="494" spans="1:4">
      <c r="A494" s="2">
        <v>2015</v>
      </c>
      <c r="B494" s="2" t="s">
        <v>91</v>
      </c>
      <c r="C494" s="2">
        <v>28</v>
      </c>
      <c r="D494" s="9">
        <v>26165.2607760794</v>
      </c>
    </row>
    <row r="495" spans="1:4">
      <c r="A495" s="2">
        <v>2015</v>
      </c>
      <c r="B495" s="2" t="s">
        <v>92</v>
      </c>
      <c r="C495" s="2">
        <v>29</v>
      </c>
      <c r="D495" s="9">
        <v>41252</v>
      </c>
    </row>
    <row r="496" spans="1:4">
      <c r="A496" s="2">
        <v>2015</v>
      </c>
      <c r="B496" s="2" t="s">
        <v>93</v>
      </c>
      <c r="C496" s="2">
        <v>30</v>
      </c>
      <c r="D496" s="9">
        <v>43805</v>
      </c>
    </row>
    <row r="497" spans="1:4">
      <c r="A497" s="2">
        <v>2015</v>
      </c>
      <c r="B497" s="2" t="s">
        <v>94</v>
      </c>
      <c r="C497" s="2">
        <v>31</v>
      </c>
      <c r="D497" s="9">
        <v>40036</v>
      </c>
    </row>
    <row r="498" spans="1:4">
      <c r="A498" s="2">
        <v>2016</v>
      </c>
      <c r="B498" s="2" t="s">
        <v>64</v>
      </c>
      <c r="C498" s="2">
        <v>1</v>
      </c>
      <c r="D498" s="9">
        <v>118198</v>
      </c>
    </row>
    <row r="499" spans="1:4">
      <c r="A499" s="2">
        <v>2016</v>
      </c>
      <c r="B499" s="2" t="s">
        <v>65</v>
      </c>
      <c r="C499" s="2">
        <v>2</v>
      </c>
      <c r="D499" s="9">
        <v>115053</v>
      </c>
    </row>
    <row r="500" spans="1:4">
      <c r="A500" s="2">
        <v>2016</v>
      </c>
      <c r="B500" s="2" t="s">
        <v>66</v>
      </c>
      <c r="C500" s="2">
        <v>3</v>
      </c>
      <c r="D500" s="9">
        <v>43062</v>
      </c>
    </row>
    <row r="501" spans="1:4">
      <c r="A501" s="2">
        <v>2016</v>
      </c>
      <c r="B501" s="2" t="s">
        <v>67</v>
      </c>
      <c r="C501" s="2">
        <v>4</v>
      </c>
      <c r="D501" s="9">
        <v>35532</v>
      </c>
    </row>
    <row r="502" spans="1:4">
      <c r="A502" s="2">
        <v>2016</v>
      </c>
      <c r="B502" s="2" t="s">
        <v>68</v>
      </c>
      <c r="C502" s="2">
        <v>5</v>
      </c>
      <c r="D502" s="9">
        <v>72064</v>
      </c>
    </row>
    <row r="503" spans="1:4">
      <c r="A503" s="2">
        <v>2016</v>
      </c>
      <c r="B503" s="2" t="s">
        <v>69</v>
      </c>
      <c r="C503" s="2">
        <v>6</v>
      </c>
      <c r="D503" s="9">
        <v>50791</v>
      </c>
    </row>
    <row r="504" spans="1:4">
      <c r="A504" s="2">
        <v>2016</v>
      </c>
      <c r="B504" s="2" t="s">
        <v>70</v>
      </c>
      <c r="C504" s="2">
        <v>7</v>
      </c>
      <c r="D504" s="9">
        <v>53868</v>
      </c>
    </row>
    <row r="505" spans="1:4">
      <c r="A505" s="2">
        <v>2016</v>
      </c>
      <c r="B505" s="2" t="s">
        <v>71</v>
      </c>
      <c r="C505" s="2">
        <v>8</v>
      </c>
      <c r="D505" s="9">
        <v>40432</v>
      </c>
    </row>
    <row r="506" spans="1:4">
      <c r="A506" s="2">
        <v>2016</v>
      </c>
      <c r="B506" s="2" t="s">
        <v>72</v>
      </c>
      <c r="C506" s="2">
        <v>9</v>
      </c>
      <c r="D506" s="9">
        <v>116562</v>
      </c>
    </row>
    <row r="507" spans="1:4">
      <c r="A507" s="2">
        <v>2016</v>
      </c>
      <c r="B507" s="2" t="s">
        <v>73</v>
      </c>
      <c r="C507" s="2">
        <v>10</v>
      </c>
      <c r="D507" s="9">
        <v>96887</v>
      </c>
    </row>
    <row r="508" spans="1:4">
      <c r="A508" s="2">
        <v>2016</v>
      </c>
      <c r="B508" s="2" t="s">
        <v>74</v>
      </c>
      <c r="C508" s="2">
        <v>11</v>
      </c>
      <c r="D508" s="9">
        <v>84916</v>
      </c>
    </row>
    <row r="509" spans="1:4">
      <c r="A509" s="2">
        <v>2016</v>
      </c>
      <c r="B509" s="2" t="s">
        <v>75</v>
      </c>
      <c r="C509" s="2">
        <v>12</v>
      </c>
      <c r="D509" s="9">
        <v>39561</v>
      </c>
    </row>
    <row r="510" spans="1:4">
      <c r="A510" s="2">
        <v>2016</v>
      </c>
      <c r="B510" s="2" t="s">
        <v>76</v>
      </c>
      <c r="C510" s="2">
        <v>13</v>
      </c>
      <c r="D510" s="9">
        <v>74707</v>
      </c>
    </row>
    <row r="511" spans="1:4">
      <c r="A511" s="2">
        <v>2016</v>
      </c>
      <c r="B511" s="2" t="s">
        <v>77</v>
      </c>
      <c r="C511" s="2">
        <v>14</v>
      </c>
      <c r="D511" s="9">
        <v>40400</v>
      </c>
    </row>
    <row r="512" spans="1:4">
      <c r="A512" s="2">
        <v>2016</v>
      </c>
      <c r="B512" s="2" t="s">
        <v>78</v>
      </c>
      <c r="C512" s="2">
        <v>15</v>
      </c>
      <c r="D512" s="9">
        <v>68733</v>
      </c>
    </row>
    <row r="513" spans="1:4">
      <c r="A513" s="2">
        <v>2016</v>
      </c>
      <c r="B513" s="2" t="s">
        <v>79</v>
      </c>
      <c r="C513" s="2">
        <v>16</v>
      </c>
      <c r="D513" s="9">
        <v>42575</v>
      </c>
    </row>
    <row r="514" spans="1:4">
      <c r="A514" s="2">
        <v>2016</v>
      </c>
      <c r="B514" s="2" t="s">
        <v>80</v>
      </c>
      <c r="C514" s="2">
        <v>17</v>
      </c>
      <c r="D514" s="9">
        <v>55665</v>
      </c>
    </row>
    <row r="515" spans="1:4">
      <c r="A515" s="2">
        <v>2016</v>
      </c>
      <c r="B515" s="2" t="s">
        <v>81</v>
      </c>
      <c r="C515" s="2">
        <v>18</v>
      </c>
      <c r="D515" s="9">
        <v>46382</v>
      </c>
    </row>
    <row r="516" spans="1:4">
      <c r="A516" s="2">
        <v>2016</v>
      </c>
      <c r="B516" s="2" t="s">
        <v>82</v>
      </c>
      <c r="C516" s="2">
        <v>19</v>
      </c>
      <c r="D516" s="9">
        <v>74016</v>
      </c>
    </row>
    <row r="517" spans="1:4">
      <c r="A517" s="2">
        <v>2016</v>
      </c>
      <c r="B517" s="2" t="s">
        <v>83</v>
      </c>
      <c r="C517" s="2">
        <v>20</v>
      </c>
      <c r="D517" s="9">
        <v>38027</v>
      </c>
    </row>
    <row r="518" spans="1:4">
      <c r="A518" s="2">
        <v>2016</v>
      </c>
      <c r="B518" s="2" t="s">
        <v>84</v>
      </c>
      <c r="C518" s="2">
        <v>21</v>
      </c>
      <c r="D518" s="9">
        <v>44347</v>
      </c>
    </row>
    <row r="519" spans="1:4">
      <c r="A519" s="2">
        <v>2016</v>
      </c>
      <c r="B519" s="2" t="s">
        <v>85</v>
      </c>
      <c r="C519" s="2">
        <v>22</v>
      </c>
      <c r="D519" s="9">
        <v>58502</v>
      </c>
    </row>
    <row r="520" spans="1:4">
      <c r="A520" s="2">
        <v>2016</v>
      </c>
      <c r="B520" s="2" t="s">
        <v>86</v>
      </c>
      <c r="C520" s="2">
        <v>23</v>
      </c>
      <c r="D520" s="9">
        <v>40003</v>
      </c>
    </row>
    <row r="521" spans="1:4">
      <c r="A521" s="2">
        <v>2016</v>
      </c>
      <c r="B521" s="2" t="s">
        <v>87</v>
      </c>
      <c r="C521" s="2">
        <v>24</v>
      </c>
      <c r="D521" s="9">
        <v>33246</v>
      </c>
    </row>
    <row r="522" spans="1:4">
      <c r="A522" s="2">
        <v>2016</v>
      </c>
      <c r="B522" s="2" t="s">
        <v>88</v>
      </c>
      <c r="C522" s="2">
        <v>25</v>
      </c>
      <c r="D522" s="9">
        <v>31093</v>
      </c>
    </row>
    <row r="523" spans="1:4">
      <c r="A523" s="2">
        <v>2016</v>
      </c>
      <c r="B523" s="2" t="s">
        <v>89</v>
      </c>
      <c r="C523" s="2">
        <v>26</v>
      </c>
      <c r="D523" s="9">
        <v>35184</v>
      </c>
    </row>
    <row r="524" spans="1:4">
      <c r="A524" s="2">
        <v>2016</v>
      </c>
      <c r="B524" s="2" t="s">
        <v>90</v>
      </c>
      <c r="C524" s="2">
        <v>27</v>
      </c>
      <c r="D524" s="9">
        <v>51015</v>
      </c>
    </row>
    <row r="525" spans="1:4">
      <c r="A525" s="2">
        <v>2016</v>
      </c>
      <c r="B525" s="2" t="s">
        <v>91</v>
      </c>
      <c r="C525" s="2">
        <v>28</v>
      </c>
      <c r="D525" s="9">
        <v>27643</v>
      </c>
    </row>
    <row r="526" spans="1:4">
      <c r="A526" s="2">
        <v>2016</v>
      </c>
      <c r="B526" s="2" t="s">
        <v>92</v>
      </c>
      <c r="C526" s="2">
        <v>29</v>
      </c>
      <c r="D526" s="9">
        <v>43531</v>
      </c>
    </row>
    <row r="527" spans="1:4">
      <c r="A527" s="2">
        <v>2016</v>
      </c>
      <c r="B527" s="2" t="s">
        <v>93</v>
      </c>
      <c r="C527" s="2">
        <v>30</v>
      </c>
      <c r="D527" s="9">
        <v>47194</v>
      </c>
    </row>
    <row r="528" spans="1:4">
      <c r="A528" s="2">
        <v>2016</v>
      </c>
      <c r="B528" s="2" t="s">
        <v>94</v>
      </c>
      <c r="C528" s="2">
        <v>31</v>
      </c>
      <c r="D528" s="9">
        <v>40564</v>
      </c>
    </row>
    <row r="529" spans="1:4">
      <c r="A529" s="2">
        <v>2017</v>
      </c>
      <c r="B529" s="2" t="s">
        <v>64</v>
      </c>
      <c r="C529" s="2">
        <v>1</v>
      </c>
      <c r="D529" s="9">
        <v>128994.106271296</v>
      </c>
    </row>
    <row r="530" spans="1:4">
      <c r="A530" s="2">
        <v>2017</v>
      </c>
      <c r="B530" s="2" t="s">
        <v>65</v>
      </c>
      <c r="C530" s="2">
        <v>2</v>
      </c>
      <c r="D530" s="9">
        <v>118943.568270498</v>
      </c>
    </row>
    <row r="531" spans="1:4">
      <c r="A531" s="2">
        <v>2017</v>
      </c>
      <c r="B531" s="2" t="s">
        <v>66</v>
      </c>
      <c r="C531" s="2">
        <v>3</v>
      </c>
      <c r="D531" s="9">
        <v>45387</v>
      </c>
    </row>
    <row r="532" spans="1:4">
      <c r="A532" s="2">
        <v>2017</v>
      </c>
      <c r="B532" s="2" t="s">
        <v>67</v>
      </c>
      <c r="C532" s="2">
        <v>4</v>
      </c>
      <c r="D532" s="9">
        <v>42060</v>
      </c>
    </row>
    <row r="533" spans="1:4">
      <c r="A533" s="2">
        <v>2017</v>
      </c>
      <c r="B533" s="2" t="s">
        <v>68</v>
      </c>
      <c r="C533" s="2">
        <v>5</v>
      </c>
      <c r="D533" s="9">
        <v>63764</v>
      </c>
    </row>
    <row r="534" spans="1:4">
      <c r="A534" s="2">
        <v>2017</v>
      </c>
      <c r="B534" s="2" t="s">
        <v>69</v>
      </c>
      <c r="C534" s="2">
        <v>6</v>
      </c>
      <c r="D534" s="9">
        <v>53526.6544411874</v>
      </c>
    </row>
    <row r="535" spans="1:4">
      <c r="A535" s="2">
        <v>2017</v>
      </c>
      <c r="B535" s="2" t="s">
        <v>70</v>
      </c>
      <c r="C535" s="2">
        <v>7</v>
      </c>
      <c r="D535" s="9">
        <v>54838</v>
      </c>
    </row>
    <row r="536" spans="1:4">
      <c r="A536" s="2">
        <v>2017</v>
      </c>
      <c r="B536" s="2" t="s">
        <v>71</v>
      </c>
      <c r="C536" s="2">
        <v>8</v>
      </c>
      <c r="D536" s="9">
        <v>41916</v>
      </c>
    </row>
    <row r="537" spans="1:4">
      <c r="A537" s="2">
        <v>2017</v>
      </c>
      <c r="B537" s="2" t="s">
        <v>72</v>
      </c>
      <c r="C537" s="2">
        <v>9</v>
      </c>
      <c r="D537" s="9">
        <v>126634.15</v>
      </c>
    </row>
    <row r="538" spans="1:4">
      <c r="A538" s="2">
        <v>2017</v>
      </c>
      <c r="B538" s="2" t="s">
        <v>73</v>
      </c>
      <c r="C538" s="2">
        <v>10</v>
      </c>
      <c r="D538" s="9">
        <v>107150</v>
      </c>
    </row>
    <row r="539" spans="1:4">
      <c r="A539" s="2">
        <v>2017</v>
      </c>
      <c r="B539" s="2" t="s">
        <v>74</v>
      </c>
      <c r="C539" s="2">
        <v>11</v>
      </c>
      <c r="D539" s="9">
        <v>92057.0107584245</v>
      </c>
    </row>
    <row r="540" spans="1:4">
      <c r="A540" s="2">
        <v>2017</v>
      </c>
      <c r="B540" s="2" t="s">
        <v>75</v>
      </c>
      <c r="C540" s="2">
        <v>12</v>
      </c>
      <c r="D540" s="9">
        <v>43401.3638225585</v>
      </c>
    </row>
    <row r="541" spans="1:4">
      <c r="A541" s="2">
        <v>2017</v>
      </c>
      <c r="B541" s="2" t="s">
        <v>76</v>
      </c>
      <c r="C541" s="2">
        <v>13</v>
      </c>
      <c r="D541" s="9">
        <v>82677</v>
      </c>
    </row>
    <row r="542" spans="1:4">
      <c r="A542" s="2">
        <v>2017</v>
      </c>
      <c r="B542" s="2" t="s">
        <v>77</v>
      </c>
      <c r="C542" s="2">
        <v>14</v>
      </c>
      <c r="D542" s="9">
        <v>43424.3702923566</v>
      </c>
    </row>
    <row r="543" spans="1:4">
      <c r="A543" s="2">
        <v>2017</v>
      </c>
      <c r="B543" s="2" t="s">
        <v>78</v>
      </c>
      <c r="C543" s="2">
        <v>15</v>
      </c>
      <c r="D543" s="9">
        <v>72807.1388942587</v>
      </c>
    </row>
    <row r="544" spans="1:4">
      <c r="A544" s="2">
        <v>2017</v>
      </c>
      <c r="B544" s="2" t="s">
        <v>79</v>
      </c>
      <c r="C544" s="2">
        <v>16</v>
      </c>
      <c r="D544" s="9">
        <v>46674</v>
      </c>
    </row>
    <row r="545" spans="1:4">
      <c r="A545" s="2">
        <v>2017</v>
      </c>
      <c r="B545" s="2" t="s">
        <v>80</v>
      </c>
      <c r="C545" s="2">
        <v>17</v>
      </c>
      <c r="D545" s="9">
        <v>60199</v>
      </c>
    </row>
    <row r="546" spans="1:4">
      <c r="A546" s="2">
        <v>2017</v>
      </c>
      <c r="B546" s="2" t="s">
        <v>81</v>
      </c>
      <c r="C546" s="2">
        <v>18</v>
      </c>
      <c r="D546" s="9">
        <v>49558</v>
      </c>
    </row>
    <row r="547" spans="1:4">
      <c r="A547" s="2">
        <v>2017</v>
      </c>
      <c r="B547" s="2" t="s">
        <v>82</v>
      </c>
      <c r="C547" s="2">
        <v>19</v>
      </c>
      <c r="D547" s="9">
        <v>80932</v>
      </c>
    </row>
    <row r="548" spans="1:4">
      <c r="A548" s="2">
        <v>2017</v>
      </c>
      <c r="B548" s="2" t="s">
        <v>83</v>
      </c>
      <c r="C548" s="2">
        <v>20</v>
      </c>
      <c r="D548" s="9">
        <v>38102</v>
      </c>
    </row>
    <row r="549" spans="1:4">
      <c r="A549" s="2">
        <v>2017</v>
      </c>
      <c r="B549" s="2" t="s">
        <v>84</v>
      </c>
      <c r="C549" s="2">
        <v>21</v>
      </c>
      <c r="D549" s="9">
        <v>48430</v>
      </c>
    </row>
    <row r="550" spans="1:4">
      <c r="A550" s="2">
        <v>2017</v>
      </c>
      <c r="B550" s="2" t="s">
        <v>85</v>
      </c>
      <c r="C550" s="2">
        <v>22</v>
      </c>
      <c r="D550" s="9">
        <v>63442</v>
      </c>
    </row>
    <row r="551" spans="1:4">
      <c r="A551" s="2">
        <v>2017</v>
      </c>
      <c r="B551" s="2" t="s">
        <v>86</v>
      </c>
      <c r="C551" s="2">
        <v>23</v>
      </c>
      <c r="D551" s="9">
        <v>44651.32</v>
      </c>
    </row>
    <row r="552" spans="1:4">
      <c r="A552" s="2">
        <v>2017</v>
      </c>
      <c r="B552" s="2" t="s">
        <v>87</v>
      </c>
      <c r="C552" s="2">
        <v>24</v>
      </c>
      <c r="D552" s="9">
        <v>37956.0632590738</v>
      </c>
    </row>
    <row r="553" spans="1:4">
      <c r="A553" s="2">
        <v>2017</v>
      </c>
      <c r="B553" s="2" t="s">
        <v>88</v>
      </c>
      <c r="C553" s="2">
        <v>25</v>
      </c>
      <c r="D553" s="9">
        <v>34221</v>
      </c>
    </row>
    <row r="554" spans="1:4">
      <c r="A554" s="2">
        <v>2017</v>
      </c>
      <c r="B554" s="2" t="s">
        <v>89</v>
      </c>
      <c r="C554" s="2">
        <v>26</v>
      </c>
      <c r="D554" s="9">
        <v>39267</v>
      </c>
    </row>
    <row r="555" spans="1:4">
      <c r="A555" s="2">
        <v>2017</v>
      </c>
      <c r="B555" s="2" t="s">
        <v>90</v>
      </c>
      <c r="C555" s="2">
        <v>27</v>
      </c>
      <c r="D555" s="9">
        <v>57266.31</v>
      </c>
    </row>
    <row r="556" spans="1:4">
      <c r="A556" s="2">
        <v>2017</v>
      </c>
      <c r="B556" s="2" t="s">
        <v>91</v>
      </c>
      <c r="C556" s="2">
        <v>28</v>
      </c>
      <c r="D556" s="9">
        <v>28496.5010292261</v>
      </c>
    </row>
    <row r="557" spans="1:4">
      <c r="A557" s="2">
        <v>2017</v>
      </c>
      <c r="B557" s="2" t="s">
        <v>92</v>
      </c>
      <c r="C557" s="2">
        <v>29</v>
      </c>
      <c r="D557" s="9">
        <v>44047</v>
      </c>
    </row>
    <row r="558" spans="1:4">
      <c r="A558" s="2">
        <v>2017</v>
      </c>
      <c r="B558" s="2" t="s">
        <v>93</v>
      </c>
      <c r="C558" s="2">
        <v>30</v>
      </c>
      <c r="D558" s="9">
        <v>50765</v>
      </c>
    </row>
    <row r="559" spans="1:4">
      <c r="A559" s="2">
        <v>2017</v>
      </c>
      <c r="B559" s="2" t="s">
        <v>94</v>
      </c>
      <c r="C559" s="2">
        <v>31</v>
      </c>
      <c r="D559" s="9">
        <v>44941</v>
      </c>
    </row>
    <row r="560" spans="1:4">
      <c r="A560" s="2">
        <v>2018</v>
      </c>
      <c r="B560" s="2" t="s">
        <v>64</v>
      </c>
      <c r="C560" s="2">
        <v>1</v>
      </c>
      <c r="D560" s="10">
        <v>140211.241878425</v>
      </c>
    </row>
    <row r="561" spans="1:4">
      <c r="A561" s="2">
        <v>2018</v>
      </c>
      <c r="B561" s="2" t="s">
        <v>65</v>
      </c>
      <c r="C561" s="2">
        <v>2</v>
      </c>
      <c r="D561" s="10">
        <v>120710.801930383</v>
      </c>
    </row>
    <row r="562" spans="1:4">
      <c r="A562" s="2">
        <v>2018</v>
      </c>
      <c r="B562" s="2" t="s">
        <v>66</v>
      </c>
      <c r="C562" s="2">
        <v>3</v>
      </c>
      <c r="D562" s="10">
        <v>47772.2206818601</v>
      </c>
    </row>
    <row r="563" spans="1:4">
      <c r="A563" s="2">
        <v>2018</v>
      </c>
      <c r="B563" s="2" t="s">
        <v>67</v>
      </c>
      <c r="C563" s="2">
        <v>4</v>
      </c>
      <c r="D563" s="10">
        <v>45328</v>
      </c>
    </row>
    <row r="564" spans="1:4">
      <c r="A564" s="2">
        <v>2018</v>
      </c>
      <c r="B564" s="2" t="s">
        <v>68</v>
      </c>
      <c r="C564" s="2">
        <v>5</v>
      </c>
      <c r="D564" s="10">
        <v>68302</v>
      </c>
    </row>
    <row r="565" spans="1:4">
      <c r="A565" s="2">
        <v>2018</v>
      </c>
      <c r="B565" s="2" t="s">
        <v>69</v>
      </c>
      <c r="C565" s="2">
        <v>6</v>
      </c>
      <c r="D565" s="10">
        <v>58007.5157819965</v>
      </c>
    </row>
    <row r="566" spans="1:4">
      <c r="A566" s="2">
        <v>2018</v>
      </c>
      <c r="B566" s="2" t="s">
        <v>70</v>
      </c>
      <c r="C566" s="2">
        <v>7</v>
      </c>
      <c r="D566" s="10">
        <v>55610.9239946435</v>
      </c>
    </row>
    <row r="567" spans="1:4">
      <c r="A567" s="2">
        <v>2018</v>
      </c>
      <c r="B567" s="2" t="s">
        <v>71</v>
      </c>
      <c r="C567" s="2">
        <v>8</v>
      </c>
      <c r="D567" s="10">
        <v>43274.4055648126</v>
      </c>
    </row>
    <row r="568" spans="1:4">
      <c r="A568" s="2">
        <v>2018</v>
      </c>
      <c r="B568" s="2" t="s">
        <v>72</v>
      </c>
      <c r="C568" s="2">
        <v>9</v>
      </c>
      <c r="D568" s="10">
        <v>134982</v>
      </c>
    </row>
    <row r="569" spans="1:4">
      <c r="A569" s="2">
        <v>2018</v>
      </c>
      <c r="B569" s="2" t="s">
        <v>73</v>
      </c>
      <c r="C569" s="2">
        <v>10</v>
      </c>
      <c r="D569" s="10">
        <v>115168.407960199</v>
      </c>
    </row>
    <row r="570" spans="1:4">
      <c r="A570" s="2">
        <v>2018</v>
      </c>
      <c r="B570" s="2" t="s">
        <v>74</v>
      </c>
      <c r="C570" s="2">
        <v>11</v>
      </c>
      <c r="D570" s="10">
        <v>98643.4088116553</v>
      </c>
    </row>
    <row r="571" spans="1:4">
      <c r="A571" s="2">
        <v>2018</v>
      </c>
      <c r="B571" s="2" t="s">
        <v>75</v>
      </c>
      <c r="C571" s="2">
        <v>12</v>
      </c>
      <c r="D571" s="10">
        <v>47711.6644406284</v>
      </c>
    </row>
    <row r="572" spans="1:4">
      <c r="A572" s="2">
        <v>2018</v>
      </c>
      <c r="B572" s="2" t="s">
        <v>76</v>
      </c>
      <c r="C572" s="2">
        <v>13</v>
      </c>
      <c r="D572" s="10">
        <v>91197.2491085074</v>
      </c>
    </row>
    <row r="573" spans="1:4">
      <c r="A573" s="2">
        <v>2018</v>
      </c>
      <c r="B573" s="2" t="s">
        <v>77</v>
      </c>
      <c r="C573" s="2">
        <v>14</v>
      </c>
      <c r="D573" s="10">
        <v>47433.9456548474</v>
      </c>
    </row>
    <row r="574" spans="1:4">
      <c r="A574" s="2">
        <v>2018</v>
      </c>
      <c r="B574" s="2" t="s">
        <v>78</v>
      </c>
      <c r="C574" s="2">
        <v>15</v>
      </c>
      <c r="D574" s="10">
        <v>76267.2567007163</v>
      </c>
    </row>
    <row r="575" spans="1:4">
      <c r="A575" s="2">
        <v>2018</v>
      </c>
      <c r="B575" s="2" t="s">
        <v>79</v>
      </c>
      <c r="C575" s="2">
        <v>16</v>
      </c>
      <c r="D575" s="10">
        <v>50152.2229179712</v>
      </c>
    </row>
    <row r="576" spans="1:4">
      <c r="A576" s="2">
        <v>2018</v>
      </c>
      <c r="B576" s="2" t="s">
        <v>80</v>
      </c>
      <c r="C576" s="2">
        <v>17</v>
      </c>
      <c r="D576" s="10">
        <v>66615.7035282173</v>
      </c>
    </row>
    <row r="577" spans="1:4">
      <c r="A577" s="2">
        <v>2018</v>
      </c>
      <c r="B577" s="2" t="s">
        <v>81</v>
      </c>
      <c r="C577" s="2">
        <v>18</v>
      </c>
      <c r="D577" s="10">
        <v>52948.6035241138</v>
      </c>
    </row>
    <row r="578" spans="1:4">
      <c r="A578" s="2">
        <v>2018</v>
      </c>
      <c r="B578" s="2" t="s">
        <v>82</v>
      </c>
      <c r="C578" s="2">
        <v>19</v>
      </c>
      <c r="D578" s="10">
        <v>86412</v>
      </c>
    </row>
    <row r="579" spans="1:4">
      <c r="A579" s="2">
        <v>2018</v>
      </c>
      <c r="B579" s="2" t="s">
        <v>83</v>
      </c>
      <c r="C579" s="2">
        <v>20</v>
      </c>
      <c r="D579" s="10">
        <v>41489.1652227092</v>
      </c>
    </row>
    <row r="580" spans="1:4">
      <c r="A580" s="2">
        <v>2018</v>
      </c>
      <c r="B580" s="2" t="s">
        <v>84</v>
      </c>
      <c r="C580" s="2">
        <v>21</v>
      </c>
      <c r="D580" s="10">
        <v>51955.2922454948</v>
      </c>
    </row>
    <row r="581" spans="1:4">
      <c r="A581" s="2">
        <v>2018</v>
      </c>
      <c r="B581" s="2" t="s">
        <v>85</v>
      </c>
      <c r="C581" s="2">
        <v>22</v>
      </c>
      <c r="D581" s="10">
        <v>65932.7241879501</v>
      </c>
    </row>
    <row r="582" spans="1:4">
      <c r="A582" s="2">
        <v>2018</v>
      </c>
      <c r="B582" s="2" t="s">
        <v>86</v>
      </c>
      <c r="C582" s="2">
        <v>23</v>
      </c>
      <c r="D582" s="10">
        <v>48883.1701015442</v>
      </c>
    </row>
    <row r="583" spans="1:4">
      <c r="A583" s="2">
        <v>2018</v>
      </c>
      <c r="B583" s="2" t="s">
        <v>87</v>
      </c>
      <c r="C583" s="2">
        <v>24</v>
      </c>
      <c r="D583" s="10">
        <v>41243.5933147632</v>
      </c>
    </row>
    <row r="584" spans="1:4">
      <c r="A584" s="2">
        <v>2018</v>
      </c>
      <c r="B584" s="2" t="s">
        <v>88</v>
      </c>
      <c r="C584" s="2">
        <v>25</v>
      </c>
      <c r="D584" s="10">
        <v>37136.282450675</v>
      </c>
    </row>
    <row r="585" spans="1:4">
      <c r="A585" s="2">
        <v>2018</v>
      </c>
      <c r="B585" s="2" t="s">
        <v>89</v>
      </c>
      <c r="C585" s="2">
        <v>26</v>
      </c>
      <c r="D585" s="10">
        <v>43398</v>
      </c>
    </row>
    <row r="586" spans="1:4">
      <c r="A586" s="2">
        <v>2018</v>
      </c>
      <c r="B586" s="2" t="s">
        <v>90</v>
      </c>
      <c r="C586" s="2">
        <v>27</v>
      </c>
      <c r="D586" s="10">
        <v>63477.4748566204</v>
      </c>
    </row>
    <row r="587" spans="1:4">
      <c r="A587" s="2">
        <v>2018</v>
      </c>
      <c r="B587" s="2" t="s">
        <v>91</v>
      </c>
      <c r="C587" s="2">
        <v>28</v>
      </c>
      <c r="D587" s="10">
        <v>31336.1251610304</v>
      </c>
    </row>
    <row r="588" spans="1:4">
      <c r="A588" s="2">
        <v>2018</v>
      </c>
      <c r="B588" s="2" t="s">
        <v>92</v>
      </c>
      <c r="C588" s="2">
        <v>29</v>
      </c>
      <c r="D588" s="10">
        <v>47689.4525723606</v>
      </c>
    </row>
    <row r="589" spans="1:4">
      <c r="A589" s="2">
        <v>2018</v>
      </c>
      <c r="B589" s="2" t="s">
        <v>93</v>
      </c>
      <c r="C589" s="2">
        <v>30</v>
      </c>
      <c r="D589" s="10">
        <v>54094.1674574786</v>
      </c>
    </row>
    <row r="590" spans="1:4">
      <c r="A590" s="2">
        <v>2018</v>
      </c>
      <c r="B590" s="2" t="s">
        <v>94</v>
      </c>
      <c r="C590" s="2">
        <v>31</v>
      </c>
      <c r="D590" s="10">
        <v>49474.717323946</v>
      </c>
    </row>
    <row r="591" spans="1:4">
      <c r="A591" s="2">
        <v>2019</v>
      </c>
      <c r="B591" s="2" t="s">
        <v>64</v>
      </c>
      <c r="C591" s="2">
        <v>1</v>
      </c>
      <c r="D591" s="11">
        <v>164220</v>
      </c>
    </row>
    <row r="592" spans="1:4">
      <c r="A592" s="2">
        <v>2019</v>
      </c>
      <c r="B592" s="2" t="s">
        <v>65</v>
      </c>
      <c r="C592" s="2">
        <v>2</v>
      </c>
      <c r="D592" s="11">
        <v>90370.63</v>
      </c>
    </row>
    <row r="593" spans="1:4">
      <c r="A593" s="2">
        <v>2019</v>
      </c>
      <c r="B593" s="2" t="s">
        <v>66</v>
      </c>
      <c r="C593" s="2">
        <v>3</v>
      </c>
      <c r="D593" s="11">
        <v>46347.89</v>
      </c>
    </row>
    <row r="594" spans="1:4">
      <c r="A594" s="2">
        <v>2019</v>
      </c>
      <c r="B594" s="2" t="s">
        <v>67</v>
      </c>
      <c r="C594" s="2">
        <v>4</v>
      </c>
      <c r="D594" s="11">
        <v>45724</v>
      </c>
    </row>
    <row r="595" spans="1:4">
      <c r="A595" s="2">
        <v>2019</v>
      </c>
      <c r="B595" s="2" t="s">
        <v>68</v>
      </c>
      <c r="C595" s="2">
        <v>5</v>
      </c>
      <c r="D595" s="11">
        <v>67852.13</v>
      </c>
    </row>
    <row r="596" spans="1:4">
      <c r="A596" s="2">
        <v>2019</v>
      </c>
      <c r="B596" s="2" t="s">
        <v>69</v>
      </c>
      <c r="C596" s="2">
        <v>6</v>
      </c>
      <c r="D596" s="11">
        <v>57191</v>
      </c>
    </row>
    <row r="597" spans="1:4">
      <c r="A597" s="2">
        <v>2019</v>
      </c>
      <c r="B597" s="2" t="s">
        <v>70</v>
      </c>
      <c r="C597" s="2">
        <v>7</v>
      </c>
      <c r="D597" s="11">
        <v>43475</v>
      </c>
    </row>
    <row r="598" spans="1:4">
      <c r="A598" s="2">
        <v>2019</v>
      </c>
      <c r="B598" s="2" t="s">
        <v>71</v>
      </c>
      <c r="C598" s="2">
        <v>8</v>
      </c>
      <c r="D598" s="11">
        <v>36182.77</v>
      </c>
    </row>
    <row r="599" spans="1:4">
      <c r="A599" s="2">
        <v>2019</v>
      </c>
      <c r="B599" s="2" t="s">
        <v>72</v>
      </c>
      <c r="C599" s="2">
        <v>9</v>
      </c>
      <c r="D599" s="11">
        <v>157279</v>
      </c>
    </row>
    <row r="600" spans="1:4">
      <c r="A600" s="2">
        <v>2019</v>
      </c>
      <c r="B600" s="2" t="s">
        <v>73</v>
      </c>
      <c r="C600" s="2">
        <v>10</v>
      </c>
      <c r="D600" s="11">
        <v>123607</v>
      </c>
    </row>
    <row r="601" spans="1:4">
      <c r="A601" s="2">
        <v>2019</v>
      </c>
      <c r="B601" s="2" t="s">
        <v>74</v>
      </c>
      <c r="C601" s="2">
        <v>11</v>
      </c>
      <c r="D601" s="11">
        <v>107623.61</v>
      </c>
    </row>
    <row r="602" spans="1:4">
      <c r="A602" s="2">
        <v>2019</v>
      </c>
      <c r="B602" s="2" t="s">
        <v>75</v>
      </c>
      <c r="C602" s="2">
        <v>12</v>
      </c>
      <c r="D602" s="11">
        <v>58495.57</v>
      </c>
    </row>
    <row r="603" spans="1:4">
      <c r="A603" s="2">
        <v>2019</v>
      </c>
      <c r="B603" s="2" t="s">
        <v>76</v>
      </c>
      <c r="C603" s="2">
        <v>13</v>
      </c>
      <c r="D603" s="11">
        <v>107139.25</v>
      </c>
    </row>
    <row r="604" spans="1:4">
      <c r="A604" s="2">
        <v>2019</v>
      </c>
      <c r="B604" s="2" t="s">
        <v>77</v>
      </c>
      <c r="C604" s="2">
        <v>14</v>
      </c>
      <c r="D604" s="11">
        <v>53164</v>
      </c>
    </row>
    <row r="605" spans="1:4">
      <c r="A605" s="2">
        <v>2019</v>
      </c>
      <c r="B605" s="2" t="s">
        <v>78</v>
      </c>
      <c r="C605" s="2">
        <v>15</v>
      </c>
      <c r="D605" s="11">
        <v>70652.62</v>
      </c>
    </row>
    <row r="606" spans="1:4">
      <c r="A606" s="2">
        <v>2019</v>
      </c>
      <c r="B606" s="2" t="s">
        <v>79</v>
      </c>
      <c r="C606" s="2">
        <v>16</v>
      </c>
      <c r="D606" s="11">
        <v>56387.84</v>
      </c>
    </row>
    <row r="607" spans="1:4">
      <c r="A607" s="2">
        <v>2019</v>
      </c>
      <c r="B607" s="2" t="s">
        <v>80</v>
      </c>
      <c r="C607" s="2">
        <v>17</v>
      </c>
      <c r="D607" s="11">
        <v>77386.54</v>
      </c>
    </row>
    <row r="608" spans="1:4">
      <c r="A608" s="2">
        <v>2019</v>
      </c>
      <c r="B608" s="2" t="s">
        <v>81</v>
      </c>
      <c r="C608" s="2">
        <v>18</v>
      </c>
      <c r="D608" s="11">
        <v>57540.26</v>
      </c>
    </row>
    <row r="609" spans="1:4">
      <c r="A609" s="2">
        <v>2019</v>
      </c>
      <c r="B609" s="2" t="s">
        <v>82</v>
      </c>
      <c r="C609" s="2">
        <v>19</v>
      </c>
      <c r="D609" s="11">
        <v>94172</v>
      </c>
    </row>
    <row r="610" spans="1:4">
      <c r="A610" s="2">
        <v>2019</v>
      </c>
      <c r="B610" s="2" t="s">
        <v>83</v>
      </c>
      <c r="C610" s="2">
        <v>20</v>
      </c>
      <c r="D610" s="11">
        <v>42964</v>
      </c>
    </row>
    <row r="611" spans="1:4">
      <c r="A611" s="2">
        <v>2019</v>
      </c>
      <c r="B611" s="2" t="s">
        <v>84</v>
      </c>
      <c r="C611" s="2">
        <v>21</v>
      </c>
      <c r="D611" s="11">
        <v>56506.83</v>
      </c>
    </row>
    <row r="612" spans="1:4">
      <c r="A612" s="2">
        <v>2019</v>
      </c>
      <c r="B612" s="2" t="s">
        <v>85</v>
      </c>
      <c r="C612" s="2">
        <v>22</v>
      </c>
      <c r="D612" s="11">
        <v>75828</v>
      </c>
    </row>
    <row r="613" spans="1:4">
      <c r="A613" s="2">
        <v>2019</v>
      </c>
      <c r="B613" s="2" t="s">
        <v>86</v>
      </c>
      <c r="C613" s="2">
        <v>23</v>
      </c>
      <c r="D613" s="11">
        <v>55774</v>
      </c>
    </row>
    <row r="614" spans="1:4">
      <c r="A614" s="2">
        <v>2019</v>
      </c>
      <c r="B614" s="2" t="s">
        <v>87</v>
      </c>
      <c r="C614" s="2">
        <v>24</v>
      </c>
      <c r="D614" s="11">
        <v>46433</v>
      </c>
    </row>
    <row r="615" spans="1:4">
      <c r="A615" s="2">
        <v>2019</v>
      </c>
      <c r="B615" s="2" t="s">
        <v>88</v>
      </c>
      <c r="C615" s="2">
        <v>25</v>
      </c>
      <c r="D615" s="11">
        <v>47944</v>
      </c>
    </row>
    <row r="616" spans="1:4">
      <c r="A616" s="2">
        <v>2019</v>
      </c>
      <c r="B616" s="2" t="s">
        <v>89</v>
      </c>
      <c r="C616" s="2">
        <v>26</v>
      </c>
      <c r="D616" s="11">
        <v>48902</v>
      </c>
    </row>
    <row r="617" spans="1:4">
      <c r="A617" s="2">
        <v>2019</v>
      </c>
      <c r="B617" s="2" t="s">
        <v>90</v>
      </c>
      <c r="C617" s="2">
        <v>27</v>
      </c>
      <c r="D617" s="11">
        <v>66649.02</v>
      </c>
    </row>
    <row r="618" spans="1:4">
      <c r="A618" s="2">
        <v>2019</v>
      </c>
      <c r="B618" s="2" t="s">
        <v>91</v>
      </c>
      <c r="C618" s="2">
        <v>28</v>
      </c>
      <c r="D618" s="11">
        <v>32994.56</v>
      </c>
    </row>
    <row r="619" spans="1:4">
      <c r="A619" s="2">
        <v>2019</v>
      </c>
      <c r="B619" s="2" t="s">
        <v>92</v>
      </c>
      <c r="C619" s="2">
        <v>29</v>
      </c>
      <c r="D619" s="11">
        <v>48981.46</v>
      </c>
    </row>
    <row r="620" spans="1:4">
      <c r="A620" s="2">
        <v>2019</v>
      </c>
      <c r="B620" s="2" t="s">
        <v>93</v>
      </c>
      <c r="C620" s="2">
        <v>30</v>
      </c>
      <c r="D620" s="11">
        <v>54217</v>
      </c>
    </row>
    <row r="621" spans="1:4">
      <c r="A621" s="2">
        <v>2019</v>
      </c>
      <c r="B621" s="2" t="s">
        <v>94</v>
      </c>
      <c r="C621" s="2">
        <v>31</v>
      </c>
      <c r="D621" s="11">
        <v>54280</v>
      </c>
    </row>
    <row r="622" spans="1:4">
      <c r="A622" s="2">
        <v>2020</v>
      </c>
      <c r="B622" s="2" t="s">
        <v>64</v>
      </c>
      <c r="C622" s="2">
        <v>1</v>
      </c>
      <c r="D622" s="11">
        <v>164889.47</v>
      </c>
    </row>
    <row r="623" spans="1:4">
      <c r="A623" s="2">
        <v>2020</v>
      </c>
      <c r="B623" s="2" t="s">
        <v>65</v>
      </c>
      <c r="C623" s="2">
        <v>2</v>
      </c>
      <c r="D623" s="11">
        <v>101614.21</v>
      </c>
    </row>
    <row r="624" spans="1:4">
      <c r="A624" s="2">
        <v>2020</v>
      </c>
      <c r="B624" s="2" t="s">
        <v>66</v>
      </c>
      <c r="C624" s="2">
        <v>3</v>
      </c>
      <c r="D624" s="11">
        <v>48564</v>
      </c>
    </row>
    <row r="625" spans="1:4">
      <c r="A625" s="2">
        <v>2020</v>
      </c>
      <c r="B625" s="2" t="s">
        <v>67</v>
      </c>
      <c r="C625" s="2">
        <v>4</v>
      </c>
      <c r="D625" s="11">
        <v>50527.92</v>
      </c>
    </row>
    <row r="626" spans="1:4">
      <c r="A626" s="2">
        <v>2020</v>
      </c>
      <c r="B626" s="2" t="s">
        <v>68</v>
      </c>
      <c r="C626" s="2">
        <v>5</v>
      </c>
      <c r="D626" s="11">
        <v>72062.35</v>
      </c>
    </row>
    <row r="627" spans="1:4">
      <c r="A627" s="2">
        <v>2020</v>
      </c>
      <c r="B627" s="2" t="s">
        <v>69</v>
      </c>
      <c r="C627" s="2">
        <v>6</v>
      </c>
      <c r="D627" s="11">
        <v>58872.39</v>
      </c>
    </row>
    <row r="628" spans="1:4">
      <c r="A628" s="2">
        <v>2020</v>
      </c>
      <c r="B628" s="2" t="s">
        <v>70</v>
      </c>
      <c r="C628" s="2">
        <v>7</v>
      </c>
      <c r="D628" s="11">
        <v>50799.75</v>
      </c>
    </row>
    <row r="629" spans="1:4">
      <c r="A629" s="2">
        <v>2020</v>
      </c>
      <c r="B629" s="2" t="s">
        <v>71</v>
      </c>
      <c r="C629" s="2">
        <v>8</v>
      </c>
      <c r="D629" s="11">
        <v>42634.61</v>
      </c>
    </row>
    <row r="630" spans="1:4">
      <c r="A630" s="2">
        <v>2020</v>
      </c>
      <c r="B630" s="2" t="s">
        <v>72</v>
      </c>
      <c r="C630" s="2">
        <v>9</v>
      </c>
      <c r="D630" s="11">
        <v>155768.08</v>
      </c>
    </row>
    <row r="631" spans="1:4">
      <c r="A631" s="2">
        <v>2020</v>
      </c>
      <c r="B631" s="2" t="s">
        <v>73</v>
      </c>
      <c r="C631" s="2">
        <v>10</v>
      </c>
      <c r="D631" s="11">
        <v>121230.95</v>
      </c>
    </row>
    <row r="632" spans="1:4">
      <c r="A632" s="2">
        <v>2020</v>
      </c>
      <c r="B632" s="2" t="s">
        <v>74</v>
      </c>
      <c r="C632" s="2">
        <v>11</v>
      </c>
      <c r="D632" s="11">
        <v>100620.32</v>
      </c>
    </row>
    <row r="633" spans="1:4">
      <c r="A633" s="2">
        <v>2020</v>
      </c>
      <c r="B633" s="2" t="s">
        <v>75</v>
      </c>
      <c r="C633" s="2">
        <v>12</v>
      </c>
      <c r="D633" s="11">
        <v>63426.47</v>
      </c>
    </row>
    <row r="634" spans="1:4">
      <c r="A634" s="2">
        <v>2020</v>
      </c>
      <c r="B634" s="2" t="s">
        <v>76</v>
      </c>
      <c r="C634" s="2">
        <v>13</v>
      </c>
      <c r="D634" s="11">
        <v>105818</v>
      </c>
    </row>
    <row r="635" spans="1:4">
      <c r="A635" s="2">
        <v>2020</v>
      </c>
      <c r="B635" s="2" t="s">
        <v>77</v>
      </c>
      <c r="C635" s="2">
        <v>14</v>
      </c>
      <c r="D635" s="11">
        <v>56871.06</v>
      </c>
    </row>
    <row r="636" spans="1:4">
      <c r="A636" s="2">
        <v>2020</v>
      </c>
      <c r="B636" s="2" t="s">
        <v>78</v>
      </c>
      <c r="C636" s="2">
        <v>15</v>
      </c>
      <c r="D636" s="11">
        <v>72151.35</v>
      </c>
    </row>
    <row r="637" spans="1:4">
      <c r="A637" s="2">
        <v>2020</v>
      </c>
      <c r="B637" s="2" t="s">
        <v>79</v>
      </c>
      <c r="C637" s="2">
        <v>16</v>
      </c>
      <c r="D637" s="11">
        <v>55435.01</v>
      </c>
    </row>
    <row r="638" spans="1:4">
      <c r="A638" s="2">
        <v>2020</v>
      </c>
      <c r="B638" s="2" t="s">
        <v>80</v>
      </c>
      <c r="C638" s="2">
        <v>17</v>
      </c>
      <c r="D638" s="11">
        <v>74440.47</v>
      </c>
    </row>
    <row r="639" spans="1:4">
      <c r="A639" s="2">
        <v>2020</v>
      </c>
      <c r="B639" s="2" t="s">
        <v>81</v>
      </c>
      <c r="C639" s="2">
        <v>18</v>
      </c>
      <c r="D639" s="11">
        <v>62900.25</v>
      </c>
    </row>
    <row r="640" spans="1:4">
      <c r="A640" s="2">
        <v>2020</v>
      </c>
      <c r="B640" s="2" t="s">
        <v>82</v>
      </c>
      <c r="C640" s="2">
        <v>19</v>
      </c>
      <c r="D640" s="11">
        <v>88210.04</v>
      </c>
    </row>
    <row r="641" spans="1:4">
      <c r="A641" s="2">
        <v>2020</v>
      </c>
      <c r="B641" s="2" t="s">
        <v>83</v>
      </c>
      <c r="C641" s="2">
        <v>20</v>
      </c>
      <c r="D641" s="11">
        <v>44308.95</v>
      </c>
    </row>
    <row r="642" spans="1:4">
      <c r="A642" s="2">
        <v>2020</v>
      </c>
      <c r="B642" s="2" t="s">
        <v>84</v>
      </c>
      <c r="C642" s="2">
        <v>21</v>
      </c>
      <c r="D642" s="11">
        <v>55130.94</v>
      </c>
    </row>
    <row r="643" spans="1:4">
      <c r="A643" s="2">
        <v>2020</v>
      </c>
      <c r="B643" s="2" t="s">
        <v>85</v>
      </c>
      <c r="C643" s="2">
        <v>22</v>
      </c>
      <c r="D643" s="11">
        <v>78170.36</v>
      </c>
    </row>
    <row r="644" spans="1:4">
      <c r="A644" s="2">
        <v>2020</v>
      </c>
      <c r="B644" s="2" t="s">
        <v>86</v>
      </c>
      <c r="C644" s="2">
        <v>23</v>
      </c>
      <c r="D644" s="11">
        <v>58125.54</v>
      </c>
    </row>
    <row r="645" spans="1:4">
      <c r="A645" s="2">
        <v>2020</v>
      </c>
      <c r="B645" s="2" t="s">
        <v>87</v>
      </c>
      <c r="C645" s="2">
        <v>24</v>
      </c>
      <c r="D645" s="11">
        <v>46266.7</v>
      </c>
    </row>
    <row r="646" spans="1:4">
      <c r="A646" s="2">
        <v>2020</v>
      </c>
      <c r="B646" s="2" t="s">
        <v>88</v>
      </c>
      <c r="C646" s="2">
        <v>25</v>
      </c>
      <c r="D646" s="11">
        <v>51975.2</v>
      </c>
    </row>
    <row r="647" spans="1:4">
      <c r="A647" s="2">
        <v>2020</v>
      </c>
      <c r="B647" s="2" t="s">
        <v>89</v>
      </c>
      <c r="C647" s="2">
        <v>26</v>
      </c>
      <c r="D647" s="11">
        <v>52344.98</v>
      </c>
    </row>
    <row r="648" spans="1:4">
      <c r="A648" s="2">
        <v>2020</v>
      </c>
      <c r="B648" s="2" t="s">
        <v>90</v>
      </c>
      <c r="C648" s="2">
        <v>27</v>
      </c>
      <c r="D648" s="11">
        <v>66291.58</v>
      </c>
    </row>
    <row r="649" spans="1:4">
      <c r="A649" s="2">
        <v>2020</v>
      </c>
      <c r="B649" s="2" t="s">
        <v>91</v>
      </c>
      <c r="C649" s="2">
        <v>28</v>
      </c>
      <c r="D649" s="11">
        <v>35994.81</v>
      </c>
    </row>
    <row r="650" spans="1:4">
      <c r="A650" s="2">
        <v>2020</v>
      </c>
      <c r="B650" s="2" t="s">
        <v>92</v>
      </c>
      <c r="C650" s="2">
        <v>29</v>
      </c>
      <c r="D650" s="11">
        <v>50818.6</v>
      </c>
    </row>
    <row r="651" spans="1:4">
      <c r="A651" s="2">
        <v>2020</v>
      </c>
      <c r="B651" s="2" t="s">
        <v>93</v>
      </c>
      <c r="C651" s="2">
        <v>30</v>
      </c>
      <c r="D651" s="11">
        <v>54527.82</v>
      </c>
    </row>
    <row r="652" spans="1:4">
      <c r="A652" s="2">
        <v>2020</v>
      </c>
      <c r="B652" s="2" t="s">
        <v>94</v>
      </c>
      <c r="C652" s="2">
        <v>31</v>
      </c>
      <c r="D652" s="11">
        <v>53593.24</v>
      </c>
    </row>
  </sheetData>
  <sheetProtection formatCells="0" insertHyperlinks="0" autoFilter="0"/>
  <autoFilter ref="A1:D652">
    <extLst/>
  </autoFilter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zoomScale="50" zoomScaleNormal="50" topLeftCell="E1" workbookViewId="0">
      <selection activeCell="E8" sqref="E8"/>
    </sheetView>
  </sheetViews>
  <sheetFormatPr defaultColWidth="9" defaultRowHeight="14" outlineLevelRow="1"/>
  <sheetData>
    <row r="1" spans="1:1">
      <c r="A1" s="1" t="s">
        <v>95</v>
      </c>
    </row>
    <row r="2" s="1" customFormat="1" spans="1:1">
      <c r="A2" s="1" t="s">
        <v>96</v>
      </c>
    </row>
  </sheetData>
  <sheetProtection formatCells="0" insertHyperlinks="0" autoFilter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空间邻接矩阵</vt:lpstr>
      <vt:lpstr>空间经济地理权重矩阵（经纬度和GDP）</vt:lpstr>
      <vt:lpstr>空间经济地理矩阵（非对称）</vt:lpstr>
      <vt:lpstr>经济地理嵌套矩阵（经纬度和GDP）</vt:lpstr>
      <vt:lpstr>空间经济距离矩阵（基于GDP）</vt:lpstr>
      <vt:lpstr>空间地理距离矩阵（基于经纬度）</vt:lpstr>
      <vt:lpstr>空间距离矩阵距离平方倒数（基于经纬度）</vt:lpstr>
      <vt:lpstr>空间经济矩阵（非对称）</vt:lpstr>
      <vt:lpstr>人均GDP</vt:lpstr>
      <vt:lpstr>参考文献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YYYYY</cp:lastModifiedBy>
  <dcterms:created xsi:type="dcterms:W3CDTF">2020-12-24T18:04:00Z</dcterms:created>
  <dcterms:modified xsi:type="dcterms:W3CDTF">2023-03-15T01:34:12Z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233AC2185C954400827AF3A3D730F182</vt:lpwstr>
  </property>
</Properties>
</file>