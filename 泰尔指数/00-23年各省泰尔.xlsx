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0" windowHeight="10480"/>
  </bookViews>
  <sheets>
    <sheet name="Sheet1" sheetId="1" r:id="rId1"/>
  </sheets>
  <definedNames>
    <definedName name="_xlnm._FilterDatabase" localSheetId="0" hidden="1">Sheet1!$B$1:$E$714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<sst xmlns="http://schemas.openxmlformats.org/spreadsheetml/2006/main" count="763" uniqueCount="50">
  <si>
    <t>year</t>
  </si>
  <si>
    <t>id</t>
  </si>
  <si>
    <t>年末城镇人口比重</t>
  </si>
  <si>
    <t>年末人口数</t>
  </si>
  <si>
    <t>年末城镇人口数</t>
  </si>
  <si>
    <t>年末农村人口数</t>
  </si>
  <si>
    <t>城镇居民人均可支配收入（元）</t>
  </si>
  <si>
    <t>农村居民人均可支配收入（元）</t>
  </si>
  <si>
    <r>
      <t>城</t>
    </r>
    <r>
      <rPr>
        <sz val="11"/>
        <color theme="1"/>
        <rFont val="Times New Roman"/>
        <charset val="134"/>
      </rPr>
      <t>-</t>
    </r>
    <r>
      <rPr>
        <sz val="11"/>
        <color theme="1"/>
        <rFont val="宋体"/>
        <charset val="134"/>
      </rPr>
      <t>总收入</t>
    </r>
  </si>
  <si>
    <r>
      <t>农</t>
    </r>
    <r>
      <rPr>
        <sz val="11"/>
        <color theme="1"/>
        <rFont val="Times New Roman"/>
        <charset val="134"/>
      </rPr>
      <t>-</t>
    </r>
    <r>
      <rPr>
        <sz val="11"/>
        <color theme="1"/>
        <rFont val="宋体"/>
        <charset val="134"/>
      </rPr>
      <t>总收入</t>
    </r>
  </si>
  <si>
    <t>总收入</t>
  </si>
  <si>
    <r>
      <t>城总收</t>
    </r>
    <r>
      <rPr>
        <sz val="11"/>
        <color theme="1"/>
        <rFont val="Times New Roman"/>
        <charset val="134"/>
      </rPr>
      <t>/</t>
    </r>
    <r>
      <rPr>
        <sz val="11"/>
        <color theme="1"/>
        <rFont val="宋体"/>
        <charset val="134"/>
      </rPr>
      <t>总</t>
    </r>
  </si>
  <si>
    <r>
      <t>农总收</t>
    </r>
    <r>
      <rPr>
        <sz val="11"/>
        <color theme="1"/>
        <rFont val="Times New Roman"/>
        <charset val="134"/>
      </rPr>
      <t>/</t>
    </r>
    <r>
      <rPr>
        <sz val="11"/>
        <color theme="1"/>
        <rFont val="宋体"/>
        <charset val="134"/>
      </rPr>
      <t>总</t>
    </r>
  </si>
  <si>
    <r>
      <t>城总人</t>
    </r>
    <r>
      <rPr>
        <sz val="11"/>
        <color theme="1"/>
        <rFont val="Times New Roman"/>
        <charset val="134"/>
      </rPr>
      <t>/</t>
    </r>
    <r>
      <rPr>
        <sz val="11"/>
        <color theme="1"/>
        <rFont val="宋体"/>
        <charset val="134"/>
      </rPr>
      <t>总</t>
    </r>
  </si>
  <si>
    <r>
      <t>农总人</t>
    </r>
    <r>
      <rPr>
        <sz val="11"/>
        <color theme="1"/>
        <rFont val="Times New Roman"/>
        <charset val="134"/>
      </rPr>
      <t>/</t>
    </r>
    <r>
      <rPr>
        <sz val="11"/>
        <color theme="1"/>
        <rFont val="宋体"/>
        <charset val="134"/>
      </rPr>
      <t>总</t>
    </r>
  </si>
  <si>
    <t>x1</t>
  </si>
  <si>
    <t>x2</t>
  </si>
  <si>
    <t>泰尔指数</t>
  </si>
  <si>
    <r>
      <t>年鉴</t>
    </r>
    <r>
      <rPr>
        <sz val="11"/>
        <color theme="1"/>
        <rFont val="Times New Roman"/>
        <charset val="134"/>
      </rPr>
      <t>2014</t>
    </r>
    <r>
      <rPr>
        <sz val="11"/>
        <color theme="1"/>
        <rFont val="宋体"/>
        <charset val="134"/>
      </rPr>
      <t>年以后将</t>
    </r>
    <r>
      <rPr>
        <sz val="11"/>
        <color theme="1"/>
        <rFont val="Times New Roman"/>
        <charset val="134"/>
      </rPr>
      <t>“</t>
    </r>
    <r>
      <rPr>
        <sz val="11"/>
        <color theme="1"/>
        <rFont val="宋体"/>
        <charset val="134"/>
      </rPr>
      <t>农村居民纯收入</t>
    </r>
    <r>
      <rPr>
        <sz val="11"/>
        <color theme="1"/>
        <rFont val="Times New Roman"/>
        <charset val="134"/>
      </rPr>
      <t>”</t>
    </r>
    <r>
      <rPr>
        <sz val="11"/>
        <color theme="1"/>
        <rFont val="宋体"/>
        <charset val="134"/>
      </rPr>
      <t>更改为</t>
    </r>
    <r>
      <rPr>
        <sz val="11"/>
        <color theme="1"/>
        <rFont val="Times New Roman"/>
        <charset val="134"/>
      </rPr>
      <t>“</t>
    </r>
    <r>
      <rPr>
        <sz val="11"/>
        <color theme="1"/>
        <rFont val="宋体"/>
        <charset val="134"/>
      </rPr>
      <t>农村居民人均可支配收入</t>
    </r>
    <r>
      <rPr>
        <sz val="11"/>
        <color theme="1"/>
        <rFont val="Times New Roman"/>
        <charset val="134"/>
      </rPr>
      <t>”</t>
    </r>
    <r>
      <rPr>
        <sz val="11"/>
        <color theme="1"/>
        <rFont val="宋体"/>
        <charset val="134"/>
      </rPr>
      <t>。对比：</t>
    </r>
    <r>
      <rPr>
        <sz val="11"/>
        <color theme="1"/>
        <rFont val="Times New Roman"/>
        <charset val="134"/>
      </rPr>
      <t>13</t>
    </r>
    <r>
      <rPr>
        <sz val="11"/>
        <color theme="1"/>
        <rFont val="宋体"/>
        <charset val="134"/>
      </rPr>
      <t>年</t>
    </r>
    <r>
      <rPr>
        <sz val="11"/>
        <color theme="1"/>
        <rFont val="Times New Roman"/>
        <charset val="134"/>
      </rPr>
      <t>-18337</t>
    </r>
    <r>
      <rPr>
        <sz val="11"/>
        <color theme="1"/>
        <rFont val="宋体"/>
        <charset val="134"/>
      </rPr>
      <t>；</t>
    </r>
    <r>
      <rPr>
        <sz val="11"/>
        <color theme="1"/>
        <rFont val="Times New Roman"/>
        <charset val="134"/>
      </rPr>
      <t>14</t>
    </r>
    <r>
      <rPr>
        <sz val="11"/>
        <color theme="1"/>
        <rFont val="宋体"/>
        <charset val="134"/>
      </rPr>
      <t>年</t>
    </r>
    <r>
      <rPr>
        <sz val="11"/>
        <color theme="1"/>
        <rFont val="Times New Roman"/>
        <charset val="134"/>
      </rPr>
      <t>-18867</t>
    </r>
    <r>
      <rPr>
        <sz val="11"/>
        <color theme="1"/>
        <rFont val="宋体"/>
        <charset val="134"/>
      </rPr>
      <t>。</t>
    </r>
    <r>
      <rPr>
        <sz val="11"/>
        <color rgb="FFFF0000"/>
        <rFont val="宋体"/>
        <charset val="134"/>
      </rPr>
      <t>故此</t>
    </r>
    <r>
      <rPr>
        <sz val="11"/>
        <color rgb="FFFF0000"/>
        <rFont val="Times New Roman"/>
        <charset val="134"/>
      </rPr>
      <t>13</t>
    </r>
    <r>
      <rPr>
        <sz val="11"/>
        <color rgb="FFFF0000"/>
        <rFont val="宋体"/>
        <charset val="134"/>
      </rPr>
      <t>年之前按照年鉴的农民纯收入计算</t>
    </r>
    <r>
      <rPr>
        <sz val="11"/>
        <color theme="1"/>
        <rFont val="宋体"/>
        <charset val="134"/>
      </rPr>
      <t>。</t>
    </r>
  </si>
  <si>
    <t>北京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</si>
  <si>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</si>
  <si>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</si>
  <si>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</si>
  <si>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</si>
  <si>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</si>
  <si>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</si>
  <si>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</si>
  <si>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</si>
  <si>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</si>
  <si>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</si>
  <si>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</si>
  <si>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</si>
  <si>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</si>
  <si>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</si>
  <si>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</si>
  <si>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</si>
  <si>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</si>
  <si>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</si>
  <si>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</si>
  <si>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</si>
  <si>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</si>
  <si>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</si>
  <si>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</si>
  <si>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</si>
  <si>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西藏</t>
  </si>
  <si>
    <t>陕西</t>
  </si>
  <si>
    <t>甘肃</t>
  </si>
  <si>
    <t>青海</t>
  </si>
  <si>
    <t>宁夏</t>
  </si>
  <si>
    <t>新疆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</si>
</sst>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</numFmts>
  <fonts count="29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1"/>
      <name val="Times New Roman"/>
      <charset val="134"/>
    </font>
    <font>
      <sz val="11"/>
      <color theme="1"/>
      <name val="宋体"/>
      <charset val="134"/>
    </font>
    <font>
      <sz val="11"/>
      <name val="宋体"/>
      <charset val="134"/>
    </font>
    <font>
      <sz val="11"/>
      <name val="Times New Roman"/>
      <charset val="134"/>
    </font>
    <font>
      <sz val="11"/>
      <color rgb="FFFF0000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11"/>
      <color rgb="FFFF0000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5" applyNumberFormat="0" applyAlignment="0" applyProtection="0">
      <alignment vertical="center"/>
    </xf>
    <xf numFmtId="0" fontId="18" fillId="7" borderId="4" applyNumberFormat="0" applyAlignment="0" applyProtection="0">
      <alignment vertical="center"/>
    </xf>
    <xf numFmtId="0" fontId="19" fillId="8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7" fillId="0" borderId="0">
      <alignment vertical="center"/>
    </xf>
  </cellStyleXfs>
  <cellXfs count="31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Fill="1" applyAlignment="1">
      <alignment vertical="center" wrapText="1"/>
    </xf>
    <xf numFmtId="0" fontId="0" fillId="0" borderId="0" xfId="0" applyFill="1">
      <alignment vertical="center"/>
    </xf>
    <xf numFmtId="0" fontId="1" fillId="0" borderId="0" xfId="0" applyFont="1" applyFill="1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176" fontId="3" fillId="2" borderId="0" xfId="0" applyNumberFormat="1" applyFont="1" applyFill="1" applyAlignment="1">
      <alignment horizontal="center" vertical="center"/>
    </xf>
    <xf numFmtId="0" fontId="3" fillId="0" borderId="0" xfId="0" applyFont="1">
      <alignment vertical="center"/>
    </xf>
    <xf numFmtId="0" fontId="3" fillId="3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5" fillId="0" borderId="0" xfId="0" applyFont="1" applyFill="1" applyAlignment="1">
      <alignment horizontal="center"/>
    </xf>
    <xf numFmtId="0" fontId="6" fillId="0" borderId="0" xfId="0" applyNumberFormat="1" applyFont="1" applyFill="1" applyAlignment="1">
      <alignment horizontal="center"/>
    </xf>
    <xf numFmtId="0" fontId="3" fillId="0" borderId="0" xfId="0" applyFont="1" applyFill="1" applyAlignment="1">
      <alignment vertical="center" wrapText="1"/>
    </xf>
    <xf numFmtId="0" fontId="3" fillId="0" borderId="0" xfId="0" applyFont="1" applyFill="1" applyAlignment="1">
      <alignment horizontal="center" vertical="center"/>
    </xf>
    <xf numFmtId="176" fontId="4" fillId="2" borderId="0" xfId="0" applyNumberFormat="1" applyFont="1" applyFill="1" applyAlignment="1">
      <alignment horizontal="center" vertical="center" wrapText="1"/>
    </xf>
    <xf numFmtId="0" fontId="4" fillId="4" borderId="0" xfId="0" applyFont="1" applyFill="1" applyAlignment="1">
      <alignment vertical="center" wrapText="1"/>
    </xf>
    <xf numFmtId="0" fontId="4" fillId="0" borderId="0" xfId="0" applyFont="1" applyFill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176" fontId="3" fillId="0" borderId="0" xfId="0" applyNumberFormat="1" applyFont="1" applyFill="1" applyAlignment="1">
      <alignment horizontal="center" vertical="center"/>
    </xf>
    <xf numFmtId="0" fontId="3" fillId="0" borderId="0" xfId="0" applyFont="1" applyFill="1">
      <alignment vertical="center"/>
    </xf>
    <xf numFmtId="176" fontId="6" fillId="0" borderId="0" xfId="0" applyNumberFormat="1" applyFont="1" applyFill="1" applyAlignment="1">
      <alignment horizontal="center" vertical="center"/>
    </xf>
    <xf numFmtId="0" fontId="6" fillId="0" borderId="0" xfId="0" applyFont="1" applyFill="1">
      <alignment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76" fontId="6" fillId="2" borderId="0" xfId="0" applyNumberFormat="1" applyFont="1" applyFill="1" applyAlignment="1">
      <alignment horizontal="center" vertical="center"/>
    </xf>
    <xf numFmtId="0" fontId="7" fillId="0" borderId="0" xfId="0" applyFo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Sheet1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745"/>
  <sheetViews>
    <sheetView tabSelected="1" zoomScale="55" zoomScaleNormal="55" workbookViewId="0">
      <pane ySplit="1" topLeftCell="A2" activePane="bottomLeft" state="frozen"/>
      <selection/>
      <selection pane="bottomLeft" activeCell="D29" sqref="D29"/>
    </sheetView>
  </sheetViews>
  <sheetFormatPr defaultColWidth="8.72727272727273" defaultRowHeight="14"/>
  <cols>
    <col min="1" max="2" width="8.7" style="6" customWidth="1"/>
    <col min="3" max="3" width="9" style="6" customWidth="1"/>
    <col min="4" max="5" width="8.7" style="6" customWidth="1"/>
    <col min="6" max="8" width="8.96363636363636" style="6" customWidth="1"/>
    <col min="9" max="13" width="10.9090909090909" style="6" customWidth="1"/>
    <col min="14" max="15" width="8.18181818181818" style="6" customWidth="1"/>
    <col min="16" max="17" width="8.30909090909091" style="6" customWidth="1"/>
    <col min="18" max="18" width="8.82727272727273" style="7" customWidth="1"/>
    <col min="19" max="19" width="39.9" style="8" customWidth="1"/>
  </cols>
  <sheetData>
    <row r="1" s="1" customFormat="1" ht="61" customHeight="1" spans="1:19">
      <c r="A1" s="9" t="s">
        <v>0</v>
      </c>
      <c r="B1" s="9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9" t="s">
        <v>15</v>
      </c>
      <c r="Q1" s="9" t="s">
        <v>16</v>
      </c>
      <c r="R1" s="16" t="s">
        <v>17</v>
      </c>
      <c r="S1" s="17" t="s">
        <v>18</v>
      </c>
    </row>
    <row r="2" s="2" customFormat="1" ht="13" customHeight="1" spans="1:19">
      <c r="A2" s="11">
        <v>2000</v>
      </c>
      <c r="B2" s="12" t="s">
        <v>19</v>
      </c>
      <c r="C2" s="11">
        <v>0.7754</v>
      </c>
      <c r="D2" s="11">
        <v>1363.6</v>
      </c>
      <c r="E2" s="11">
        <v>1057.4</v>
      </c>
      <c r="F2" s="11">
        <f>D2-E2</f>
        <v>306.2</v>
      </c>
      <c r="G2" s="11">
        <v>10349.69</v>
      </c>
      <c r="H2" s="11">
        <v>4604.55</v>
      </c>
      <c r="I2" s="15">
        <f t="shared" ref="I2:I32" si="0">E2*G2</f>
        <v>10943762.206</v>
      </c>
      <c r="J2" s="15">
        <f t="shared" ref="J2:J32" si="1">F2*H2</f>
        <v>1409913.21</v>
      </c>
      <c r="K2" s="15">
        <f t="shared" ref="K2:K32" si="2">I2+J2</f>
        <v>12353675.416</v>
      </c>
      <c r="L2" s="15">
        <f t="shared" ref="L2:L32" si="3">I2/K2</f>
        <v>0.885870952366618</v>
      </c>
      <c r="M2" s="15">
        <f t="shared" ref="M2:M32" si="4">J2/K2</f>
        <v>0.114129047633382</v>
      </c>
      <c r="N2" s="15">
        <f>C2</f>
        <v>0.7754</v>
      </c>
      <c r="O2" s="15">
        <f t="shared" ref="O2:O32" si="5">F2/D2</f>
        <v>0.22455265473746</v>
      </c>
      <c r="P2" s="15">
        <f>(L2/N2)</f>
        <v>1.14246963163092</v>
      </c>
      <c r="Q2" s="15">
        <f t="shared" ref="Q2:Q32" si="6">M2/O2</f>
        <v>0.508250716371258</v>
      </c>
      <c r="R2" s="7">
        <f>L2*LN(P2)+M2*LN(Q2)</f>
        <v>0.040750852249817</v>
      </c>
      <c r="S2" s="18"/>
    </row>
    <row r="3" s="2" customFormat="1" ht="13" customHeight="1" spans="1:19">
      <c r="A3" s="11">
        <v>2000</v>
      </c>
      <c r="B3" s="12" t="s">
        <v>20</v>
      </c>
      <c r="C3" s="11">
        <v>0.7199</v>
      </c>
      <c r="D3" s="11">
        <v>1001</v>
      </c>
      <c r="E3" s="11">
        <v>721</v>
      </c>
      <c r="F3" s="11">
        <f t="shared" ref="F3:F33" si="7">D3-E3</f>
        <v>280</v>
      </c>
      <c r="G3" s="11">
        <v>8140.5</v>
      </c>
      <c r="H3" s="11">
        <v>3622.39</v>
      </c>
      <c r="I3" s="15">
        <f t="shared" si="0"/>
        <v>5869300.5</v>
      </c>
      <c r="J3" s="15">
        <f t="shared" si="1"/>
        <v>1014269.2</v>
      </c>
      <c r="K3" s="15">
        <f t="shared" si="2"/>
        <v>6883569.7</v>
      </c>
      <c r="L3" s="15">
        <f t="shared" si="3"/>
        <v>0.852653602098342</v>
      </c>
      <c r="M3" s="15">
        <f t="shared" si="4"/>
        <v>0.147346397901658</v>
      </c>
      <c r="N3" s="15">
        <f t="shared" ref="N2:N32" si="8">C3</f>
        <v>0.7199</v>
      </c>
      <c r="O3" s="15">
        <f t="shared" si="5"/>
        <v>0.27972027972028</v>
      </c>
      <c r="P3" s="15">
        <f t="shared" ref="P2:P32" si="9">(L3/N3)</f>
        <v>1.18440561480531</v>
      </c>
      <c r="Q3" s="15">
        <f t="shared" si="6"/>
        <v>0.526763372498429</v>
      </c>
      <c r="R3" s="7">
        <f t="shared" ref="R2:R33" si="10">L3*LN(P3)+M3*LN(Q3)</f>
        <v>0.0498543907747921</v>
      </c>
      <c r="S3" s="18"/>
    </row>
    <row r="4" s="2" customFormat="1" ht="13" customHeight="1" spans="1:19">
      <c r="A4" s="11">
        <v>2000</v>
      </c>
      <c r="B4" s="12" t="s">
        <v>21</v>
      </c>
      <c r="C4" s="11">
        <v>0.2608</v>
      </c>
      <c r="D4" s="11">
        <v>6744</v>
      </c>
      <c r="E4" s="11">
        <v>1759</v>
      </c>
      <c r="F4" s="11">
        <f t="shared" si="7"/>
        <v>4985</v>
      </c>
      <c r="G4" s="11">
        <v>5661.16</v>
      </c>
      <c r="H4" s="11">
        <v>2478.86</v>
      </c>
      <c r="I4" s="15">
        <f t="shared" si="0"/>
        <v>9957980.44</v>
      </c>
      <c r="J4" s="15">
        <f t="shared" si="1"/>
        <v>12357117.1</v>
      </c>
      <c r="K4" s="15">
        <f t="shared" si="2"/>
        <v>22315097.54</v>
      </c>
      <c r="L4" s="15">
        <f t="shared" si="3"/>
        <v>0.446244092016637</v>
      </c>
      <c r="M4" s="15">
        <f t="shared" si="4"/>
        <v>0.553755907983363</v>
      </c>
      <c r="N4" s="15">
        <f t="shared" si="8"/>
        <v>0.2608</v>
      </c>
      <c r="O4" s="15">
        <f t="shared" si="5"/>
        <v>0.73917556346382</v>
      </c>
      <c r="P4" s="15">
        <f t="shared" si="9"/>
        <v>1.71105863503312</v>
      </c>
      <c r="Q4" s="15">
        <f t="shared" si="6"/>
        <v>0.749153428974884</v>
      </c>
      <c r="R4" s="7">
        <f t="shared" si="10"/>
        <v>0.0797521159062569</v>
      </c>
      <c r="S4" s="18"/>
    </row>
    <row r="5" s="2" customFormat="1" ht="13" customHeight="1" spans="1:19">
      <c r="A5" s="11">
        <v>2000</v>
      </c>
      <c r="B5" s="12" t="s">
        <v>22</v>
      </c>
      <c r="C5" s="11">
        <v>0.3491</v>
      </c>
      <c r="D5" s="11">
        <v>3297</v>
      </c>
      <c r="E5" s="11">
        <v>1151</v>
      </c>
      <c r="F5" s="11">
        <f t="shared" si="7"/>
        <v>2146</v>
      </c>
      <c r="G5" s="11">
        <v>4724.11</v>
      </c>
      <c r="H5" s="11">
        <v>1905.61</v>
      </c>
      <c r="I5" s="15">
        <f t="shared" si="0"/>
        <v>5437450.61</v>
      </c>
      <c r="J5" s="15">
        <f t="shared" si="1"/>
        <v>4089439.06</v>
      </c>
      <c r="K5" s="15">
        <f t="shared" si="2"/>
        <v>9526889.67</v>
      </c>
      <c r="L5" s="15">
        <f t="shared" si="3"/>
        <v>0.570747725474604</v>
      </c>
      <c r="M5" s="15">
        <f t="shared" si="4"/>
        <v>0.429252274525396</v>
      </c>
      <c r="N5" s="15">
        <f t="shared" si="8"/>
        <v>0.3491</v>
      </c>
      <c r="O5" s="15">
        <f t="shared" si="5"/>
        <v>0.650894752805581</v>
      </c>
      <c r="P5" s="15">
        <f t="shared" si="9"/>
        <v>1.63491184610313</v>
      </c>
      <c r="Q5" s="15">
        <f t="shared" si="6"/>
        <v>0.659480311794143</v>
      </c>
      <c r="R5" s="7">
        <f t="shared" si="10"/>
        <v>0.101874160095183</v>
      </c>
      <c r="S5" s="18"/>
    </row>
    <row r="6" s="2" customFormat="1" ht="13" customHeight="1" spans="1:19">
      <c r="A6" s="11">
        <v>2000</v>
      </c>
      <c r="B6" s="12" t="s">
        <v>23</v>
      </c>
      <c r="C6" s="11">
        <v>0.4268</v>
      </c>
      <c r="D6" s="11">
        <v>2376</v>
      </c>
      <c r="E6" s="11">
        <v>1014</v>
      </c>
      <c r="F6" s="11">
        <f t="shared" si="7"/>
        <v>1362</v>
      </c>
      <c r="G6" s="11">
        <v>5129.05</v>
      </c>
      <c r="H6" s="11">
        <v>2038.21</v>
      </c>
      <c r="I6" s="15">
        <f t="shared" si="0"/>
        <v>5200856.7</v>
      </c>
      <c r="J6" s="15">
        <f t="shared" si="1"/>
        <v>2776042.02</v>
      </c>
      <c r="K6" s="15">
        <f t="shared" si="2"/>
        <v>7976898.72</v>
      </c>
      <c r="L6" s="15">
        <f t="shared" si="3"/>
        <v>0.65198981240168</v>
      </c>
      <c r="M6" s="15">
        <f t="shared" si="4"/>
        <v>0.34801018759832</v>
      </c>
      <c r="N6" s="15">
        <f t="shared" si="8"/>
        <v>0.4268</v>
      </c>
      <c r="O6" s="15">
        <f t="shared" si="5"/>
        <v>0.573232323232323</v>
      </c>
      <c r="P6" s="15">
        <f t="shared" si="9"/>
        <v>1.52762374039756</v>
      </c>
      <c r="Q6" s="15">
        <f t="shared" si="6"/>
        <v>0.607101472638479</v>
      </c>
      <c r="R6" s="7">
        <f t="shared" si="10"/>
        <v>0.102579099951338</v>
      </c>
      <c r="S6" s="18"/>
    </row>
    <row r="7" s="2" customFormat="1" ht="13" customHeight="1" spans="1:19">
      <c r="A7" s="11">
        <v>2000</v>
      </c>
      <c r="B7" s="12" t="s">
        <v>24</v>
      </c>
      <c r="C7" s="11">
        <v>0.5424</v>
      </c>
      <c r="D7" s="11">
        <v>4238</v>
      </c>
      <c r="E7" s="11">
        <v>2299</v>
      </c>
      <c r="F7" s="11">
        <f t="shared" si="7"/>
        <v>1939</v>
      </c>
      <c r="G7" s="11">
        <v>5357.79</v>
      </c>
      <c r="H7" s="11">
        <v>2355.58</v>
      </c>
      <c r="I7" s="15">
        <f t="shared" si="0"/>
        <v>12317559.21</v>
      </c>
      <c r="J7" s="15">
        <f t="shared" si="1"/>
        <v>4567469.62</v>
      </c>
      <c r="K7" s="15">
        <f t="shared" si="2"/>
        <v>16885028.83</v>
      </c>
      <c r="L7" s="15">
        <f t="shared" si="3"/>
        <v>0.729495894500051</v>
      </c>
      <c r="M7" s="15">
        <f t="shared" si="4"/>
        <v>0.270504105499949</v>
      </c>
      <c r="N7" s="15">
        <f t="shared" si="8"/>
        <v>0.5424</v>
      </c>
      <c r="O7" s="15">
        <f t="shared" si="5"/>
        <v>0.457527135441246</v>
      </c>
      <c r="P7" s="15">
        <f t="shared" si="9"/>
        <v>1.34494080844405</v>
      </c>
      <c r="Q7" s="15">
        <f t="shared" si="6"/>
        <v>0.591230737033927</v>
      </c>
      <c r="R7" s="7">
        <f t="shared" si="10"/>
        <v>0.0740229704431369</v>
      </c>
      <c r="S7" s="18"/>
    </row>
    <row r="8" s="2" customFormat="1" ht="13" customHeight="1" spans="1:19">
      <c r="A8" s="11">
        <v>2000</v>
      </c>
      <c r="B8" s="12" t="s">
        <v>25</v>
      </c>
      <c r="C8" s="11">
        <v>0.4968</v>
      </c>
      <c r="D8" s="11">
        <v>2728</v>
      </c>
      <c r="E8" s="11">
        <v>1355</v>
      </c>
      <c r="F8" s="11">
        <f t="shared" si="7"/>
        <v>1373</v>
      </c>
      <c r="G8" s="11">
        <v>4810</v>
      </c>
      <c r="H8" s="11">
        <v>2022.5</v>
      </c>
      <c r="I8" s="15">
        <f t="shared" si="0"/>
        <v>6517550</v>
      </c>
      <c r="J8" s="15">
        <f t="shared" si="1"/>
        <v>2776892.5</v>
      </c>
      <c r="K8" s="15">
        <f t="shared" si="2"/>
        <v>9294442.5</v>
      </c>
      <c r="L8" s="15">
        <f t="shared" si="3"/>
        <v>0.701230869952663</v>
      </c>
      <c r="M8" s="15">
        <f t="shared" si="4"/>
        <v>0.298769130047337</v>
      </c>
      <c r="N8" s="15">
        <f t="shared" si="8"/>
        <v>0.4968</v>
      </c>
      <c r="O8" s="15">
        <f t="shared" si="5"/>
        <v>0.503299120234604</v>
      </c>
      <c r="P8" s="15">
        <f t="shared" si="9"/>
        <v>1.41149530988861</v>
      </c>
      <c r="Q8" s="15">
        <f t="shared" si="6"/>
        <v>0.593621403327849</v>
      </c>
      <c r="R8" s="7">
        <f t="shared" si="10"/>
        <v>0.0858668270850132</v>
      </c>
      <c r="S8" s="18"/>
    </row>
    <row r="9" s="2" customFormat="1" ht="13" customHeight="1" spans="1:19">
      <c r="A9" s="11">
        <v>2000</v>
      </c>
      <c r="B9" s="12" t="s">
        <v>26</v>
      </c>
      <c r="C9" s="11">
        <v>0.5154</v>
      </c>
      <c r="D9" s="11">
        <v>3689</v>
      </c>
      <c r="E9" s="11">
        <v>1901</v>
      </c>
      <c r="F9" s="11">
        <f t="shared" si="7"/>
        <v>1788</v>
      </c>
      <c r="G9" s="11">
        <v>4912.88</v>
      </c>
      <c r="H9" s="11">
        <v>2148.22</v>
      </c>
      <c r="I9" s="15">
        <f t="shared" si="0"/>
        <v>9339384.88</v>
      </c>
      <c r="J9" s="15">
        <f t="shared" si="1"/>
        <v>3841017.36</v>
      </c>
      <c r="K9" s="15">
        <f t="shared" si="2"/>
        <v>13180402.24</v>
      </c>
      <c r="L9" s="15">
        <f t="shared" si="3"/>
        <v>0.70858117301282</v>
      </c>
      <c r="M9" s="15">
        <f t="shared" si="4"/>
        <v>0.29141882698718</v>
      </c>
      <c r="N9" s="15">
        <f t="shared" si="8"/>
        <v>0.5154</v>
      </c>
      <c r="O9" s="15">
        <f t="shared" si="5"/>
        <v>0.484684196259149</v>
      </c>
      <c r="P9" s="15">
        <f t="shared" si="9"/>
        <v>1.37481795307105</v>
      </c>
      <c r="Q9" s="15">
        <f t="shared" si="6"/>
        <v>0.601255063062476</v>
      </c>
      <c r="R9" s="7">
        <f t="shared" si="10"/>
        <v>0.0773012385083199</v>
      </c>
      <c r="S9" s="18"/>
    </row>
    <row r="10" s="2" customFormat="1" ht="13" customHeight="1" spans="1:19">
      <c r="A10" s="11">
        <v>2000</v>
      </c>
      <c r="B10" s="12" t="s">
        <v>27</v>
      </c>
      <c r="C10" s="11">
        <v>0.8831</v>
      </c>
      <c r="D10" s="11">
        <v>1674</v>
      </c>
      <c r="E10" s="11">
        <v>1478</v>
      </c>
      <c r="F10" s="11">
        <f t="shared" si="7"/>
        <v>196</v>
      </c>
      <c r="G10" s="11">
        <v>11718.01</v>
      </c>
      <c r="H10" s="11">
        <v>5596.37</v>
      </c>
      <c r="I10" s="15">
        <f t="shared" si="0"/>
        <v>17319218.78</v>
      </c>
      <c r="J10" s="15">
        <f t="shared" si="1"/>
        <v>1096888.52</v>
      </c>
      <c r="K10" s="15">
        <f t="shared" si="2"/>
        <v>18416107.3</v>
      </c>
      <c r="L10" s="15">
        <f t="shared" si="3"/>
        <v>0.940438633304444</v>
      </c>
      <c r="M10" s="15">
        <f t="shared" si="4"/>
        <v>0.0595613666955557</v>
      </c>
      <c r="N10" s="15">
        <f t="shared" si="8"/>
        <v>0.8831</v>
      </c>
      <c r="O10" s="15">
        <f t="shared" si="5"/>
        <v>0.117084826762246</v>
      </c>
      <c r="P10" s="15">
        <f t="shared" si="9"/>
        <v>1.06492881135143</v>
      </c>
      <c r="Q10" s="15">
        <f t="shared" si="6"/>
        <v>0.508702693103879</v>
      </c>
      <c r="R10" s="7">
        <f t="shared" si="10"/>
        <v>0.0189040460135621</v>
      </c>
      <c r="S10" s="18"/>
    </row>
    <row r="11" s="2" customFormat="1" ht="13" customHeight="1" spans="1:19">
      <c r="A11" s="11">
        <v>2000</v>
      </c>
      <c r="B11" s="12" t="s">
        <v>28</v>
      </c>
      <c r="C11" s="11">
        <v>0.4149</v>
      </c>
      <c r="D11" s="11">
        <v>7438</v>
      </c>
      <c r="E11" s="11">
        <v>3086</v>
      </c>
      <c r="F11" s="11">
        <f t="shared" si="7"/>
        <v>4352</v>
      </c>
      <c r="G11" s="11">
        <v>6800.23</v>
      </c>
      <c r="H11" s="11">
        <v>3595.09</v>
      </c>
      <c r="I11" s="15">
        <f t="shared" si="0"/>
        <v>20985509.78</v>
      </c>
      <c r="J11" s="15">
        <f t="shared" si="1"/>
        <v>15645831.68</v>
      </c>
      <c r="K11" s="15">
        <f t="shared" si="2"/>
        <v>36631341.46</v>
      </c>
      <c r="L11" s="15">
        <f t="shared" si="3"/>
        <v>0.572884009801152</v>
      </c>
      <c r="M11" s="15">
        <f t="shared" si="4"/>
        <v>0.427115990198848</v>
      </c>
      <c r="N11" s="15">
        <f t="shared" si="8"/>
        <v>0.4149</v>
      </c>
      <c r="O11" s="15">
        <f t="shared" si="5"/>
        <v>0.585103522452272</v>
      </c>
      <c r="P11" s="15">
        <f t="shared" si="9"/>
        <v>1.38077611424717</v>
      </c>
      <c r="Q11" s="15">
        <f t="shared" si="6"/>
        <v>0.729983624792975</v>
      </c>
      <c r="R11" s="7">
        <f t="shared" si="10"/>
        <v>0.0504110143361141</v>
      </c>
      <c r="S11" s="18"/>
    </row>
    <row r="12" s="2" customFormat="1" customHeight="1" spans="1:19">
      <c r="A12" s="11">
        <v>2000</v>
      </c>
      <c r="B12" s="12" t="s">
        <v>29</v>
      </c>
      <c r="C12" s="11">
        <v>0.4867</v>
      </c>
      <c r="D12" s="11">
        <v>4677</v>
      </c>
      <c r="E12" s="11">
        <v>2277</v>
      </c>
      <c r="F12" s="11">
        <f t="shared" si="7"/>
        <v>2400</v>
      </c>
      <c r="G12" s="11">
        <v>9279.16</v>
      </c>
      <c r="H12" s="11">
        <v>4253.67</v>
      </c>
      <c r="I12" s="15">
        <f t="shared" si="0"/>
        <v>21128647.32</v>
      </c>
      <c r="J12" s="15">
        <f t="shared" si="1"/>
        <v>10208808</v>
      </c>
      <c r="K12" s="15">
        <f t="shared" si="2"/>
        <v>31337455.32</v>
      </c>
      <c r="L12" s="15">
        <f t="shared" si="3"/>
        <v>0.674229834689717</v>
      </c>
      <c r="M12" s="15">
        <f t="shared" si="4"/>
        <v>0.325770165310283</v>
      </c>
      <c r="N12" s="15">
        <f t="shared" si="8"/>
        <v>0.4867</v>
      </c>
      <c r="O12" s="15">
        <f t="shared" si="5"/>
        <v>0.513149454778704</v>
      </c>
      <c r="P12" s="15">
        <f t="shared" si="9"/>
        <v>1.38530888574012</v>
      </c>
      <c r="Q12" s="15">
        <f t="shared" si="6"/>
        <v>0.634844609648413</v>
      </c>
      <c r="R12" s="7">
        <f t="shared" si="10"/>
        <v>0.0717252776257092</v>
      </c>
      <c r="S12" s="18"/>
    </row>
    <row r="13" s="2" customFormat="1" ht="13" customHeight="1" spans="1:19">
      <c r="A13" s="11">
        <v>2000</v>
      </c>
      <c r="B13" s="12" t="s">
        <v>30</v>
      </c>
      <c r="C13" s="11">
        <v>0.28</v>
      </c>
      <c r="D13" s="11">
        <v>6093</v>
      </c>
      <c r="E13" s="11">
        <v>1665</v>
      </c>
      <c r="F13" s="11">
        <f t="shared" si="7"/>
        <v>4428</v>
      </c>
      <c r="G13" s="11">
        <v>5293.55</v>
      </c>
      <c r="H13" s="11">
        <v>1934.57</v>
      </c>
      <c r="I13" s="15">
        <f t="shared" si="0"/>
        <v>8813760.75</v>
      </c>
      <c r="J13" s="15">
        <f t="shared" si="1"/>
        <v>8566275.96</v>
      </c>
      <c r="K13" s="15">
        <f t="shared" si="2"/>
        <v>17380036.71</v>
      </c>
      <c r="L13" s="15">
        <f t="shared" si="3"/>
        <v>0.507119800554207</v>
      </c>
      <c r="M13" s="15">
        <f t="shared" si="4"/>
        <v>0.492880199445793</v>
      </c>
      <c r="N13" s="15">
        <f t="shared" si="8"/>
        <v>0.28</v>
      </c>
      <c r="O13" s="15">
        <f t="shared" si="5"/>
        <v>0.726735598227474</v>
      </c>
      <c r="P13" s="15">
        <f t="shared" si="9"/>
        <v>1.81114214483645</v>
      </c>
      <c r="Q13" s="15">
        <f t="shared" si="6"/>
        <v>0.678211168749597</v>
      </c>
      <c r="R13" s="7">
        <f t="shared" si="10"/>
        <v>0.109823996486844</v>
      </c>
      <c r="S13" s="18"/>
    </row>
    <row r="14" s="2" customFormat="1" ht="13" customHeight="1" spans="1:19">
      <c r="A14" s="11">
        <v>2000</v>
      </c>
      <c r="B14" s="12" t="s">
        <v>31</v>
      </c>
      <c r="C14" s="11">
        <v>0.4157</v>
      </c>
      <c r="D14" s="11">
        <v>3471</v>
      </c>
      <c r="E14" s="11">
        <v>1443</v>
      </c>
      <c r="F14" s="11">
        <f t="shared" si="7"/>
        <v>2028</v>
      </c>
      <c r="G14" s="11">
        <v>7432.26</v>
      </c>
      <c r="H14" s="11">
        <v>3230.49</v>
      </c>
      <c r="I14" s="15">
        <f t="shared" si="0"/>
        <v>10724751.18</v>
      </c>
      <c r="J14" s="15">
        <f t="shared" si="1"/>
        <v>6551433.72</v>
      </c>
      <c r="K14" s="15">
        <f t="shared" si="2"/>
        <v>17276184.9</v>
      </c>
      <c r="L14" s="15">
        <f t="shared" si="3"/>
        <v>0.620782380026507</v>
      </c>
      <c r="M14" s="15">
        <f t="shared" si="4"/>
        <v>0.379217619973493</v>
      </c>
      <c r="N14" s="15">
        <f t="shared" si="8"/>
        <v>0.4157</v>
      </c>
      <c r="O14" s="15">
        <f t="shared" si="5"/>
        <v>0.584269662921348</v>
      </c>
      <c r="P14" s="15">
        <f t="shared" si="9"/>
        <v>1.49334226612102</v>
      </c>
      <c r="Q14" s="15">
        <f t="shared" si="6"/>
        <v>0.649045541877709</v>
      </c>
      <c r="R14" s="7">
        <f t="shared" si="10"/>
        <v>0.0850264025318697</v>
      </c>
      <c r="S14" s="18"/>
    </row>
    <row r="15" s="2" customFormat="1" ht="13" customHeight="1" spans="1:19">
      <c r="A15" s="11">
        <v>2000</v>
      </c>
      <c r="B15" s="12" t="s">
        <v>32</v>
      </c>
      <c r="C15" s="11">
        <v>0.2767</v>
      </c>
      <c r="D15" s="11">
        <v>4140</v>
      </c>
      <c r="E15" s="11">
        <v>1146</v>
      </c>
      <c r="F15" s="11">
        <f t="shared" si="7"/>
        <v>2994</v>
      </c>
      <c r="G15" s="11">
        <v>5103.58</v>
      </c>
      <c r="H15" s="11">
        <v>2135.3</v>
      </c>
      <c r="I15" s="15">
        <f t="shared" si="0"/>
        <v>5848702.68</v>
      </c>
      <c r="J15" s="15">
        <f t="shared" si="1"/>
        <v>6393088.2</v>
      </c>
      <c r="K15" s="15">
        <f t="shared" si="2"/>
        <v>12241790.88</v>
      </c>
      <c r="L15" s="15">
        <f t="shared" si="3"/>
        <v>0.477765282656095</v>
      </c>
      <c r="M15" s="15">
        <f t="shared" si="4"/>
        <v>0.522234717343906</v>
      </c>
      <c r="N15" s="15">
        <f t="shared" si="8"/>
        <v>0.2767</v>
      </c>
      <c r="O15" s="15">
        <f t="shared" si="5"/>
        <v>0.723188405797101</v>
      </c>
      <c r="P15" s="15">
        <f t="shared" si="9"/>
        <v>1.72665443677663</v>
      </c>
      <c r="Q15" s="15">
        <f t="shared" si="6"/>
        <v>0.722128166267124</v>
      </c>
      <c r="R15" s="7">
        <f t="shared" si="10"/>
        <v>0.0909336669449035</v>
      </c>
      <c r="S15" s="18"/>
    </row>
    <row r="16" s="2" customFormat="1" ht="13" customHeight="1" spans="1:19">
      <c r="A16" s="11">
        <v>2000</v>
      </c>
      <c r="B16" s="12" t="s">
        <v>33</v>
      </c>
      <c r="C16" s="11">
        <v>0.38</v>
      </c>
      <c r="D16" s="11">
        <v>9079</v>
      </c>
      <c r="E16" s="11">
        <v>3450</v>
      </c>
      <c r="F16" s="11">
        <f t="shared" si="7"/>
        <v>5629</v>
      </c>
      <c r="G16" s="11">
        <v>6489.97</v>
      </c>
      <c r="H16" s="11">
        <v>2659.2</v>
      </c>
      <c r="I16" s="15">
        <f t="shared" si="0"/>
        <v>22390396.5</v>
      </c>
      <c r="J16" s="15">
        <f t="shared" si="1"/>
        <v>14968636.8</v>
      </c>
      <c r="K16" s="15">
        <f t="shared" si="2"/>
        <v>37359033.3</v>
      </c>
      <c r="L16" s="15">
        <f t="shared" si="3"/>
        <v>0.599330189306585</v>
      </c>
      <c r="M16" s="15">
        <f t="shared" si="4"/>
        <v>0.400669810693415</v>
      </c>
      <c r="N16" s="15">
        <f t="shared" si="8"/>
        <v>0.38</v>
      </c>
      <c r="O16" s="15">
        <f t="shared" si="5"/>
        <v>0.62000220288578</v>
      </c>
      <c r="P16" s="15">
        <f t="shared" si="9"/>
        <v>1.57718470870154</v>
      </c>
      <c r="Q16" s="15">
        <f t="shared" si="6"/>
        <v>0.646239334035445</v>
      </c>
      <c r="R16" s="7">
        <f t="shared" si="10"/>
        <v>0.098153090535881</v>
      </c>
      <c r="S16" s="18"/>
    </row>
    <row r="17" s="2" customFormat="1" ht="13" customHeight="1" spans="1:19">
      <c r="A17" s="11">
        <v>2000</v>
      </c>
      <c r="B17" s="12" t="s">
        <v>34</v>
      </c>
      <c r="C17" s="11">
        <v>0.232</v>
      </c>
      <c r="D17" s="11">
        <v>9256</v>
      </c>
      <c r="E17" s="11">
        <v>2147</v>
      </c>
      <c r="F17" s="11">
        <f t="shared" si="7"/>
        <v>7109</v>
      </c>
      <c r="G17" s="11">
        <v>4766.26</v>
      </c>
      <c r="H17" s="11">
        <v>1985.82</v>
      </c>
      <c r="I17" s="15">
        <f t="shared" si="0"/>
        <v>10233160.22</v>
      </c>
      <c r="J17" s="15">
        <f t="shared" si="1"/>
        <v>14117194.38</v>
      </c>
      <c r="K17" s="15">
        <f t="shared" si="2"/>
        <v>24350354.6</v>
      </c>
      <c r="L17" s="15">
        <f t="shared" si="3"/>
        <v>0.420246866548711</v>
      </c>
      <c r="M17" s="15">
        <f t="shared" si="4"/>
        <v>0.579753133451289</v>
      </c>
      <c r="N17" s="15">
        <f t="shared" si="8"/>
        <v>0.232</v>
      </c>
      <c r="O17" s="15">
        <f t="shared" si="5"/>
        <v>0.768042350907519</v>
      </c>
      <c r="P17" s="15">
        <f t="shared" si="9"/>
        <v>1.81140890753755</v>
      </c>
      <c r="Q17" s="15">
        <f t="shared" si="6"/>
        <v>0.754845267017179</v>
      </c>
      <c r="R17" s="7">
        <f t="shared" si="10"/>
        <v>0.0866195235144027</v>
      </c>
      <c r="S17" s="18"/>
    </row>
    <row r="18" s="2" customFormat="1" ht="13" customHeight="1" spans="1:19">
      <c r="A18" s="11">
        <v>2000</v>
      </c>
      <c r="B18" s="12" t="s">
        <v>35</v>
      </c>
      <c r="C18" s="11">
        <v>0.4022</v>
      </c>
      <c r="D18" s="11">
        <v>6028</v>
      </c>
      <c r="E18" s="11">
        <v>2424</v>
      </c>
      <c r="F18" s="11">
        <f t="shared" si="7"/>
        <v>3604</v>
      </c>
      <c r="G18" s="11">
        <v>5524.54</v>
      </c>
      <c r="H18" s="11">
        <v>2268.59</v>
      </c>
      <c r="I18" s="15">
        <f t="shared" si="0"/>
        <v>13391484.96</v>
      </c>
      <c r="J18" s="15">
        <f t="shared" si="1"/>
        <v>8175998.36</v>
      </c>
      <c r="K18" s="15">
        <f t="shared" si="2"/>
        <v>21567483.32</v>
      </c>
      <c r="L18" s="15">
        <f t="shared" si="3"/>
        <v>0.620910875938028</v>
      </c>
      <c r="M18" s="15">
        <f t="shared" si="4"/>
        <v>0.379089124061972</v>
      </c>
      <c r="N18" s="15">
        <f t="shared" si="8"/>
        <v>0.4022</v>
      </c>
      <c r="O18" s="15">
        <f t="shared" si="5"/>
        <v>0.597876575978766</v>
      </c>
      <c r="P18" s="15">
        <f t="shared" si="9"/>
        <v>1.54378636483846</v>
      </c>
      <c r="Q18" s="15">
        <f t="shared" si="6"/>
        <v>0.634059167548715</v>
      </c>
      <c r="R18" s="7">
        <f t="shared" si="10"/>
        <v>0.0969052100749641</v>
      </c>
      <c r="S18" s="18"/>
    </row>
    <row r="19" s="2" customFormat="1" ht="13" customHeight="1" spans="1:19">
      <c r="A19" s="11">
        <v>2000</v>
      </c>
      <c r="B19" s="12" t="s">
        <v>36</v>
      </c>
      <c r="C19" s="11">
        <v>0.2975</v>
      </c>
      <c r="D19" s="11">
        <v>6440</v>
      </c>
      <c r="E19" s="11">
        <v>1916</v>
      </c>
      <c r="F19" s="11">
        <f t="shared" si="7"/>
        <v>4524</v>
      </c>
      <c r="G19" s="11">
        <v>6218.73</v>
      </c>
      <c r="H19" s="11">
        <v>2197.16</v>
      </c>
      <c r="I19" s="15">
        <f t="shared" si="0"/>
        <v>11915086.68</v>
      </c>
      <c r="J19" s="15">
        <f t="shared" si="1"/>
        <v>9939951.84</v>
      </c>
      <c r="K19" s="15">
        <f t="shared" si="2"/>
        <v>21855038.52</v>
      </c>
      <c r="L19" s="15">
        <f t="shared" si="3"/>
        <v>0.545187173616567</v>
      </c>
      <c r="M19" s="15">
        <f t="shared" si="4"/>
        <v>0.454812826383433</v>
      </c>
      <c r="N19" s="15">
        <f t="shared" si="8"/>
        <v>0.2975</v>
      </c>
      <c r="O19" s="15">
        <f t="shared" si="5"/>
        <v>0.702484472049689</v>
      </c>
      <c r="P19" s="15">
        <f t="shared" si="9"/>
        <v>1.83256192812291</v>
      </c>
      <c r="Q19" s="15">
        <f t="shared" si="6"/>
        <v>0.647434704223985</v>
      </c>
      <c r="R19" s="7">
        <f t="shared" si="10"/>
        <v>0.132503905480627</v>
      </c>
      <c r="S19" s="18"/>
    </row>
    <row r="20" s="2" customFormat="1" ht="13" customHeight="1" spans="1:19">
      <c r="A20" s="11">
        <v>2000</v>
      </c>
      <c r="B20" s="12" t="s">
        <v>37</v>
      </c>
      <c r="C20" s="11">
        <v>0.55</v>
      </c>
      <c r="D20" s="11">
        <v>8642</v>
      </c>
      <c r="E20" s="11">
        <v>4753</v>
      </c>
      <c r="F20" s="11">
        <f t="shared" si="7"/>
        <v>3889</v>
      </c>
      <c r="G20" s="11">
        <v>9761.57</v>
      </c>
      <c r="H20" s="11">
        <v>3654.48</v>
      </c>
      <c r="I20" s="15">
        <f t="shared" si="0"/>
        <v>46396742.21</v>
      </c>
      <c r="J20" s="15">
        <f t="shared" si="1"/>
        <v>14212272.72</v>
      </c>
      <c r="K20" s="15">
        <f t="shared" si="2"/>
        <v>60609014.93</v>
      </c>
      <c r="L20" s="15">
        <f t="shared" si="3"/>
        <v>0.765508930702563</v>
      </c>
      <c r="M20" s="15">
        <f t="shared" si="4"/>
        <v>0.234491069297437</v>
      </c>
      <c r="N20" s="15">
        <f t="shared" si="8"/>
        <v>0.55</v>
      </c>
      <c r="O20" s="15">
        <f t="shared" si="5"/>
        <v>0.45001157139551</v>
      </c>
      <c r="P20" s="15">
        <f t="shared" si="9"/>
        <v>1.39183441945921</v>
      </c>
      <c r="Q20" s="15">
        <f t="shared" si="6"/>
        <v>0.521077865998572</v>
      </c>
      <c r="R20" s="7">
        <f t="shared" si="10"/>
        <v>0.100240193470957</v>
      </c>
      <c r="S20" s="18"/>
    </row>
    <row r="21" s="2" customFormat="1" ht="13" customHeight="1" spans="1:19">
      <c r="A21" s="11">
        <v>2000</v>
      </c>
      <c r="B21" s="12" t="s">
        <v>38</v>
      </c>
      <c r="C21" s="11">
        <v>0.2815</v>
      </c>
      <c r="D21" s="11">
        <v>4489</v>
      </c>
      <c r="E21" s="11">
        <v>1264</v>
      </c>
      <c r="F21" s="11">
        <f t="shared" si="7"/>
        <v>3225</v>
      </c>
      <c r="G21" s="11">
        <v>5834.43</v>
      </c>
      <c r="H21" s="11">
        <v>1864.51</v>
      </c>
      <c r="I21" s="15">
        <f t="shared" si="0"/>
        <v>7374719.52</v>
      </c>
      <c r="J21" s="15">
        <f t="shared" si="1"/>
        <v>6013044.75</v>
      </c>
      <c r="K21" s="15">
        <f t="shared" si="2"/>
        <v>13387764.27</v>
      </c>
      <c r="L21" s="15">
        <f t="shared" si="3"/>
        <v>0.550855196675793</v>
      </c>
      <c r="M21" s="15">
        <f t="shared" si="4"/>
        <v>0.449144803324207</v>
      </c>
      <c r="N21" s="15">
        <f t="shared" si="8"/>
        <v>0.2815</v>
      </c>
      <c r="O21" s="15">
        <f t="shared" si="5"/>
        <v>0.718422811316552</v>
      </c>
      <c r="P21" s="15">
        <f t="shared" si="9"/>
        <v>1.95685682655699</v>
      </c>
      <c r="Q21" s="15">
        <f t="shared" si="6"/>
        <v>0.625181712286005</v>
      </c>
      <c r="R21" s="7">
        <f t="shared" si="10"/>
        <v>0.158841744284771</v>
      </c>
      <c r="S21" s="18"/>
    </row>
    <row r="22" s="2" customFormat="1" ht="13" customHeight="1" spans="1:19">
      <c r="A22" s="11">
        <v>2000</v>
      </c>
      <c r="B22" s="12" t="s">
        <v>39</v>
      </c>
      <c r="C22" s="11">
        <v>0.4011</v>
      </c>
      <c r="D22" s="11">
        <v>787</v>
      </c>
      <c r="E22" s="11">
        <v>316</v>
      </c>
      <c r="F22" s="11">
        <f t="shared" si="7"/>
        <v>471</v>
      </c>
      <c r="G22" s="11">
        <v>5358.32</v>
      </c>
      <c r="H22" s="11">
        <v>2182.26</v>
      </c>
      <c r="I22" s="15">
        <f t="shared" si="0"/>
        <v>1693229.12</v>
      </c>
      <c r="J22" s="15">
        <f t="shared" si="1"/>
        <v>1027844.46</v>
      </c>
      <c r="K22" s="15">
        <f t="shared" si="2"/>
        <v>2721073.58</v>
      </c>
      <c r="L22" s="15">
        <f t="shared" si="3"/>
        <v>0.622265098762967</v>
      </c>
      <c r="M22" s="15">
        <f t="shared" si="4"/>
        <v>0.377734901237033</v>
      </c>
      <c r="N22" s="15">
        <f t="shared" si="8"/>
        <v>0.4011</v>
      </c>
      <c r="O22" s="15">
        <f t="shared" si="5"/>
        <v>0.598475222363405</v>
      </c>
      <c r="P22" s="15">
        <f t="shared" si="9"/>
        <v>1.55139640678875</v>
      </c>
      <c r="Q22" s="15">
        <f t="shared" si="6"/>
        <v>0.631162138585021</v>
      </c>
      <c r="R22" s="7">
        <f t="shared" si="10"/>
        <v>0.0994403324127116</v>
      </c>
      <c r="S22" s="18"/>
    </row>
    <row r="23" s="2" customFormat="1" ht="13" customHeight="1" spans="1:19">
      <c r="A23" s="11">
        <v>2000</v>
      </c>
      <c r="B23" s="12" t="s">
        <v>40</v>
      </c>
      <c r="C23" s="11">
        <v>0.3309</v>
      </c>
      <c r="D23" s="11">
        <v>3090</v>
      </c>
      <c r="E23" s="11">
        <v>1023</v>
      </c>
      <c r="F23" s="11">
        <f t="shared" si="7"/>
        <v>2067</v>
      </c>
      <c r="G23" s="11">
        <v>6275.98</v>
      </c>
      <c r="H23" s="11">
        <v>1892.44</v>
      </c>
      <c r="I23" s="15">
        <f t="shared" si="0"/>
        <v>6420327.54</v>
      </c>
      <c r="J23" s="15">
        <f t="shared" si="1"/>
        <v>3911673.48</v>
      </c>
      <c r="K23" s="15">
        <f t="shared" si="2"/>
        <v>10332001.02</v>
      </c>
      <c r="L23" s="15">
        <f t="shared" si="3"/>
        <v>0.621402139582832</v>
      </c>
      <c r="M23" s="15">
        <f t="shared" si="4"/>
        <v>0.378597860417168</v>
      </c>
      <c r="N23" s="15">
        <f t="shared" si="8"/>
        <v>0.3309</v>
      </c>
      <c r="O23" s="15">
        <f t="shared" si="5"/>
        <v>0.668932038834951</v>
      </c>
      <c r="P23" s="15">
        <f t="shared" si="9"/>
        <v>1.87791519970635</v>
      </c>
      <c r="Q23" s="15">
        <f t="shared" si="6"/>
        <v>0.565973579433503</v>
      </c>
      <c r="R23" s="7">
        <f t="shared" si="10"/>
        <v>0.176083269019436</v>
      </c>
      <c r="S23" s="18"/>
    </row>
    <row r="24" s="2" customFormat="1" ht="13" customHeight="1" spans="1:19">
      <c r="A24" s="11">
        <v>2000</v>
      </c>
      <c r="B24" s="12" t="s">
        <v>41</v>
      </c>
      <c r="C24" s="11">
        <v>0.2669</v>
      </c>
      <c r="D24" s="11">
        <v>8329</v>
      </c>
      <c r="E24" s="11">
        <v>2223</v>
      </c>
      <c r="F24" s="11">
        <f t="shared" si="7"/>
        <v>6106</v>
      </c>
      <c r="G24" s="11">
        <v>5894.27</v>
      </c>
      <c r="H24" s="11">
        <v>1903.6</v>
      </c>
      <c r="I24" s="15">
        <f t="shared" si="0"/>
        <v>13102962.21</v>
      </c>
      <c r="J24" s="15">
        <f t="shared" si="1"/>
        <v>11623381.6</v>
      </c>
      <c r="K24" s="15">
        <f t="shared" si="2"/>
        <v>24726343.81</v>
      </c>
      <c r="L24" s="15">
        <f t="shared" si="3"/>
        <v>0.52991911423236</v>
      </c>
      <c r="M24" s="15">
        <f t="shared" si="4"/>
        <v>0.47008088576764</v>
      </c>
      <c r="N24" s="15">
        <f t="shared" si="8"/>
        <v>0.2669</v>
      </c>
      <c r="O24" s="15">
        <f t="shared" si="5"/>
        <v>0.733101212630568</v>
      </c>
      <c r="P24" s="15">
        <f t="shared" si="9"/>
        <v>1.98545940139513</v>
      </c>
      <c r="Q24" s="15">
        <f t="shared" si="6"/>
        <v>0.641222354660772</v>
      </c>
      <c r="R24" s="7">
        <f t="shared" si="10"/>
        <v>0.154551124484094</v>
      </c>
      <c r="S24" s="18"/>
    </row>
    <row r="25" s="2" customFormat="1" ht="13" customHeight="1" spans="1:19">
      <c r="A25" s="11">
        <v>2000</v>
      </c>
      <c r="B25" s="12" t="s">
        <v>42</v>
      </c>
      <c r="C25" s="11">
        <v>0.2387</v>
      </c>
      <c r="D25" s="11">
        <v>3525</v>
      </c>
      <c r="E25" s="11">
        <v>841</v>
      </c>
      <c r="F25" s="11">
        <f t="shared" si="7"/>
        <v>2684</v>
      </c>
      <c r="G25" s="11">
        <v>5122.21</v>
      </c>
      <c r="H25" s="11">
        <v>1374.16</v>
      </c>
      <c r="I25" s="15">
        <f t="shared" si="0"/>
        <v>4307778.61</v>
      </c>
      <c r="J25" s="15">
        <f t="shared" si="1"/>
        <v>3688245.44</v>
      </c>
      <c r="K25" s="15">
        <f t="shared" si="2"/>
        <v>7996024.05</v>
      </c>
      <c r="L25" s="15">
        <f t="shared" si="3"/>
        <v>0.538740076700995</v>
      </c>
      <c r="M25" s="15">
        <f t="shared" si="4"/>
        <v>0.461259923299005</v>
      </c>
      <c r="N25" s="15">
        <f t="shared" si="8"/>
        <v>0.2387</v>
      </c>
      <c r="O25" s="15">
        <f t="shared" si="5"/>
        <v>0.761418439716312</v>
      </c>
      <c r="P25" s="15">
        <f t="shared" si="9"/>
        <v>2.25697560410974</v>
      </c>
      <c r="Q25" s="15">
        <f t="shared" si="6"/>
        <v>0.605790324004841</v>
      </c>
      <c r="R25" s="7">
        <f t="shared" si="10"/>
        <v>0.207354939276141</v>
      </c>
      <c r="S25" s="18"/>
    </row>
    <row r="26" s="2" customFormat="1" ht="13" customHeight="1" spans="1:19">
      <c r="A26" s="11">
        <v>2000</v>
      </c>
      <c r="B26" s="12" t="s">
        <v>43</v>
      </c>
      <c r="C26" s="11">
        <v>0.2336</v>
      </c>
      <c r="D26" s="11">
        <v>4288</v>
      </c>
      <c r="E26" s="11">
        <v>1002</v>
      </c>
      <c r="F26" s="11">
        <f t="shared" si="7"/>
        <v>3286</v>
      </c>
      <c r="G26" s="11">
        <v>6324.64</v>
      </c>
      <c r="H26" s="11">
        <v>1478.6</v>
      </c>
      <c r="I26" s="15">
        <f t="shared" si="0"/>
        <v>6337289.28</v>
      </c>
      <c r="J26" s="15">
        <f t="shared" si="1"/>
        <v>4858679.6</v>
      </c>
      <c r="K26" s="15">
        <f t="shared" si="2"/>
        <v>11195968.88</v>
      </c>
      <c r="L26" s="15">
        <f t="shared" si="3"/>
        <v>0.566033127451851</v>
      </c>
      <c r="M26" s="15">
        <f t="shared" si="4"/>
        <v>0.433966872548149</v>
      </c>
      <c r="N26" s="15">
        <f t="shared" si="8"/>
        <v>0.2336</v>
      </c>
      <c r="O26" s="15">
        <f t="shared" si="5"/>
        <v>0.766324626865672</v>
      </c>
      <c r="P26" s="15">
        <f t="shared" si="9"/>
        <v>2.42308701820142</v>
      </c>
      <c r="Q26" s="15">
        <f t="shared" si="6"/>
        <v>0.566296393635564</v>
      </c>
      <c r="R26" s="7">
        <f t="shared" si="10"/>
        <v>0.254193378828268</v>
      </c>
      <c r="S26" s="18"/>
    </row>
    <row r="27" s="2" customFormat="1" ht="13" customHeight="1" spans="1:19">
      <c r="A27" s="11">
        <v>2000</v>
      </c>
      <c r="B27" s="12" t="s">
        <v>44</v>
      </c>
      <c r="C27" s="11">
        <v>0.1893</v>
      </c>
      <c r="D27" s="11">
        <v>262</v>
      </c>
      <c r="E27" s="11">
        <v>50</v>
      </c>
      <c r="F27" s="11">
        <f t="shared" si="7"/>
        <v>212</v>
      </c>
      <c r="G27" s="11">
        <v>7426.32</v>
      </c>
      <c r="H27" s="11">
        <v>1330.81</v>
      </c>
      <c r="I27" s="15">
        <f t="shared" si="0"/>
        <v>371316</v>
      </c>
      <c r="J27" s="15">
        <f t="shared" si="1"/>
        <v>282131.72</v>
      </c>
      <c r="K27" s="15">
        <f t="shared" si="2"/>
        <v>653447.72</v>
      </c>
      <c r="L27" s="15">
        <f t="shared" si="3"/>
        <v>0.568241327707135</v>
      </c>
      <c r="M27" s="15">
        <f t="shared" si="4"/>
        <v>0.431758672292865</v>
      </c>
      <c r="N27" s="15">
        <f t="shared" si="8"/>
        <v>0.1893</v>
      </c>
      <c r="O27" s="15">
        <f t="shared" si="5"/>
        <v>0.809160305343511</v>
      </c>
      <c r="P27" s="15">
        <f t="shared" si="9"/>
        <v>3.00180310463357</v>
      </c>
      <c r="Q27" s="15">
        <f t="shared" si="6"/>
        <v>0.533588547833635</v>
      </c>
      <c r="R27" s="7">
        <f t="shared" si="10"/>
        <v>0.353417654470962</v>
      </c>
      <c r="S27" s="18"/>
    </row>
    <row r="28" s="2" customFormat="1" ht="13" customHeight="1" spans="1:19">
      <c r="A28" s="11">
        <v>2000</v>
      </c>
      <c r="B28" s="12" t="s">
        <v>45</v>
      </c>
      <c r="C28" s="11">
        <v>0.3226</v>
      </c>
      <c r="D28" s="11">
        <v>3605</v>
      </c>
      <c r="E28" s="11">
        <v>1163</v>
      </c>
      <c r="F28" s="11">
        <f t="shared" si="7"/>
        <v>2442</v>
      </c>
      <c r="G28" s="11">
        <v>5124.24</v>
      </c>
      <c r="H28" s="11">
        <v>1443.86</v>
      </c>
      <c r="I28" s="15">
        <f t="shared" si="0"/>
        <v>5959491.12</v>
      </c>
      <c r="J28" s="15">
        <f t="shared" si="1"/>
        <v>3525906.12</v>
      </c>
      <c r="K28" s="15">
        <f t="shared" si="2"/>
        <v>9485397.24</v>
      </c>
      <c r="L28" s="15">
        <f t="shared" si="3"/>
        <v>0.628280605357125</v>
      </c>
      <c r="M28" s="15">
        <f t="shared" si="4"/>
        <v>0.371719394642875</v>
      </c>
      <c r="N28" s="15">
        <f t="shared" si="8"/>
        <v>0.3226</v>
      </c>
      <c r="O28" s="15">
        <f t="shared" si="5"/>
        <v>0.677392510402219</v>
      </c>
      <c r="P28" s="15">
        <f t="shared" si="9"/>
        <v>1.94755302342568</v>
      </c>
      <c r="Q28" s="15">
        <f t="shared" si="6"/>
        <v>0.548750375793434</v>
      </c>
      <c r="R28" s="7">
        <f t="shared" si="10"/>
        <v>0.195722211592915</v>
      </c>
      <c r="S28" s="18"/>
    </row>
    <row r="29" s="2" customFormat="1" ht="13" customHeight="1" spans="1:19">
      <c r="A29" s="11">
        <v>2000</v>
      </c>
      <c r="B29" s="12" t="s">
        <v>46</v>
      </c>
      <c r="C29" s="11">
        <v>0.2401</v>
      </c>
      <c r="D29" s="11">
        <v>2562</v>
      </c>
      <c r="E29" s="11">
        <v>615</v>
      </c>
      <c r="F29" s="11">
        <f t="shared" si="7"/>
        <v>1947</v>
      </c>
      <c r="G29" s="11">
        <v>4916.25</v>
      </c>
      <c r="H29" s="11">
        <v>1428.68</v>
      </c>
      <c r="I29" s="15">
        <f t="shared" si="0"/>
        <v>3023493.75</v>
      </c>
      <c r="J29" s="15">
        <f t="shared" si="1"/>
        <v>2781639.96</v>
      </c>
      <c r="K29" s="15">
        <f t="shared" si="2"/>
        <v>5805133.71</v>
      </c>
      <c r="L29" s="15">
        <f t="shared" si="3"/>
        <v>0.520831026646585</v>
      </c>
      <c r="M29" s="15">
        <f t="shared" si="4"/>
        <v>0.479168973353415</v>
      </c>
      <c r="N29" s="15">
        <f t="shared" si="8"/>
        <v>0.2401</v>
      </c>
      <c r="O29" s="15">
        <f t="shared" si="5"/>
        <v>0.759953161592506</v>
      </c>
      <c r="P29" s="15">
        <f t="shared" si="9"/>
        <v>2.16922543376337</v>
      </c>
      <c r="Q29" s="15">
        <f t="shared" si="6"/>
        <v>0.630524350144555</v>
      </c>
      <c r="R29" s="7">
        <f t="shared" si="10"/>
        <v>0.182321596393628</v>
      </c>
      <c r="S29" s="18"/>
    </row>
    <row r="30" s="2" customFormat="1" ht="13" customHeight="1" spans="1:19">
      <c r="A30" s="11">
        <v>2000</v>
      </c>
      <c r="B30" s="12" t="s">
        <v>47</v>
      </c>
      <c r="C30" s="11">
        <v>0.3476</v>
      </c>
      <c r="D30" s="11">
        <v>518</v>
      </c>
      <c r="E30" s="11">
        <v>180</v>
      </c>
      <c r="F30" s="11">
        <f t="shared" si="7"/>
        <v>338</v>
      </c>
      <c r="G30" s="11">
        <v>5169.96</v>
      </c>
      <c r="H30" s="11">
        <v>1490.49</v>
      </c>
      <c r="I30" s="15">
        <f t="shared" si="0"/>
        <v>930592.8</v>
      </c>
      <c r="J30" s="15">
        <f t="shared" si="1"/>
        <v>503785.62</v>
      </c>
      <c r="K30" s="15">
        <f t="shared" si="2"/>
        <v>1434378.42</v>
      </c>
      <c r="L30" s="15">
        <f t="shared" si="3"/>
        <v>0.64877774722796</v>
      </c>
      <c r="M30" s="15">
        <f t="shared" si="4"/>
        <v>0.35122225277204</v>
      </c>
      <c r="N30" s="15">
        <f t="shared" si="8"/>
        <v>0.3476</v>
      </c>
      <c r="O30" s="15">
        <f t="shared" si="5"/>
        <v>0.652509652509653</v>
      </c>
      <c r="P30" s="15">
        <f t="shared" si="9"/>
        <v>1.86644921527031</v>
      </c>
      <c r="Q30" s="15">
        <f t="shared" si="6"/>
        <v>0.538263689159518</v>
      </c>
      <c r="R30" s="7">
        <f t="shared" si="10"/>
        <v>0.18731242467095</v>
      </c>
      <c r="S30" s="18"/>
    </row>
    <row r="31" s="2" customFormat="1" ht="13" customHeight="1" spans="1:19">
      <c r="A31" s="11">
        <v>2000</v>
      </c>
      <c r="B31" s="12" t="s">
        <v>48</v>
      </c>
      <c r="C31" s="11">
        <v>0.3243</v>
      </c>
      <c r="D31" s="11">
        <v>562</v>
      </c>
      <c r="E31" s="11">
        <v>182</v>
      </c>
      <c r="F31" s="11">
        <f t="shared" si="7"/>
        <v>380</v>
      </c>
      <c r="G31" s="11">
        <v>4912.4</v>
      </c>
      <c r="H31" s="11">
        <v>1724.3</v>
      </c>
      <c r="I31" s="15">
        <f t="shared" si="0"/>
        <v>894056.8</v>
      </c>
      <c r="J31" s="15">
        <f t="shared" si="1"/>
        <v>655234</v>
      </c>
      <c r="K31" s="15">
        <f t="shared" si="2"/>
        <v>1549290.8</v>
      </c>
      <c r="L31" s="15">
        <f t="shared" si="3"/>
        <v>0.577074878389519</v>
      </c>
      <c r="M31" s="15">
        <f t="shared" si="4"/>
        <v>0.422925121610481</v>
      </c>
      <c r="N31" s="15">
        <f t="shared" si="8"/>
        <v>0.3243</v>
      </c>
      <c r="O31" s="15">
        <f t="shared" si="5"/>
        <v>0.676156583629893</v>
      </c>
      <c r="P31" s="15">
        <f t="shared" si="9"/>
        <v>1.7794476669427</v>
      </c>
      <c r="Q31" s="15">
        <f t="shared" si="6"/>
        <v>0.625483995644975</v>
      </c>
      <c r="R31" s="7">
        <f t="shared" si="10"/>
        <v>0.134121034732253</v>
      </c>
      <c r="S31" s="18"/>
    </row>
    <row r="32" s="2" customFormat="1" ht="13" customHeight="1" spans="1:19">
      <c r="A32" s="11">
        <v>2000</v>
      </c>
      <c r="B32" s="12" t="s">
        <v>49</v>
      </c>
      <c r="C32" s="11">
        <v>0.3382</v>
      </c>
      <c r="D32" s="11">
        <v>1925</v>
      </c>
      <c r="E32" s="11">
        <v>651</v>
      </c>
      <c r="F32" s="11">
        <f t="shared" si="7"/>
        <v>1274</v>
      </c>
      <c r="G32" s="11">
        <v>5644.86</v>
      </c>
      <c r="H32" s="11">
        <v>1618.08</v>
      </c>
      <c r="I32" s="15">
        <f t="shared" si="0"/>
        <v>3674803.86</v>
      </c>
      <c r="J32" s="15">
        <f t="shared" si="1"/>
        <v>2061433.92</v>
      </c>
      <c r="K32" s="15">
        <f t="shared" si="2"/>
        <v>5736237.78</v>
      </c>
      <c r="L32" s="15">
        <f t="shared" si="3"/>
        <v>0.640629625363961</v>
      </c>
      <c r="M32" s="15">
        <f t="shared" si="4"/>
        <v>0.359370374636039</v>
      </c>
      <c r="N32" s="15">
        <f t="shared" si="8"/>
        <v>0.3382</v>
      </c>
      <c r="O32" s="15">
        <f t="shared" si="5"/>
        <v>0.661818181818182</v>
      </c>
      <c r="P32" s="15">
        <f t="shared" si="9"/>
        <v>1.89423307322283</v>
      </c>
      <c r="Q32" s="15">
        <f t="shared" si="6"/>
        <v>0.543004686950059</v>
      </c>
      <c r="R32" s="7">
        <f t="shared" si="10"/>
        <v>0.189798237761779</v>
      </c>
      <c r="S32" s="18"/>
    </row>
    <row r="33" s="2" customFormat="1" ht="15" customHeight="1" spans="1:19">
      <c r="A33" s="13">
        <v>2001</v>
      </c>
      <c r="B33" s="12" t="s">
        <v>19</v>
      </c>
      <c r="C33" s="14">
        <v>0.738539407086045</v>
      </c>
      <c r="D33" s="11">
        <v>1385.1</v>
      </c>
      <c r="E33" s="11">
        <v>1081.2</v>
      </c>
      <c r="F33" s="11">
        <f t="shared" si="7"/>
        <v>303.9</v>
      </c>
      <c r="G33" s="11">
        <v>11577.78</v>
      </c>
      <c r="H33" s="11">
        <v>5025.50396975425</v>
      </c>
      <c r="I33" s="15">
        <f t="shared" ref="I33:I64" si="11">E33*G33</f>
        <v>12517895.736</v>
      </c>
      <c r="J33" s="15">
        <f t="shared" ref="J33:J64" si="12">F33*H33</f>
        <v>1527250.65640832</v>
      </c>
      <c r="K33" s="15">
        <f t="shared" ref="K33:K64" si="13">I33+J33</f>
        <v>14045146.3924083</v>
      </c>
      <c r="L33" s="15">
        <f t="shared" ref="L33:L64" si="14">I33/K33</f>
        <v>0.891261321616852</v>
      </c>
      <c r="M33" s="15">
        <f t="shared" ref="M33:M64" si="15">J33/K33</f>
        <v>0.108738678383148</v>
      </c>
      <c r="N33" s="15">
        <f t="shared" ref="N33:N64" si="16">C33</f>
        <v>0.738539407086045</v>
      </c>
      <c r="O33" s="15">
        <f t="shared" ref="O33:O64" si="17">F33/D33</f>
        <v>0.219406541043968</v>
      </c>
      <c r="P33" s="15">
        <f t="shared" ref="P33:P64" si="18">(L33/N33)</f>
        <v>1.20678912061495</v>
      </c>
      <c r="Q33" s="15">
        <f t="shared" ref="Q33:Q64" si="19">M33/O33</f>
        <v>0.495603630893379</v>
      </c>
      <c r="R33" s="7">
        <f t="shared" si="10"/>
        <v>0.0911920945152347</v>
      </c>
      <c r="S33" s="18"/>
    </row>
    <row r="34" s="2" customFormat="1" ht="15" customHeight="1" spans="1:19">
      <c r="A34" s="13">
        <v>2001</v>
      </c>
      <c r="B34" s="12" t="s">
        <v>20</v>
      </c>
      <c r="C34" s="14">
        <v>0.614342629482072</v>
      </c>
      <c r="D34" s="11">
        <v>1004</v>
      </c>
      <c r="E34" s="11">
        <v>616.8</v>
      </c>
      <c r="F34" s="11">
        <f t="shared" ref="F34:F65" si="20">D34-E34</f>
        <v>387.2</v>
      </c>
      <c r="G34" s="11">
        <v>8958.7</v>
      </c>
      <c r="H34" s="11">
        <v>3947.72</v>
      </c>
      <c r="I34" s="15">
        <f t="shared" si="11"/>
        <v>5525726.16</v>
      </c>
      <c r="J34" s="15">
        <f t="shared" si="12"/>
        <v>1528557.184</v>
      </c>
      <c r="K34" s="15">
        <f t="shared" si="13"/>
        <v>7054283.344</v>
      </c>
      <c r="L34" s="15">
        <f t="shared" si="14"/>
        <v>0.783315028691028</v>
      </c>
      <c r="M34" s="15">
        <f t="shared" si="15"/>
        <v>0.216684971308972</v>
      </c>
      <c r="N34" s="15">
        <f t="shared" si="16"/>
        <v>0.614342629482072</v>
      </c>
      <c r="O34" s="15">
        <f t="shared" si="17"/>
        <v>0.385657370517928</v>
      </c>
      <c r="P34" s="15">
        <f t="shared" si="18"/>
        <v>1.27504586382262</v>
      </c>
      <c r="Q34" s="15">
        <f t="shared" si="19"/>
        <v>0.561858758249504</v>
      </c>
      <c r="R34" s="7">
        <f t="shared" ref="R33:R64" si="21">L34*LN(P34)+M34*LN(Q34)</f>
        <v>0.0654116476512779</v>
      </c>
      <c r="S34" s="18"/>
    </row>
    <row r="35" s="2" customFormat="1" ht="15" customHeight="1" spans="1:19">
      <c r="A35" s="13">
        <v>2001</v>
      </c>
      <c r="B35" s="12" t="s">
        <v>21</v>
      </c>
      <c r="C35" s="14">
        <v>0.196059113300493</v>
      </c>
      <c r="D35" s="11">
        <v>6699</v>
      </c>
      <c r="E35" s="11">
        <v>1313.4</v>
      </c>
      <c r="F35" s="11">
        <f t="shared" si="20"/>
        <v>5385.6</v>
      </c>
      <c r="G35" s="11">
        <v>5984.82</v>
      </c>
      <c r="H35" s="11">
        <v>2603.60002350038</v>
      </c>
      <c r="I35" s="15">
        <f t="shared" si="11"/>
        <v>7860462.588</v>
      </c>
      <c r="J35" s="15">
        <f t="shared" si="12"/>
        <v>14021948.2865636</v>
      </c>
      <c r="K35" s="15">
        <f t="shared" si="13"/>
        <v>21882410.8745636</v>
      </c>
      <c r="L35" s="15">
        <f t="shared" si="14"/>
        <v>0.359213737145256</v>
      </c>
      <c r="M35" s="15">
        <f t="shared" si="15"/>
        <v>0.640786262854744</v>
      </c>
      <c r="N35" s="15">
        <f t="shared" si="16"/>
        <v>0.196059113300493</v>
      </c>
      <c r="O35" s="15">
        <f t="shared" si="17"/>
        <v>0.803940886699507</v>
      </c>
      <c r="P35" s="15">
        <f t="shared" si="18"/>
        <v>1.83217056885645</v>
      </c>
      <c r="Q35" s="15">
        <f t="shared" si="19"/>
        <v>0.797056442153879</v>
      </c>
      <c r="R35" s="7">
        <f t="shared" si="21"/>
        <v>0.072154999079936</v>
      </c>
      <c r="S35" s="18"/>
    </row>
    <row r="36" s="2" customFormat="1" ht="15" customHeight="1" spans="1:19">
      <c r="A36" s="13">
        <v>2001</v>
      </c>
      <c r="B36" s="12" t="s">
        <v>22</v>
      </c>
      <c r="C36" s="14">
        <v>0.289731051344743</v>
      </c>
      <c r="D36" s="11">
        <v>3272</v>
      </c>
      <c r="E36" s="11">
        <v>948</v>
      </c>
      <c r="F36" s="11">
        <f t="shared" si="20"/>
        <v>2324</v>
      </c>
      <c r="G36" s="11">
        <v>5391.05</v>
      </c>
      <c r="H36" s="11">
        <v>1956.04660238751</v>
      </c>
      <c r="I36" s="15">
        <f t="shared" si="11"/>
        <v>5110715.4</v>
      </c>
      <c r="J36" s="15">
        <f t="shared" si="12"/>
        <v>4545852.30394857</v>
      </c>
      <c r="K36" s="15">
        <f t="shared" si="13"/>
        <v>9656567.70394857</v>
      </c>
      <c r="L36" s="15">
        <f t="shared" si="14"/>
        <v>0.529247612266026</v>
      </c>
      <c r="M36" s="15">
        <f t="shared" si="15"/>
        <v>0.470752387733974</v>
      </c>
      <c r="N36" s="15">
        <f t="shared" si="16"/>
        <v>0.289731051344743</v>
      </c>
      <c r="O36" s="15">
        <f t="shared" si="17"/>
        <v>0.710268948655257</v>
      </c>
      <c r="P36" s="15">
        <f t="shared" si="18"/>
        <v>1.82668585161861</v>
      </c>
      <c r="Q36" s="15">
        <f t="shared" si="19"/>
        <v>0.662780470165905</v>
      </c>
      <c r="R36" s="7">
        <f t="shared" si="21"/>
        <v>0.125247589148974</v>
      </c>
      <c r="S36" s="18"/>
    </row>
    <row r="37" s="2" customFormat="1" ht="15" customHeight="1" spans="1:19">
      <c r="A37" s="13">
        <v>2001</v>
      </c>
      <c r="B37" s="12" t="s">
        <v>23</v>
      </c>
      <c r="C37" s="14">
        <v>0.422423222549432</v>
      </c>
      <c r="D37" s="11">
        <v>2377</v>
      </c>
      <c r="E37" s="11">
        <v>1004.1</v>
      </c>
      <c r="F37" s="11">
        <f t="shared" si="20"/>
        <v>1372.9</v>
      </c>
      <c r="G37" s="11">
        <v>5535.89</v>
      </c>
      <c r="H37" s="11">
        <v>1973.36828183239</v>
      </c>
      <c r="I37" s="15">
        <f t="shared" si="11"/>
        <v>5558587.149</v>
      </c>
      <c r="J37" s="15">
        <f t="shared" si="12"/>
        <v>2709237.31412769</v>
      </c>
      <c r="K37" s="15">
        <f t="shared" si="13"/>
        <v>8267824.46312769</v>
      </c>
      <c r="L37" s="15">
        <f t="shared" si="14"/>
        <v>0.672315573920302</v>
      </c>
      <c r="M37" s="15">
        <f t="shared" si="15"/>
        <v>0.327684426079699</v>
      </c>
      <c r="N37" s="15">
        <f t="shared" si="16"/>
        <v>0.422423222549432</v>
      </c>
      <c r="O37" s="15">
        <f t="shared" si="17"/>
        <v>0.577576777450568</v>
      </c>
      <c r="P37" s="15">
        <f t="shared" si="18"/>
        <v>1.59156868758944</v>
      </c>
      <c r="Q37" s="15">
        <f t="shared" si="19"/>
        <v>0.567343492454981</v>
      </c>
      <c r="R37" s="7">
        <f t="shared" si="21"/>
        <v>0.126710206948602</v>
      </c>
      <c r="S37" s="18"/>
    </row>
    <row r="38" s="2" customFormat="1" ht="15" customHeight="1" spans="1:19">
      <c r="A38" s="13">
        <v>2001</v>
      </c>
      <c r="B38" s="12" t="s">
        <v>24</v>
      </c>
      <c r="C38" s="14">
        <v>0.447162613257034</v>
      </c>
      <c r="D38" s="11">
        <v>4194</v>
      </c>
      <c r="E38" s="11">
        <v>1875.4</v>
      </c>
      <c r="F38" s="11">
        <f t="shared" si="20"/>
        <v>2318.6</v>
      </c>
      <c r="G38" s="11">
        <v>5797.01</v>
      </c>
      <c r="H38" s="11">
        <v>2557.92758158248</v>
      </c>
      <c r="I38" s="15">
        <f t="shared" si="11"/>
        <v>10871712.554</v>
      </c>
      <c r="J38" s="15">
        <f t="shared" si="12"/>
        <v>5930810.89065714</v>
      </c>
      <c r="K38" s="15">
        <f t="shared" si="13"/>
        <v>16802523.4446571</v>
      </c>
      <c r="L38" s="15">
        <f t="shared" si="14"/>
        <v>0.647028560311694</v>
      </c>
      <c r="M38" s="15">
        <f t="shared" si="15"/>
        <v>0.352971439688306</v>
      </c>
      <c r="N38" s="15">
        <f t="shared" si="16"/>
        <v>0.447162613257034</v>
      </c>
      <c r="O38" s="15">
        <f t="shared" si="17"/>
        <v>0.552837386742966</v>
      </c>
      <c r="P38" s="15">
        <f t="shared" si="18"/>
        <v>1.44696479788165</v>
      </c>
      <c r="Q38" s="15">
        <f t="shared" si="19"/>
        <v>0.638472448051735</v>
      </c>
      <c r="R38" s="7">
        <f t="shared" si="21"/>
        <v>0.080686345227084</v>
      </c>
      <c r="S38" s="18"/>
    </row>
    <row r="39" s="2" customFormat="1" ht="15" customHeight="1" spans="1:19">
      <c r="A39" s="13">
        <v>2001</v>
      </c>
      <c r="B39" s="12" t="s">
        <v>25</v>
      </c>
      <c r="C39" s="14">
        <v>0.467484206614641</v>
      </c>
      <c r="D39" s="11">
        <v>2691</v>
      </c>
      <c r="E39" s="11">
        <v>1258</v>
      </c>
      <c r="F39" s="11">
        <f t="shared" si="20"/>
        <v>1433</v>
      </c>
      <c r="G39" s="11">
        <v>5340.46</v>
      </c>
      <c r="H39" s="11">
        <v>2182.21855703607</v>
      </c>
      <c r="I39" s="15">
        <f t="shared" si="11"/>
        <v>6718298.68</v>
      </c>
      <c r="J39" s="15">
        <f t="shared" si="12"/>
        <v>3127119.19223269</v>
      </c>
      <c r="K39" s="15">
        <f t="shared" si="13"/>
        <v>9845417.87223269</v>
      </c>
      <c r="L39" s="15">
        <f t="shared" si="14"/>
        <v>0.682378215651751</v>
      </c>
      <c r="M39" s="15">
        <f t="shared" si="15"/>
        <v>0.317621784348249</v>
      </c>
      <c r="N39" s="15">
        <f t="shared" si="16"/>
        <v>0.467484206614641</v>
      </c>
      <c r="O39" s="15">
        <f t="shared" si="17"/>
        <v>0.532515793385359</v>
      </c>
      <c r="P39" s="15">
        <f t="shared" si="18"/>
        <v>1.45968185875903</v>
      </c>
      <c r="Q39" s="15">
        <f t="shared" si="19"/>
        <v>0.596455144229685</v>
      </c>
      <c r="R39" s="7">
        <f t="shared" si="21"/>
        <v>0.0939566194930233</v>
      </c>
      <c r="S39" s="18"/>
    </row>
    <row r="40" s="2" customFormat="1" ht="15" customHeight="1" spans="1:19">
      <c r="A40" s="13">
        <v>2001</v>
      </c>
      <c r="B40" s="12" t="s">
        <v>26</v>
      </c>
      <c r="C40" s="14">
        <v>0.507320913146156</v>
      </c>
      <c r="D40" s="11">
        <v>3811</v>
      </c>
      <c r="E40" s="11">
        <v>1933.4</v>
      </c>
      <c r="F40" s="11">
        <f t="shared" si="20"/>
        <v>1877.6</v>
      </c>
      <c r="G40" s="11">
        <v>5425.87</v>
      </c>
      <c r="H40" s="11">
        <v>2280.27861217837</v>
      </c>
      <c r="I40" s="15">
        <f t="shared" si="11"/>
        <v>10490377.058</v>
      </c>
      <c r="J40" s="15">
        <f t="shared" si="12"/>
        <v>4281451.12222611</v>
      </c>
      <c r="K40" s="15">
        <f t="shared" si="13"/>
        <v>14771828.1802261</v>
      </c>
      <c r="L40" s="15">
        <f t="shared" si="14"/>
        <v>0.710161053189249</v>
      </c>
      <c r="M40" s="15">
        <f t="shared" si="15"/>
        <v>0.289838946810751</v>
      </c>
      <c r="N40" s="15">
        <f t="shared" si="16"/>
        <v>0.507320913146156</v>
      </c>
      <c r="O40" s="15">
        <f t="shared" si="17"/>
        <v>0.492679086853844</v>
      </c>
      <c r="P40" s="15">
        <f t="shared" si="18"/>
        <v>1.39982609584371</v>
      </c>
      <c r="Q40" s="15">
        <f t="shared" si="19"/>
        <v>0.588291556399538</v>
      </c>
      <c r="R40" s="7">
        <f t="shared" si="21"/>
        <v>0.0850922453316169</v>
      </c>
      <c r="S40" s="18"/>
    </row>
    <row r="41" s="2" customFormat="1" ht="15" customHeight="1" spans="1:19">
      <c r="A41" s="13">
        <v>2001</v>
      </c>
      <c r="B41" s="12" t="s">
        <v>27</v>
      </c>
      <c r="C41" s="14">
        <v>0.774659231722429</v>
      </c>
      <c r="D41" s="11">
        <v>1614</v>
      </c>
      <c r="E41" s="11">
        <v>1250.3</v>
      </c>
      <c r="F41" s="11">
        <f t="shared" si="20"/>
        <v>363.7</v>
      </c>
      <c r="G41" s="11">
        <v>12883.46</v>
      </c>
      <c r="H41" s="11">
        <v>5870.86734177215</v>
      </c>
      <c r="I41" s="15">
        <f t="shared" si="11"/>
        <v>16108190.038</v>
      </c>
      <c r="J41" s="15">
        <f t="shared" si="12"/>
        <v>2135234.45220253</v>
      </c>
      <c r="K41" s="15">
        <f t="shared" si="13"/>
        <v>18243424.4902025</v>
      </c>
      <c r="L41" s="15">
        <f t="shared" si="14"/>
        <v>0.882958681723969</v>
      </c>
      <c r="M41" s="15">
        <f t="shared" si="15"/>
        <v>0.117041318276031</v>
      </c>
      <c r="N41" s="15">
        <f t="shared" si="16"/>
        <v>0.774659231722429</v>
      </c>
      <c r="O41" s="15">
        <f t="shared" si="17"/>
        <v>0.225340768277571</v>
      </c>
      <c r="P41" s="15">
        <f t="shared" si="18"/>
        <v>1.13980269719466</v>
      </c>
      <c r="Q41" s="15">
        <f t="shared" si="19"/>
        <v>0.519396996693742</v>
      </c>
      <c r="R41" s="7">
        <f t="shared" si="21"/>
        <v>0.0388674944172407</v>
      </c>
      <c r="S41" s="18"/>
    </row>
    <row r="42" s="2" customFormat="1" ht="15" customHeight="1" spans="1:19">
      <c r="A42" s="13">
        <v>2001</v>
      </c>
      <c r="B42" s="12" t="s">
        <v>28</v>
      </c>
      <c r="C42" s="14">
        <v>0.285152957171992</v>
      </c>
      <c r="D42" s="11">
        <v>7355</v>
      </c>
      <c r="E42" s="11">
        <v>2097.3</v>
      </c>
      <c r="F42" s="11">
        <f t="shared" si="20"/>
        <v>5257.7</v>
      </c>
      <c r="G42" s="11">
        <v>7375.1</v>
      </c>
      <c r="H42" s="11">
        <v>3784.70693600568</v>
      </c>
      <c r="I42" s="15">
        <f t="shared" si="11"/>
        <v>15467797.23</v>
      </c>
      <c r="J42" s="15">
        <f t="shared" si="12"/>
        <v>19898853.6574371</v>
      </c>
      <c r="K42" s="15">
        <f t="shared" si="13"/>
        <v>35366650.8874371</v>
      </c>
      <c r="L42" s="15">
        <f t="shared" si="14"/>
        <v>0.43735544197357</v>
      </c>
      <c r="M42" s="15">
        <f t="shared" si="15"/>
        <v>0.56264455802643</v>
      </c>
      <c r="N42" s="15">
        <f t="shared" si="16"/>
        <v>0.285152957171992</v>
      </c>
      <c r="O42" s="15">
        <f t="shared" si="17"/>
        <v>0.714847042828008</v>
      </c>
      <c r="P42" s="15">
        <f t="shared" si="18"/>
        <v>1.53375734311525</v>
      </c>
      <c r="Q42" s="15">
        <f t="shared" si="19"/>
        <v>0.787083843559806</v>
      </c>
      <c r="R42" s="7">
        <f t="shared" si="21"/>
        <v>0.0523572486482373</v>
      </c>
      <c r="S42" s="18"/>
    </row>
    <row r="43" s="2" customFormat="1" ht="15" customHeight="1" spans="1:19">
      <c r="A43" s="13">
        <v>2001</v>
      </c>
      <c r="B43" s="12" t="s">
        <v>29</v>
      </c>
      <c r="C43" s="14">
        <v>0.212811619336657</v>
      </c>
      <c r="D43" s="11">
        <v>4613</v>
      </c>
      <c r="E43" s="11">
        <v>981.7</v>
      </c>
      <c r="F43" s="11">
        <f t="shared" si="20"/>
        <v>3631.3</v>
      </c>
      <c r="G43" s="11">
        <v>10464.67</v>
      </c>
      <c r="H43" s="11">
        <v>4582.3407354589</v>
      </c>
      <c r="I43" s="15">
        <f t="shared" si="11"/>
        <v>10273166.539</v>
      </c>
      <c r="J43" s="15">
        <f t="shared" si="12"/>
        <v>16639853.9126719</v>
      </c>
      <c r="K43" s="15">
        <f t="shared" si="13"/>
        <v>26913020.4516719</v>
      </c>
      <c r="L43" s="15">
        <f t="shared" si="14"/>
        <v>0.381717338544281</v>
      </c>
      <c r="M43" s="15">
        <f t="shared" si="15"/>
        <v>0.618282661455719</v>
      </c>
      <c r="N43" s="15">
        <f t="shared" si="16"/>
        <v>0.212811619336657</v>
      </c>
      <c r="O43" s="15">
        <f t="shared" si="17"/>
        <v>0.787188380663343</v>
      </c>
      <c r="P43" s="15">
        <f t="shared" si="18"/>
        <v>1.79368654650583</v>
      </c>
      <c r="Q43" s="15">
        <f t="shared" si="19"/>
        <v>0.785431640816025</v>
      </c>
      <c r="R43" s="7">
        <f t="shared" si="21"/>
        <v>0.0736983710489345</v>
      </c>
      <c r="S43" s="18"/>
    </row>
    <row r="44" s="2" customFormat="1" ht="15" customHeight="1" spans="1:19">
      <c r="A44" s="13">
        <v>2001</v>
      </c>
      <c r="B44" s="12" t="s">
        <v>30</v>
      </c>
      <c r="C44" s="14">
        <v>0.193078381795196</v>
      </c>
      <c r="D44" s="11">
        <v>6128</v>
      </c>
      <c r="E44" s="11">
        <v>1221.8</v>
      </c>
      <c r="F44" s="11">
        <f t="shared" si="20"/>
        <v>4906.2</v>
      </c>
      <c r="G44" s="11">
        <v>5668.8</v>
      </c>
      <c r="H44" s="11">
        <v>2020.04482357503</v>
      </c>
      <c r="I44" s="15">
        <f t="shared" si="11"/>
        <v>6926139.84</v>
      </c>
      <c r="J44" s="15">
        <f t="shared" si="12"/>
        <v>9910743.91342381</v>
      </c>
      <c r="K44" s="15">
        <f t="shared" si="13"/>
        <v>16836883.7534238</v>
      </c>
      <c r="L44" s="15">
        <f t="shared" si="14"/>
        <v>0.411367087961961</v>
      </c>
      <c r="M44" s="15">
        <f t="shared" si="15"/>
        <v>0.588632912038039</v>
      </c>
      <c r="N44" s="15">
        <f t="shared" si="16"/>
        <v>0.193078381795196</v>
      </c>
      <c r="O44" s="15">
        <f t="shared" si="17"/>
        <v>0.800620104438642</v>
      </c>
      <c r="P44" s="15">
        <f t="shared" si="18"/>
        <v>2.13057041465321</v>
      </c>
      <c r="Q44" s="15">
        <f t="shared" si="19"/>
        <v>0.735221247598774</v>
      </c>
      <c r="R44" s="7">
        <f t="shared" si="21"/>
        <v>0.130099893871479</v>
      </c>
      <c r="S44" s="18"/>
    </row>
    <row r="45" s="2" customFormat="1" ht="15" customHeight="1" spans="1:19">
      <c r="A45" s="13">
        <v>2001</v>
      </c>
      <c r="B45" s="12" t="s">
        <v>31</v>
      </c>
      <c r="C45" s="14">
        <v>0.217267441860465</v>
      </c>
      <c r="D45" s="11">
        <v>3440</v>
      </c>
      <c r="E45" s="11">
        <v>747.4</v>
      </c>
      <c r="F45" s="11">
        <f t="shared" si="20"/>
        <v>2692.6</v>
      </c>
      <c r="G45" s="11">
        <v>8313.08</v>
      </c>
      <c r="H45" s="11">
        <v>3380.72332849796</v>
      </c>
      <c r="I45" s="15">
        <f t="shared" si="11"/>
        <v>6213195.992</v>
      </c>
      <c r="J45" s="15">
        <f t="shared" si="12"/>
        <v>9102935.63431361</v>
      </c>
      <c r="K45" s="15">
        <f t="shared" si="13"/>
        <v>15316131.6263136</v>
      </c>
      <c r="L45" s="15">
        <f t="shared" si="14"/>
        <v>0.405663528075557</v>
      </c>
      <c r="M45" s="15">
        <f t="shared" si="15"/>
        <v>0.594336471924443</v>
      </c>
      <c r="N45" s="15">
        <f t="shared" si="16"/>
        <v>0.217267441860465</v>
      </c>
      <c r="O45" s="15">
        <f t="shared" si="17"/>
        <v>0.782732558139535</v>
      </c>
      <c r="P45" s="15">
        <f t="shared" si="18"/>
        <v>1.86711605108365</v>
      </c>
      <c r="Q45" s="15">
        <f t="shared" si="19"/>
        <v>0.75930976135337</v>
      </c>
      <c r="R45" s="7">
        <f t="shared" si="21"/>
        <v>0.0896464339486999</v>
      </c>
      <c r="S45" s="18"/>
    </row>
    <row r="46" s="2" customFormat="1" ht="15" customHeight="1" spans="1:19">
      <c r="A46" s="13">
        <v>2001</v>
      </c>
      <c r="B46" s="12" t="s">
        <v>32</v>
      </c>
      <c r="C46" s="14">
        <v>0.233779264214047</v>
      </c>
      <c r="D46" s="11">
        <v>4186</v>
      </c>
      <c r="E46" s="11">
        <v>978.6</v>
      </c>
      <c r="F46" s="11">
        <f t="shared" si="20"/>
        <v>3207.4</v>
      </c>
      <c r="G46" s="11">
        <v>5506.02</v>
      </c>
      <c r="H46" s="11">
        <v>2231.59701767305</v>
      </c>
      <c r="I46" s="15">
        <f t="shared" si="11"/>
        <v>5388191.172</v>
      </c>
      <c r="J46" s="15">
        <f t="shared" si="12"/>
        <v>7157624.27448454</v>
      </c>
      <c r="K46" s="15">
        <f t="shared" si="13"/>
        <v>12545815.4464845</v>
      </c>
      <c r="L46" s="15">
        <f t="shared" si="14"/>
        <v>0.429481144129999</v>
      </c>
      <c r="M46" s="15">
        <f t="shared" si="15"/>
        <v>0.570518855870001</v>
      </c>
      <c r="N46" s="15">
        <f t="shared" si="16"/>
        <v>0.233779264214047</v>
      </c>
      <c r="O46" s="15">
        <f t="shared" si="17"/>
        <v>0.766220735785953</v>
      </c>
      <c r="P46" s="15">
        <f t="shared" si="18"/>
        <v>1.83712249062761</v>
      </c>
      <c r="Q46" s="15">
        <f t="shared" si="19"/>
        <v>0.74458811831135</v>
      </c>
      <c r="R46" s="7">
        <f t="shared" si="21"/>
        <v>0.0929508938772738</v>
      </c>
      <c r="S46" s="18"/>
    </row>
    <row r="47" s="2" customFormat="1" ht="15" customHeight="1" spans="1:19">
      <c r="A47" s="13">
        <v>2001</v>
      </c>
      <c r="B47" s="12" t="s">
        <v>33</v>
      </c>
      <c r="C47" s="14">
        <v>0.222088264572503</v>
      </c>
      <c r="D47" s="11">
        <v>9041</v>
      </c>
      <c r="E47" s="11">
        <v>2007.9</v>
      </c>
      <c r="F47" s="11">
        <f t="shared" si="20"/>
        <v>7033.1</v>
      </c>
      <c r="G47" s="11">
        <v>7101.08</v>
      </c>
      <c r="H47" s="11">
        <v>2804.50705124115</v>
      </c>
      <c r="I47" s="15">
        <f t="shared" si="11"/>
        <v>14258258.532</v>
      </c>
      <c r="J47" s="15">
        <f t="shared" si="12"/>
        <v>19724378.5420841</v>
      </c>
      <c r="K47" s="15">
        <f t="shared" si="13"/>
        <v>33982637.0740841</v>
      </c>
      <c r="L47" s="15">
        <f t="shared" si="14"/>
        <v>0.419574811128288</v>
      </c>
      <c r="M47" s="15">
        <f t="shared" si="15"/>
        <v>0.580425188871712</v>
      </c>
      <c r="N47" s="15">
        <f t="shared" si="16"/>
        <v>0.222088264572503</v>
      </c>
      <c r="O47" s="15">
        <f t="shared" si="17"/>
        <v>0.777911735427497</v>
      </c>
      <c r="P47" s="15">
        <f t="shared" si="18"/>
        <v>1.88922549300804</v>
      </c>
      <c r="Q47" s="15">
        <f t="shared" si="19"/>
        <v>0.746132449785891</v>
      </c>
      <c r="R47" s="7">
        <f t="shared" si="21"/>
        <v>0.0969408659003494</v>
      </c>
      <c r="S47" s="18"/>
    </row>
    <row r="48" s="2" customFormat="1" ht="15" customHeight="1" spans="1:19">
      <c r="A48" s="13">
        <v>2001</v>
      </c>
      <c r="B48" s="12" t="s">
        <v>34</v>
      </c>
      <c r="C48" s="14">
        <v>0.176807953950811</v>
      </c>
      <c r="D48" s="11">
        <v>9555</v>
      </c>
      <c r="E48" s="11">
        <v>1689.4</v>
      </c>
      <c r="F48" s="11">
        <f t="shared" si="20"/>
        <v>7865.6</v>
      </c>
      <c r="G48" s="11">
        <v>5267.42</v>
      </c>
      <c r="H48" s="11">
        <v>2097.85998963313</v>
      </c>
      <c r="I48" s="15">
        <f t="shared" si="11"/>
        <v>8898779.348</v>
      </c>
      <c r="J48" s="15">
        <f t="shared" si="12"/>
        <v>16500927.5344584</v>
      </c>
      <c r="K48" s="15">
        <f t="shared" si="13"/>
        <v>25399706.8824584</v>
      </c>
      <c r="L48" s="15">
        <f t="shared" si="14"/>
        <v>0.350349686678696</v>
      </c>
      <c r="M48" s="15">
        <f t="shared" si="15"/>
        <v>0.649650313321304</v>
      </c>
      <c r="N48" s="15">
        <f t="shared" si="16"/>
        <v>0.176807953950811</v>
      </c>
      <c r="O48" s="15">
        <f t="shared" si="17"/>
        <v>0.823192046049189</v>
      </c>
      <c r="P48" s="15">
        <f t="shared" si="18"/>
        <v>1.98152672914345</v>
      </c>
      <c r="Q48" s="15">
        <f t="shared" si="19"/>
        <v>0.789184390737523</v>
      </c>
      <c r="R48" s="7">
        <f t="shared" si="21"/>
        <v>0.0857846632315515</v>
      </c>
      <c r="S48" s="18"/>
    </row>
    <row r="49" s="2" customFormat="1" ht="15" customHeight="1" spans="1:19">
      <c r="A49" s="13">
        <v>2001</v>
      </c>
      <c r="B49" s="12" t="s">
        <v>35</v>
      </c>
      <c r="C49" s="14">
        <v>0.340702928870293</v>
      </c>
      <c r="D49" s="11">
        <v>5975</v>
      </c>
      <c r="E49" s="11">
        <v>2035.7</v>
      </c>
      <c r="F49" s="11">
        <f t="shared" si="20"/>
        <v>3939.3</v>
      </c>
      <c r="G49" s="11">
        <v>5855.98</v>
      </c>
      <c r="H49" s="11">
        <v>2352.16063750927</v>
      </c>
      <c r="I49" s="15">
        <f t="shared" si="11"/>
        <v>11921018.486</v>
      </c>
      <c r="J49" s="15">
        <f t="shared" si="12"/>
        <v>9265866.39934027</v>
      </c>
      <c r="K49" s="15">
        <f t="shared" si="13"/>
        <v>21186884.8853403</v>
      </c>
      <c r="L49" s="15">
        <f t="shared" si="14"/>
        <v>0.562660275472986</v>
      </c>
      <c r="M49" s="15">
        <f t="shared" si="15"/>
        <v>0.437339724527014</v>
      </c>
      <c r="N49" s="15">
        <f t="shared" si="16"/>
        <v>0.340702928870293</v>
      </c>
      <c r="O49" s="15">
        <f t="shared" si="17"/>
        <v>0.659297071129707</v>
      </c>
      <c r="P49" s="15">
        <f t="shared" si="18"/>
        <v>1.65146885393284</v>
      </c>
      <c r="Q49" s="15">
        <f t="shared" si="19"/>
        <v>0.663342434962787</v>
      </c>
      <c r="R49" s="7">
        <f t="shared" si="21"/>
        <v>0.102754845341754</v>
      </c>
      <c r="S49" s="18"/>
    </row>
    <row r="50" s="2" customFormat="1" ht="15" customHeight="1" spans="1:19">
      <c r="A50" s="13">
        <v>2001</v>
      </c>
      <c r="B50" s="12" t="s">
        <v>36</v>
      </c>
      <c r="C50" s="14">
        <v>0.179229836264403</v>
      </c>
      <c r="D50" s="11">
        <v>6596</v>
      </c>
      <c r="E50" s="11">
        <v>1182.2</v>
      </c>
      <c r="F50" s="11">
        <f t="shared" si="20"/>
        <v>5413.8</v>
      </c>
      <c r="G50" s="11">
        <v>6780.56</v>
      </c>
      <c r="H50" s="11">
        <v>2299.45572057206</v>
      </c>
      <c r="I50" s="15">
        <f t="shared" si="11"/>
        <v>8015978.032</v>
      </c>
      <c r="J50" s="15">
        <f t="shared" si="12"/>
        <v>12448793.380033</v>
      </c>
      <c r="K50" s="15">
        <f t="shared" si="13"/>
        <v>20464771.412033</v>
      </c>
      <c r="L50" s="15">
        <f t="shared" si="14"/>
        <v>0.391696436310386</v>
      </c>
      <c r="M50" s="15">
        <f t="shared" si="15"/>
        <v>0.608303563689614</v>
      </c>
      <c r="N50" s="15">
        <f t="shared" si="16"/>
        <v>0.179229836264403</v>
      </c>
      <c r="O50" s="15">
        <f t="shared" si="17"/>
        <v>0.820770163735597</v>
      </c>
      <c r="P50" s="15">
        <f t="shared" si="18"/>
        <v>2.1854421366125</v>
      </c>
      <c r="Q50" s="15">
        <f t="shared" si="19"/>
        <v>0.741137520059236</v>
      </c>
      <c r="R50" s="7">
        <f t="shared" si="21"/>
        <v>0.124006445460491</v>
      </c>
      <c r="S50" s="18"/>
    </row>
    <row r="51" s="2" customFormat="1" ht="15" customHeight="1" spans="1:19">
      <c r="A51" s="13">
        <v>2001</v>
      </c>
      <c r="B51" s="12" t="s">
        <v>37</v>
      </c>
      <c r="C51" s="14">
        <v>0.205319285622511</v>
      </c>
      <c r="D51" s="11">
        <v>7783</v>
      </c>
      <c r="E51" s="11">
        <v>1598</v>
      </c>
      <c r="F51" s="11">
        <f t="shared" si="20"/>
        <v>6185</v>
      </c>
      <c r="G51" s="11">
        <v>10415.19</v>
      </c>
      <c r="H51" s="11">
        <v>3769.79237482774</v>
      </c>
      <c r="I51" s="15">
        <f t="shared" si="11"/>
        <v>16643473.62</v>
      </c>
      <c r="J51" s="15">
        <f t="shared" si="12"/>
        <v>23316165.8383096</v>
      </c>
      <c r="K51" s="15">
        <f t="shared" si="13"/>
        <v>39959639.4583096</v>
      </c>
      <c r="L51" s="15">
        <f t="shared" si="14"/>
        <v>0.41650710180617</v>
      </c>
      <c r="M51" s="15">
        <f t="shared" si="15"/>
        <v>0.58349289819383</v>
      </c>
      <c r="N51" s="15">
        <f t="shared" si="16"/>
        <v>0.205319285622511</v>
      </c>
      <c r="O51" s="15">
        <f t="shared" si="17"/>
        <v>0.794680714377489</v>
      </c>
      <c r="P51" s="15">
        <f t="shared" si="18"/>
        <v>2.02858246142517</v>
      </c>
      <c r="Q51" s="15">
        <f t="shared" si="19"/>
        <v>0.734248217727175</v>
      </c>
      <c r="R51" s="7">
        <f t="shared" si="21"/>
        <v>0.114365286081835</v>
      </c>
      <c r="S51" s="18"/>
    </row>
    <row r="52" s="2" customFormat="1" ht="15" customHeight="1" spans="1:19">
      <c r="A52" s="13">
        <v>2001</v>
      </c>
      <c r="B52" s="12" t="s">
        <v>38</v>
      </c>
      <c r="C52" s="14">
        <v>0.157309941520468</v>
      </c>
      <c r="D52" s="11">
        <v>4788</v>
      </c>
      <c r="E52" s="11">
        <v>753.2</v>
      </c>
      <c r="F52" s="11">
        <f t="shared" si="20"/>
        <v>4034.8</v>
      </c>
      <c r="G52" s="11">
        <v>6665.73</v>
      </c>
      <c r="H52" s="11">
        <v>1944.33101642896</v>
      </c>
      <c r="I52" s="15">
        <f t="shared" si="11"/>
        <v>5020627.836</v>
      </c>
      <c r="J52" s="15">
        <f t="shared" si="12"/>
        <v>7844986.78508757</v>
      </c>
      <c r="K52" s="15">
        <f t="shared" si="13"/>
        <v>12865614.6210876</v>
      </c>
      <c r="L52" s="15">
        <f t="shared" si="14"/>
        <v>0.39023614369506</v>
      </c>
      <c r="M52" s="15">
        <f t="shared" si="15"/>
        <v>0.609763856304939</v>
      </c>
      <c r="N52" s="15">
        <f t="shared" si="16"/>
        <v>0.157309941520468</v>
      </c>
      <c r="O52" s="15">
        <f t="shared" si="17"/>
        <v>0.842690058479532</v>
      </c>
      <c r="P52" s="15">
        <f t="shared" si="18"/>
        <v>2.48068329263402</v>
      </c>
      <c r="Q52" s="15">
        <f t="shared" si="19"/>
        <v>0.723592084858741</v>
      </c>
      <c r="R52" s="7">
        <f t="shared" si="21"/>
        <v>0.157267467414268</v>
      </c>
      <c r="S52" s="18"/>
    </row>
    <row r="53" s="2" customFormat="1" ht="15" customHeight="1" spans="1:19">
      <c r="A53" s="13">
        <v>2001</v>
      </c>
      <c r="B53" s="12" t="s">
        <v>39</v>
      </c>
      <c r="C53" s="14">
        <v>0.36608040201005</v>
      </c>
      <c r="D53" s="11">
        <v>796</v>
      </c>
      <c r="E53" s="11">
        <v>291.4</v>
      </c>
      <c r="F53" s="11">
        <f t="shared" si="20"/>
        <v>504.6</v>
      </c>
      <c r="G53" s="11">
        <v>5838.84</v>
      </c>
      <c r="H53" s="11">
        <v>2226.47054032039</v>
      </c>
      <c r="I53" s="15">
        <f t="shared" si="11"/>
        <v>1701437.976</v>
      </c>
      <c r="J53" s="15">
        <f t="shared" si="12"/>
        <v>1123477.03464567</v>
      </c>
      <c r="K53" s="15">
        <f t="shared" si="13"/>
        <v>2824915.01064567</v>
      </c>
      <c r="L53" s="15">
        <f t="shared" si="14"/>
        <v>0.602297049499948</v>
      </c>
      <c r="M53" s="15">
        <f t="shared" si="15"/>
        <v>0.397702950500052</v>
      </c>
      <c r="N53" s="15">
        <f t="shared" si="16"/>
        <v>0.36608040201005</v>
      </c>
      <c r="O53" s="15">
        <f t="shared" si="17"/>
        <v>0.63391959798995</v>
      </c>
      <c r="P53" s="15">
        <f t="shared" si="18"/>
        <v>1.64525892725449</v>
      </c>
      <c r="Q53" s="15">
        <f t="shared" si="19"/>
        <v>0.627371281407137</v>
      </c>
      <c r="R53" s="7">
        <f t="shared" si="21"/>
        <v>0.114466580155562</v>
      </c>
      <c r="S53" s="18"/>
    </row>
    <row r="54" s="2" customFormat="1" ht="15" customHeight="1" spans="1:19">
      <c r="A54" s="13">
        <v>2001</v>
      </c>
      <c r="B54" s="12" t="s">
        <v>40</v>
      </c>
      <c r="C54" s="14">
        <v>0.212528253148208</v>
      </c>
      <c r="D54" s="11">
        <v>3097</v>
      </c>
      <c r="E54" s="11">
        <v>658.2</v>
      </c>
      <c r="F54" s="11">
        <f t="shared" si="20"/>
        <v>2438.8</v>
      </c>
      <c r="G54" s="11">
        <v>6721.09</v>
      </c>
      <c r="H54" s="11">
        <v>1971.18017607772</v>
      </c>
      <c r="I54" s="15">
        <f t="shared" si="11"/>
        <v>4423821.438</v>
      </c>
      <c r="J54" s="15">
        <f t="shared" si="12"/>
        <v>4807314.21341834</v>
      </c>
      <c r="K54" s="15">
        <f t="shared" si="13"/>
        <v>9231135.65141834</v>
      </c>
      <c r="L54" s="15">
        <f t="shared" si="14"/>
        <v>0.479228299209349</v>
      </c>
      <c r="M54" s="15">
        <f t="shared" si="15"/>
        <v>0.520771700790651</v>
      </c>
      <c r="N54" s="15">
        <f t="shared" si="16"/>
        <v>0.212528253148208</v>
      </c>
      <c r="O54" s="15">
        <f t="shared" si="17"/>
        <v>0.787471746851792</v>
      </c>
      <c r="P54" s="15">
        <f t="shared" si="18"/>
        <v>2.25489219485165</v>
      </c>
      <c r="Q54" s="15">
        <f t="shared" si="19"/>
        <v>0.661321124056358</v>
      </c>
      <c r="R54" s="7">
        <f t="shared" si="21"/>
        <v>0.174314271400502</v>
      </c>
      <c r="S54" s="18"/>
    </row>
    <row r="55" s="2" customFormat="1" ht="15" customHeight="1" spans="1:19">
      <c r="A55" s="13">
        <v>2001</v>
      </c>
      <c r="B55" s="12" t="s">
        <v>41</v>
      </c>
      <c r="C55" s="14">
        <v>0.198391203703704</v>
      </c>
      <c r="D55" s="11">
        <v>8640</v>
      </c>
      <c r="E55" s="11">
        <v>1714.1</v>
      </c>
      <c r="F55" s="11">
        <f t="shared" si="20"/>
        <v>6925.9</v>
      </c>
      <c r="G55" s="11">
        <v>6360.47</v>
      </c>
      <c r="H55" s="11">
        <v>1986.99452438559</v>
      </c>
      <c r="I55" s="15">
        <f t="shared" si="11"/>
        <v>10902481.627</v>
      </c>
      <c r="J55" s="15">
        <f t="shared" si="12"/>
        <v>13761725.3764422</v>
      </c>
      <c r="K55" s="15">
        <f t="shared" si="13"/>
        <v>24664207.0034422</v>
      </c>
      <c r="L55" s="15">
        <f t="shared" si="14"/>
        <v>0.442036576545049</v>
      </c>
      <c r="M55" s="15">
        <f t="shared" si="15"/>
        <v>0.557963423454951</v>
      </c>
      <c r="N55" s="15">
        <f t="shared" si="16"/>
        <v>0.198391203703704</v>
      </c>
      <c r="O55" s="15">
        <f t="shared" si="17"/>
        <v>0.801608796296296</v>
      </c>
      <c r="P55" s="15">
        <f t="shared" si="18"/>
        <v>2.22810572390713</v>
      </c>
      <c r="Q55" s="15">
        <f t="shared" si="19"/>
        <v>0.696054516907662</v>
      </c>
      <c r="R55" s="7">
        <f t="shared" si="21"/>
        <v>0.151973010456139</v>
      </c>
      <c r="S55" s="18"/>
    </row>
    <row r="56" s="2" customFormat="1" ht="15" customHeight="1" spans="1:19">
      <c r="A56" s="13">
        <v>2001</v>
      </c>
      <c r="B56" s="12" t="s">
        <v>42</v>
      </c>
      <c r="C56" s="14">
        <v>0.168044222163727</v>
      </c>
      <c r="D56" s="11">
        <v>3799</v>
      </c>
      <c r="E56" s="11">
        <v>638.4</v>
      </c>
      <c r="F56" s="11">
        <f t="shared" si="20"/>
        <v>3160.6</v>
      </c>
      <c r="G56" s="11">
        <v>5451.91</v>
      </c>
      <c r="H56" s="11">
        <v>1411.72724547907</v>
      </c>
      <c r="I56" s="15">
        <f t="shared" si="11"/>
        <v>3480499.344</v>
      </c>
      <c r="J56" s="15">
        <f t="shared" si="12"/>
        <v>4461905.13206115</v>
      </c>
      <c r="K56" s="15">
        <f t="shared" si="13"/>
        <v>7942404.47606115</v>
      </c>
      <c r="L56" s="15">
        <f t="shared" si="14"/>
        <v>0.438217337645095</v>
      </c>
      <c r="M56" s="15">
        <f t="shared" si="15"/>
        <v>0.561782662354905</v>
      </c>
      <c r="N56" s="15">
        <f t="shared" si="16"/>
        <v>0.168044222163727</v>
      </c>
      <c r="O56" s="15">
        <f t="shared" si="17"/>
        <v>0.831955777836273</v>
      </c>
      <c r="P56" s="15">
        <f t="shared" si="18"/>
        <v>2.60775010293502</v>
      </c>
      <c r="Q56" s="15">
        <f t="shared" si="19"/>
        <v>0.675255437032932</v>
      </c>
      <c r="R56" s="7">
        <f t="shared" si="21"/>
        <v>0.199434021619389</v>
      </c>
      <c r="S56" s="18"/>
    </row>
    <row r="57" s="2" customFormat="1" ht="15" customHeight="1" spans="1:19">
      <c r="A57" s="13">
        <v>2001</v>
      </c>
      <c r="B57" s="12" t="s">
        <v>43</v>
      </c>
      <c r="C57" s="14">
        <v>0.192045719617448</v>
      </c>
      <c r="D57" s="11">
        <v>4287</v>
      </c>
      <c r="E57" s="11">
        <v>823.3</v>
      </c>
      <c r="F57" s="11">
        <f t="shared" si="20"/>
        <v>3463.7</v>
      </c>
      <c r="G57" s="11">
        <v>6797.71</v>
      </c>
      <c r="H57" s="11">
        <v>1533.74364917486</v>
      </c>
      <c r="I57" s="15">
        <f t="shared" si="11"/>
        <v>5596554.643</v>
      </c>
      <c r="J57" s="15">
        <f t="shared" si="12"/>
        <v>5312427.87764696</v>
      </c>
      <c r="K57" s="15">
        <f t="shared" si="13"/>
        <v>10908982.520647</v>
      </c>
      <c r="L57" s="15">
        <f t="shared" si="14"/>
        <v>0.513022606132849</v>
      </c>
      <c r="M57" s="15">
        <f t="shared" si="15"/>
        <v>0.486977393867151</v>
      </c>
      <c r="N57" s="15">
        <f t="shared" si="16"/>
        <v>0.192045719617448</v>
      </c>
      <c r="O57" s="15">
        <f t="shared" si="17"/>
        <v>0.807954280382552</v>
      </c>
      <c r="P57" s="15">
        <f t="shared" si="18"/>
        <v>2.67135662880059</v>
      </c>
      <c r="Q57" s="15">
        <f t="shared" si="19"/>
        <v>0.602728899012177</v>
      </c>
      <c r="R57" s="7">
        <f t="shared" si="21"/>
        <v>0.257538359302573</v>
      </c>
      <c r="S57" s="18"/>
    </row>
    <row r="58" s="2" customFormat="1" ht="15" customHeight="1" spans="1:19">
      <c r="A58" s="13">
        <v>2001</v>
      </c>
      <c r="B58" s="12" t="s">
        <v>44</v>
      </c>
      <c r="C58" s="14">
        <v>0.168821292775665</v>
      </c>
      <c r="D58" s="11">
        <v>263</v>
      </c>
      <c r="E58" s="11">
        <v>44.4</v>
      </c>
      <c r="F58" s="11">
        <f t="shared" si="20"/>
        <v>218.6</v>
      </c>
      <c r="G58" s="11">
        <v>7869.16</v>
      </c>
      <c r="H58" s="11">
        <v>1404.01</v>
      </c>
      <c r="I58" s="15">
        <f t="shared" si="11"/>
        <v>349390.704</v>
      </c>
      <c r="J58" s="15">
        <f t="shared" si="12"/>
        <v>306916.586</v>
      </c>
      <c r="K58" s="15">
        <f t="shared" si="13"/>
        <v>656307.29</v>
      </c>
      <c r="L58" s="15">
        <f t="shared" si="14"/>
        <v>0.532358407903712</v>
      </c>
      <c r="M58" s="15">
        <f t="shared" si="15"/>
        <v>0.467641592096288</v>
      </c>
      <c r="N58" s="15">
        <f t="shared" si="16"/>
        <v>0.168821292775665</v>
      </c>
      <c r="O58" s="15">
        <f t="shared" si="17"/>
        <v>0.831178707224335</v>
      </c>
      <c r="P58" s="15">
        <f t="shared" si="18"/>
        <v>3.15338426303326</v>
      </c>
      <c r="Q58" s="15">
        <f t="shared" si="19"/>
        <v>0.562624605312551</v>
      </c>
      <c r="R58" s="7">
        <f t="shared" si="21"/>
        <v>0.342440361475939</v>
      </c>
      <c r="S58" s="18"/>
    </row>
    <row r="59" s="2" customFormat="1" ht="15" customHeight="1" spans="1:19">
      <c r="A59" s="13">
        <v>2001</v>
      </c>
      <c r="B59" s="12" t="s">
        <v>45</v>
      </c>
      <c r="C59" s="14">
        <v>0.242607269745832</v>
      </c>
      <c r="D59" s="11">
        <v>3659</v>
      </c>
      <c r="E59" s="11">
        <v>887.7</v>
      </c>
      <c r="F59" s="11">
        <f t="shared" si="20"/>
        <v>2771.3</v>
      </c>
      <c r="G59" s="11">
        <v>5483.73</v>
      </c>
      <c r="H59" s="11">
        <v>1490.79805427547</v>
      </c>
      <c r="I59" s="15">
        <f t="shared" si="11"/>
        <v>4867907.121</v>
      </c>
      <c r="J59" s="15">
        <f t="shared" si="12"/>
        <v>4131448.64781361</v>
      </c>
      <c r="K59" s="15">
        <f t="shared" si="13"/>
        <v>8999355.76881361</v>
      </c>
      <c r="L59" s="15">
        <f t="shared" si="14"/>
        <v>0.540917288531837</v>
      </c>
      <c r="M59" s="15">
        <f t="shared" si="15"/>
        <v>0.459082711468163</v>
      </c>
      <c r="N59" s="15">
        <f t="shared" si="16"/>
        <v>0.242607269745832</v>
      </c>
      <c r="O59" s="15">
        <f t="shared" si="17"/>
        <v>0.757392730254168</v>
      </c>
      <c r="P59" s="15">
        <f t="shared" si="18"/>
        <v>2.22960049424129</v>
      </c>
      <c r="Q59" s="15">
        <f t="shared" si="19"/>
        <v>0.606135619118107</v>
      </c>
      <c r="R59" s="7">
        <f t="shared" si="21"/>
        <v>0.203879149541982</v>
      </c>
      <c r="S59" s="18"/>
    </row>
    <row r="60" s="2" customFormat="1" ht="15" customHeight="1" spans="1:19">
      <c r="A60" s="13">
        <v>2001</v>
      </c>
      <c r="B60" s="12" t="s">
        <v>46</v>
      </c>
      <c r="C60" s="14">
        <v>0.207961165048544</v>
      </c>
      <c r="D60" s="11">
        <v>2575</v>
      </c>
      <c r="E60" s="11">
        <v>535.5</v>
      </c>
      <c r="F60" s="11">
        <f t="shared" si="20"/>
        <v>2039.5</v>
      </c>
      <c r="G60" s="11">
        <v>5382.91</v>
      </c>
      <c r="H60" s="11">
        <v>1508.60572713288</v>
      </c>
      <c r="I60" s="15">
        <f t="shared" si="11"/>
        <v>2882548.305</v>
      </c>
      <c r="J60" s="15">
        <f t="shared" si="12"/>
        <v>3076801.38048751</v>
      </c>
      <c r="K60" s="15">
        <f t="shared" si="13"/>
        <v>5959349.68548751</v>
      </c>
      <c r="L60" s="15">
        <f t="shared" si="14"/>
        <v>0.483701822703863</v>
      </c>
      <c r="M60" s="15">
        <f t="shared" si="15"/>
        <v>0.516298177296137</v>
      </c>
      <c r="N60" s="15">
        <f t="shared" si="16"/>
        <v>0.207961165048544</v>
      </c>
      <c r="O60" s="15">
        <f t="shared" si="17"/>
        <v>0.792038834951456</v>
      </c>
      <c r="P60" s="15">
        <f t="shared" si="18"/>
        <v>2.32592379731549</v>
      </c>
      <c r="Q60" s="15">
        <f t="shared" si="19"/>
        <v>0.651859674693578</v>
      </c>
      <c r="R60" s="7">
        <f t="shared" si="21"/>
        <v>0.18736367810571</v>
      </c>
      <c r="S60" s="18"/>
    </row>
    <row r="61" s="2" customFormat="1" ht="15" customHeight="1" spans="1:19">
      <c r="A61" s="13">
        <v>2001</v>
      </c>
      <c r="B61" s="12" t="s">
        <v>47</v>
      </c>
      <c r="C61" s="14">
        <v>0.350860420650096</v>
      </c>
      <c r="D61" s="11">
        <v>523</v>
      </c>
      <c r="E61" s="11">
        <v>183.5</v>
      </c>
      <c r="F61" s="11">
        <f t="shared" si="20"/>
        <v>339.5</v>
      </c>
      <c r="G61" s="11">
        <v>5853.72</v>
      </c>
      <c r="H61" s="11">
        <v>1557.31956797967</v>
      </c>
      <c r="I61" s="15">
        <f t="shared" si="11"/>
        <v>1074157.62</v>
      </c>
      <c r="J61" s="15">
        <f t="shared" si="12"/>
        <v>528709.993329098</v>
      </c>
      <c r="K61" s="15">
        <f t="shared" si="13"/>
        <v>1602867.6133291</v>
      </c>
      <c r="L61" s="15">
        <f t="shared" si="14"/>
        <v>0.670147435176517</v>
      </c>
      <c r="M61" s="15">
        <f t="shared" si="15"/>
        <v>0.329852564823483</v>
      </c>
      <c r="N61" s="15">
        <f t="shared" si="16"/>
        <v>0.350860420650096</v>
      </c>
      <c r="O61" s="15">
        <f t="shared" si="17"/>
        <v>0.649139579349904</v>
      </c>
      <c r="P61" s="15">
        <f t="shared" si="18"/>
        <v>1.91001149099356</v>
      </c>
      <c r="Q61" s="15">
        <f t="shared" si="19"/>
        <v>0.508138119006426</v>
      </c>
      <c r="R61" s="7">
        <f t="shared" si="21"/>
        <v>0.210347770031732</v>
      </c>
      <c r="S61" s="18"/>
    </row>
    <row r="62" s="2" customFormat="1" ht="15" customHeight="1" spans="1:19">
      <c r="A62" s="13">
        <v>2001</v>
      </c>
      <c r="B62" s="12" t="s">
        <v>48</v>
      </c>
      <c r="C62" s="14">
        <v>0.293960923623446</v>
      </c>
      <c r="D62" s="11">
        <v>563</v>
      </c>
      <c r="E62" s="11">
        <v>165.5</v>
      </c>
      <c r="F62" s="11">
        <f t="shared" si="20"/>
        <v>397.5</v>
      </c>
      <c r="G62" s="11">
        <v>5544.17</v>
      </c>
      <c r="H62" s="11">
        <v>1823.05484784147</v>
      </c>
      <c r="I62" s="15">
        <f t="shared" si="11"/>
        <v>917560.135</v>
      </c>
      <c r="J62" s="15">
        <f t="shared" si="12"/>
        <v>724664.302016984</v>
      </c>
      <c r="K62" s="15">
        <f t="shared" si="13"/>
        <v>1642224.43701698</v>
      </c>
      <c r="L62" s="15">
        <f t="shared" si="14"/>
        <v>0.558730045855791</v>
      </c>
      <c r="M62" s="15">
        <f t="shared" si="15"/>
        <v>0.441269954144209</v>
      </c>
      <c r="N62" s="15">
        <f t="shared" si="16"/>
        <v>0.293960923623446</v>
      </c>
      <c r="O62" s="15">
        <f t="shared" si="17"/>
        <v>0.706039076376554</v>
      </c>
      <c r="P62" s="15">
        <f t="shared" si="18"/>
        <v>1.90069495961819</v>
      </c>
      <c r="Q62" s="15">
        <f t="shared" si="19"/>
        <v>0.624993670901106</v>
      </c>
      <c r="R62" s="7">
        <f t="shared" si="21"/>
        <v>0.151424431088692</v>
      </c>
      <c r="S62" s="18"/>
    </row>
    <row r="63" s="2" customFormat="1" ht="15" customHeight="1" spans="1:19">
      <c r="A63" s="13">
        <v>2001</v>
      </c>
      <c r="B63" s="12" t="s">
        <v>49</v>
      </c>
      <c r="C63" s="14">
        <v>0.50319829424307</v>
      </c>
      <c r="D63" s="11">
        <v>1876</v>
      </c>
      <c r="E63" s="11">
        <v>944</v>
      </c>
      <c r="F63" s="11">
        <f t="shared" si="20"/>
        <v>932</v>
      </c>
      <c r="G63" s="11">
        <v>6395.04</v>
      </c>
      <c r="H63" s="11">
        <v>1710.44324865474</v>
      </c>
      <c r="I63" s="15">
        <f t="shared" si="11"/>
        <v>6036917.76</v>
      </c>
      <c r="J63" s="15">
        <f t="shared" si="12"/>
        <v>1594133.10774622</v>
      </c>
      <c r="K63" s="15">
        <f t="shared" si="13"/>
        <v>7631050.86774622</v>
      </c>
      <c r="L63" s="15">
        <f t="shared" si="14"/>
        <v>0.791099137540275</v>
      </c>
      <c r="M63" s="15">
        <f t="shared" si="15"/>
        <v>0.208900862459725</v>
      </c>
      <c r="N63" s="15">
        <f t="shared" si="16"/>
        <v>0.50319829424307</v>
      </c>
      <c r="O63" s="15">
        <f t="shared" si="17"/>
        <v>0.49680170575693</v>
      </c>
      <c r="P63" s="15">
        <f t="shared" si="18"/>
        <v>1.57214193011182</v>
      </c>
      <c r="Q63" s="15">
        <f t="shared" si="19"/>
        <v>0.420491435594897</v>
      </c>
      <c r="R63" s="7">
        <f t="shared" si="21"/>
        <v>0.17694675595467</v>
      </c>
      <c r="S63" s="18"/>
    </row>
    <row r="64" s="2" customFormat="1" ht="15" customHeight="1" spans="1:19">
      <c r="A64" s="13">
        <v>2002</v>
      </c>
      <c r="B64" s="12" t="s">
        <v>19</v>
      </c>
      <c r="C64" s="14">
        <v>0.748699929725931</v>
      </c>
      <c r="D64" s="11">
        <v>1423</v>
      </c>
      <c r="E64" s="11">
        <v>1118</v>
      </c>
      <c r="F64" s="11">
        <f t="shared" si="20"/>
        <v>305</v>
      </c>
      <c r="G64" s="11">
        <v>12463.92</v>
      </c>
      <c r="H64" s="11">
        <v>5398.48</v>
      </c>
      <c r="I64" s="15">
        <f t="shared" si="11"/>
        <v>13934662.56</v>
      </c>
      <c r="J64" s="15">
        <f t="shared" si="12"/>
        <v>1646536.4</v>
      </c>
      <c r="K64" s="15">
        <f t="shared" si="13"/>
        <v>15581198.96</v>
      </c>
      <c r="L64" s="15">
        <f t="shared" si="14"/>
        <v>0.894325436429701</v>
      </c>
      <c r="M64" s="15">
        <f t="shared" si="15"/>
        <v>0.105674563570299</v>
      </c>
      <c r="N64" s="15">
        <f t="shared" si="16"/>
        <v>0.748699929725931</v>
      </c>
      <c r="O64" s="15">
        <f t="shared" si="17"/>
        <v>0.214335910049192</v>
      </c>
      <c r="P64" s="15">
        <f t="shared" si="18"/>
        <v>1.19450450163269</v>
      </c>
      <c r="Q64" s="15">
        <f t="shared" si="19"/>
        <v>0.493032472001757</v>
      </c>
      <c r="R64" s="7">
        <f t="shared" si="21"/>
        <v>0.0842187989902343</v>
      </c>
      <c r="S64" s="18"/>
    </row>
    <row r="65" s="2" customFormat="1" ht="15" customHeight="1" spans="1:19">
      <c r="A65" s="13">
        <v>2002</v>
      </c>
      <c r="B65" s="12" t="s">
        <v>20</v>
      </c>
      <c r="C65" s="14">
        <v>0.616087388282026</v>
      </c>
      <c r="D65" s="11">
        <v>1007</v>
      </c>
      <c r="E65" s="11">
        <v>620.4</v>
      </c>
      <c r="F65" s="11">
        <f t="shared" si="20"/>
        <v>386.6</v>
      </c>
      <c r="G65" s="11">
        <v>9337.56</v>
      </c>
      <c r="H65" s="11">
        <v>4278.71</v>
      </c>
      <c r="I65" s="15">
        <f t="shared" ref="I65:I95" si="22">E65*G65</f>
        <v>5793022.224</v>
      </c>
      <c r="J65" s="15">
        <f t="shared" ref="J65:J95" si="23">F65*H65</f>
        <v>1654149.286</v>
      </c>
      <c r="K65" s="15">
        <f t="shared" ref="K65:K95" si="24">I65+J65</f>
        <v>7447171.51</v>
      </c>
      <c r="L65" s="15">
        <f t="shared" ref="L65:L95" si="25">I65/K65</f>
        <v>0.777882208865631</v>
      </c>
      <c r="M65" s="15">
        <f t="shared" ref="M65:M95" si="26">J65/K65</f>
        <v>0.222117791134369</v>
      </c>
      <c r="N65" s="15">
        <f t="shared" ref="N65:N95" si="27">C65</f>
        <v>0.616087388282026</v>
      </c>
      <c r="O65" s="15">
        <f t="shared" ref="O65:O95" si="28">F65/D65</f>
        <v>0.383912611717974</v>
      </c>
      <c r="P65" s="15">
        <f t="shared" ref="P65:P95" si="29">(L65/N65)</f>
        <v>1.26261667364231</v>
      </c>
      <c r="Q65" s="15">
        <f t="shared" ref="Q65:Q95" si="30">M65/O65</f>
        <v>0.578563413534167</v>
      </c>
      <c r="R65" s="7">
        <f t="shared" ref="R65:R95" si="31">L65*LN(P65)+M65*LN(Q65)</f>
        <v>0.0598470313640291</v>
      </c>
      <c r="S65" s="18"/>
    </row>
    <row r="66" s="2" customFormat="1" ht="15" customHeight="1" spans="1:19">
      <c r="A66" s="13">
        <v>2002</v>
      </c>
      <c r="B66" s="12" t="s">
        <v>21</v>
      </c>
      <c r="C66" s="14">
        <v>0.199881217520416</v>
      </c>
      <c r="D66" s="11">
        <v>6735</v>
      </c>
      <c r="E66" s="11">
        <v>1346.2</v>
      </c>
      <c r="F66" s="11">
        <f t="shared" ref="F66:F95" si="32">D66-E66</f>
        <v>5388.8</v>
      </c>
      <c r="G66" s="11">
        <v>6679.68</v>
      </c>
      <c r="H66" s="11">
        <v>2685.16</v>
      </c>
      <c r="I66" s="15">
        <f t="shared" si="22"/>
        <v>8992185.216</v>
      </c>
      <c r="J66" s="15">
        <f t="shared" si="23"/>
        <v>14469790.208</v>
      </c>
      <c r="K66" s="15">
        <f t="shared" si="24"/>
        <v>23461975.424</v>
      </c>
      <c r="L66" s="15">
        <f t="shared" si="25"/>
        <v>0.383266330029551</v>
      </c>
      <c r="M66" s="15">
        <f t="shared" si="26"/>
        <v>0.616733669970449</v>
      </c>
      <c r="N66" s="15">
        <f t="shared" si="27"/>
        <v>0.199881217520416</v>
      </c>
      <c r="O66" s="15">
        <f t="shared" si="28"/>
        <v>0.800118782479584</v>
      </c>
      <c r="P66" s="15">
        <f t="shared" si="29"/>
        <v>1.91747045962637</v>
      </c>
      <c r="Q66" s="15">
        <f t="shared" si="30"/>
        <v>0.770802640151977</v>
      </c>
      <c r="R66" s="7">
        <f t="shared" si="31"/>
        <v>0.0889590975117633</v>
      </c>
      <c r="S66" s="18"/>
    </row>
    <row r="67" s="2" customFormat="1" ht="15" customHeight="1" spans="1:19">
      <c r="A67" s="13">
        <v>2002</v>
      </c>
      <c r="B67" s="12" t="s">
        <v>22</v>
      </c>
      <c r="C67" s="14">
        <v>0.29344262295082</v>
      </c>
      <c r="D67" s="11">
        <v>3294</v>
      </c>
      <c r="E67" s="11">
        <v>966.6</v>
      </c>
      <c r="F67" s="11">
        <f t="shared" si="32"/>
        <v>2327.4</v>
      </c>
      <c r="G67" s="11">
        <v>6234.36</v>
      </c>
      <c r="H67" s="11">
        <v>2149.82</v>
      </c>
      <c r="I67" s="15">
        <f t="shared" si="22"/>
        <v>6026132.376</v>
      </c>
      <c r="J67" s="15">
        <f t="shared" si="23"/>
        <v>5003491.068</v>
      </c>
      <c r="K67" s="15">
        <f t="shared" si="24"/>
        <v>11029623.444</v>
      </c>
      <c r="L67" s="15">
        <f t="shared" si="25"/>
        <v>0.546358849565091</v>
      </c>
      <c r="M67" s="15">
        <f t="shared" si="26"/>
        <v>0.453641150434909</v>
      </c>
      <c r="N67" s="15">
        <f t="shared" si="27"/>
        <v>0.29344262295082</v>
      </c>
      <c r="O67" s="15">
        <f t="shared" si="28"/>
        <v>0.70655737704918</v>
      </c>
      <c r="P67" s="15">
        <f t="shared" si="29"/>
        <v>1.8618932862274</v>
      </c>
      <c r="Q67" s="15">
        <f t="shared" si="30"/>
        <v>0.642044319641054</v>
      </c>
      <c r="R67" s="7">
        <f t="shared" si="31"/>
        <v>0.138605848381831</v>
      </c>
      <c r="S67" s="18"/>
    </row>
    <row r="68" s="2" customFormat="1" ht="15" customHeight="1" spans="1:19">
      <c r="A68" s="13">
        <v>2002</v>
      </c>
      <c r="B68" s="12" t="s">
        <v>23</v>
      </c>
      <c r="C68" s="14">
        <v>0.424127784783522</v>
      </c>
      <c r="D68" s="11">
        <v>2379</v>
      </c>
      <c r="E68" s="11">
        <v>1009</v>
      </c>
      <c r="F68" s="11">
        <f t="shared" si="32"/>
        <v>1370</v>
      </c>
      <c r="G68" s="11">
        <v>6051</v>
      </c>
      <c r="H68" s="11">
        <v>2086.02</v>
      </c>
      <c r="I68" s="15">
        <f t="shared" si="22"/>
        <v>6105459</v>
      </c>
      <c r="J68" s="15">
        <f t="shared" si="23"/>
        <v>2857847.4</v>
      </c>
      <c r="K68" s="15">
        <f t="shared" si="24"/>
        <v>8963306.4</v>
      </c>
      <c r="L68" s="15">
        <f t="shared" si="25"/>
        <v>0.681161474073897</v>
      </c>
      <c r="M68" s="15">
        <f t="shared" si="26"/>
        <v>0.318838525926102</v>
      </c>
      <c r="N68" s="15">
        <f t="shared" si="27"/>
        <v>0.424127784783522</v>
      </c>
      <c r="O68" s="15">
        <f t="shared" si="28"/>
        <v>0.575872215216477</v>
      </c>
      <c r="P68" s="15">
        <f t="shared" si="29"/>
        <v>1.60602888684024</v>
      </c>
      <c r="Q68" s="15">
        <f t="shared" si="30"/>
        <v>0.553661936626422</v>
      </c>
      <c r="R68" s="7">
        <f t="shared" si="31"/>
        <v>0.134212539043732</v>
      </c>
      <c r="S68" s="18"/>
    </row>
    <row r="69" s="2" customFormat="1" ht="15" customHeight="1" spans="1:19">
      <c r="A69" s="13">
        <v>2002</v>
      </c>
      <c r="B69" s="12" t="s">
        <v>24</v>
      </c>
      <c r="C69" s="14">
        <v>0.449321912919343</v>
      </c>
      <c r="D69" s="11">
        <v>4203</v>
      </c>
      <c r="E69" s="11">
        <v>1888.5</v>
      </c>
      <c r="F69" s="11">
        <f t="shared" si="32"/>
        <v>2314.5</v>
      </c>
      <c r="G69" s="11">
        <v>6524.52</v>
      </c>
      <c r="H69" s="11">
        <v>2751.34</v>
      </c>
      <c r="I69" s="15">
        <f t="shared" si="22"/>
        <v>12321556.02</v>
      </c>
      <c r="J69" s="15">
        <f t="shared" si="23"/>
        <v>6367976.43</v>
      </c>
      <c r="K69" s="15">
        <f t="shared" si="24"/>
        <v>18689532.45</v>
      </c>
      <c r="L69" s="15">
        <f t="shared" si="25"/>
        <v>0.65927577658584</v>
      </c>
      <c r="M69" s="15">
        <f t="shared" si="26"/>
        <v>0.34072422341416</v>
      </c>
      <c r="N69" s="15">
        <f t="shared" si="27"/>
        <v>0.449321912919343</v>
      </c>
      <c r="O69" s="15">
        <f t="shared" si="28"/>
        <v>0.550678087080657</v>
      </c>
      <c r="P69" s="15">
        <f t="shared" si="29"/>
        <v>1.46726824939915</v>
      </c>
      <c r="Q69" s="15">
        <f t="shared" si="30"/>
        <v>0.618735757619233</v>
      </c>
      <c r="R69" s="7">
        <f t="shared" si="31"/>
        <v>0.0891940169323704</v>
      </c>
      <c r="S69" s="18"/>
    </row>
    <row r="70" s="2" customFormat="1" ht="15" customHeight="1" spans="1:19">
      <c r="A70" s="13">
        <v>2002</v>
      </c>
      <c r="B70" s="12" t="s">
        <v>25</v>
      </c>
      <c r="C70" s="14">
        <v>0.465172286031864</v>
      </c>
      <c r="D70" s="11">
        <v>2699</v>
      </c>
      <c r="E70" s="11">
        <v>1255.5</v>
      </c>
      <c r="F70" s="11">
        <f t="shared" si="32"/>
        <v>1443.5</v>
      </c>
      <c r="G70" s="11">
        <v>6260.16</v>
      </c>
      <c r="H70" s="11">
        <v>2300.99</v>
      </c>
      <c r="I70" s="15">
        <f t="shared" si="22"/>
        <v>7859630.88</v>
      </c>
      <c r="J70" s="15">
        <f t="shared" si="23"/>
        <v>3321479.065</v>
      </c>
      <c r="K70" s="15">
        <f t="shared" si="24"/>
        <v>11181109.945</v>
      </c>
      <c r="L70" s="15">
        <f t="shared" si="25"/>
        <v>0.702938341422418</v>
      </c>
      <c r="M70" s="15">
        <f t="shared" si="26"/>
        <v>0.297061658577582</v>
      </c>
      <c r="N70" s="15">
        <f t="shared" si="27"/>
        <v>0.465172286031864</v>
      </c>
      <c r="O70" s="15">
        <f t="shared" si="28"/>
        <v>0.534827713968136</v>
      </c>
      <c r="P70" s="15">
        <f t="shared" si="29"/>
        <v>1.51113547072808</v>
      </c>
      <c r="Q70" s="15">
        <f t="shared" si="30"/>
        <v>0.555434303083405</v>
      </c>
      <c r="R70" s="7">
        <f t="shared" si="31"/>
        <v>0.115542338820793</v>
      </c>
      <c r="S70" s="18"/>
    </row>
    <row r="71" s="2" customFormat="1" ht="15" customHeight="1" spans="1:19">
      <c r="A71" s="13">
        <v>2002</v>
      </c>
      <c r="B71" s="12" t="s">
        <v>26</v>
      </c>
      <c r="C71" s="14">
        <v>0.504196170993968</v>
      </c>
      <c r="D71" s="11">
        <v>3813</v>
      </c>
      <c r="E71" s="11">
        <v>1922.5</v>
      </c>
      <c r="F71" s="11">
        <f t="shared" si="32"/>
        <v>1890.5</v>
      </c>
      <c r="G71" s="11">
        <v>6100.56</v>
      </c>
      <c r="H71" s="11">
        <v>2405.24</v>
      </c>
      <c r="I71" s="15">
        <f t="shared" si="22"/>
        <v>11728326.6</v>
      </c>
      <c r="J71" s="15">
        <f t="shared" si="23"/>
        <v>4547106.22</v>
      </c>
      <c r="K71" s="15">
        <f t="shared" si="24"/>
        <v>16275432.82</v>
      </c>
      <c r="L71" s="15">
        <f t="shared" si="25"/>
        <v>0.720615342750682</v>
      </c>
      <c r="M71" s="15">
        <f t="shared" si="26"/>
        <v>0.279384657249318</v>
      </c>
      <c r="N71" s="15">
        <f t="shared" si="27"/>
        <v>0.504196170993968</v>
      </c>
      <c r="O71" s="15">
        <f t="shared" si="28"/>
        <v>0.495803829006032</v>
      </c>
      <c r="P71" s="15">
        <f t="shared" si="29"/>
        <v>1.42923604780668</v>
      </c>
      <c r="Q71" s="15">
        <f t="shared" si="30"/>
        <v>0.563498385660751</v>
      </c>
      <c r="R71" s="7">
        <f t="shared" si="31"/>
        <v>0.0971081414370648</v>
      </c>
      <c r="S71" s="18"/>
    </row>
    <row r="72" s="2" customFormat="1" ht="15" customHeight="1" spans="1:19">
      <c r="A72" s="13">
        <v>2002</v>
      </c>
      <c r="B72" s="12" t="s">
        <v>27</v>
      </c>
      <c r="C72" s="14">
        <v>0.778030769230769</v>
      </c>
      <c r="D72" s="11">
        <v>1625</v>
      </c>
      <c r="E72" s="11">
        <v>1264.3</v>
      </c>
      <c r="F72" s="11">
        <f t="shared" si="32"/>
        <v>360.7</v>
      </c>
      <c r="G72" s="11">
        <v>13249.8</v>
      </c>
      <c r="H72" s="11">
        <v>6223.55</v>
      </c>
      <c r="I72" s="15">
        <f t="shared" si="22"/>
        <v>16751722.14</v>
      </c>
      <c r="J72" s="15">
        <f t="shared" si="23"/>
        <v>2244834.485</v>
      </c>
      <c r="K72" s="15">
        <f t="shared" si="24"/>
        <v>18996556.625</v>
      </c>
      <c r="L72" s="15">
        <f t="shared" si="25"/>
        <v>0.881829400490101</v>
      </c>
      <c r="M72" s="15">
        <f t="shared" si="26"/>
        <v>0.118170599509899</v>
      </c>
      <c r="N72" s="15">
        <f t="shared" si="27"/>
        <v>0.778030769230769</v>
      </c>
      <c r="O72" s="15">
        <f t="shared" si="28"/>
        <v>0.221969230769231</v>
      </c>
      <c r="P72" s="15">
        <f t="shared" si="29"/>
        <v>1.13341198750013</v>
      </c>
      <c r="Q72" s="15">
        <f t="shared" si="30"/>
        <v>0.53237378487271</v>
      </c>
      <c r="R72" s="7">
        <f t="shared" si="31"/>
        <v>0.0359378761412473</v>
      </c>
      <c r="S72" s="18"/>
    </row>
    <row r="73" s="2" customFormat="1" ht="15" customHeight="1" spans="1:19">
      <c r="A73" s="13">
        <v>2002</v>
      </c>
      <c r="B73" s="12" t="s">
        <v>28</v>
      </c>
      <c r="C73" s="14">
        <v>0.290475545319062</v>
      </c>
      <c r="D73" s="11">
        <v>7381</v>
      </c>
      <c r="E73" s="11">
        <v>2144</v>
      </c>
      <c r="F73" s="11">
        <f t="shared" si="32"/>
        <v>5237</v>
      </c>
      <c r="G73" s="11">
        <v>8177.64</v>
      </c>
      <c r="H73" s="11">
        <v>3979.79</v>
      </c>
      <c r="I73" s="15">
        <f t="shared" si="22"/>
        <v>17532860.16</v>
      </c>
      <c r="J73" s="15">
        <f t="shared" si="23"/>
        <v>20842160.23</v>
      </c>
      <c r="K73" s="15">
        <f t="shared" si="24"/>
        <v>38375020.39</v>
      </c>
      <c r="L73" s="15">
        <f t="shared" si="25"/>
        <v>0.456882106688569</v>
      </c>
      <c r="M73" s="15">
        <f t="shared" si="26"/>
        <v>0.543117893311431</v>
      </c>
      <c r="N73" s="15">
        <f t="shared" si="27"/>
        <v>0.290475545319062</v>
      </c>
      <c r="O73" s="15">
        <f t="shared" si="28"/>
        <v>0.709524454680937</v>
      </c>
      <c r="P73" s="15">
        <f t="shared" si="29"/>
        <v>1.57287631971471</v>
      </c>
      <c r="Q73" s="15">
        <f t="shared" si="30"/>
        <v>0.765467475755522</v>
      </c>
      <c r="R73" s="7">
        <f t="shared" si="31"/>
        <v>0.0617663115481566</v>
      </c>
      <c r="S73" s="18"/>
    </row>
    <row r="74" s="2" customFormat="1" ht="15" customHeight="1" spans="1:19">
      <c r="A74" s="13">
        <v>2002</v>
      </c>
      <c r="B74" s="12" t="s">
        <v>29</v>
      </c>
      <c r="C74" s="14">
        <v>0.211512803959544</v>
      </c>
      <c r="D74" s="11">
        <v>4647</v>
      </c>
      <c r="E74" s="11">
        <v>982.9</v>
      </c>
      <c r="F74" s="11">
        <f t="shared" si="32"/>
        <v>3664.1</v>
      </c>
      <c r="G74" s="11">
        <v>11715.6</v>
      </c>
      <c r="H74" s="11">
        <v>4940.36</v>
      </c>
      <c r="I74" s="15">
        <f t="shared" si="22"/>
        <v>11515263.24</v>
      </c>
      <c r="J74" s="15">
        <f t="shared" si="23"/>
        <v>18101973.076</v>
      </c>
      <c r="K74" s="15">
        <f t="shared" si="24"/>
        <v>29617236.316</v>
      </c>
      <c r="L74" s="15">
        <f t="shared" si="25"/>
        <v>0.388802760566122</v>
      </c>
      <c r="M74" s="15">
        <f t="shared" si="26"/>
        <v>0.611197239433878</v>
      </c>
      <c r="N74" s="15">
        <f t="shared" si="27"/>
        <v>0.211512803959544</v>
      </c>
      <c r="O74" s="15">
        <f t="shared" si="28"/>
        <v>0.788487196040456</v>
      </c>
      <c r="P74" s="15">
        <f t="shared" si="29"/>
        <v>1.83819964223295</v>
      </c>
      <c r="Q74" s="15">
        <f t="shared" si="30"/>
        <v>0.775151762137832</v>
      </c>
      <c r="R74" s="7">
        <f t="shared" si="31"/>
        <v>0.0810281600748335</v>
      </c>
      <c r="S74" s="18"/>
    </row>
    <row r="75" s="2" customFormat="1" ht="15" customHeight="1" spans="1:19">
      <c r="A75" s="13">
        <v>2002</v>
      </c>
      <c r="B75" s="12" t="s">
        <v>30</v>
      </c>
      <c r="C75" s="14">
        <v>0.192189965288735</v>
      </c>
      <c r="D75" s="11">
        <v>6144</v>
      </c>
      <c r="E75" s="11">
        <v>1218.1</v>
      </c>
      <c r="F75" s="11">
        <f t="shared" si="32"/>
        <v>4925.9</v>
      </c>
      <c r="G75" s="11">
        <v>6032.4</v>
      </c>
      <c r="H75" s="11">
        <v>2117.56</v>
      </c>
      <c r="I75" s="15">
        <f t="shared" si="22"/>
        <v>7348066.44</v>
      </c>
      <c r="J75" s="15">
        <f t="shared" si="23"/>
        <v>10430888.804</v>
      </c>
      <c r="K75" s="15">
        <f t="shared" si="24"/>
        <v>17778955.244</v>
      </c>
      <c r="L75" s="15">
        <f t="shared" si="25"/>
        <v>0.413301363277789</v>
      </c>
      <c r="M75" s="15">
        <f t="shared" si="26"/>
        <v>0.586698636722211</v>
      </c>
      <c r="N75" s="15">
        <f t="shared" si="27"/>
        <v>0.192189965288735</v>
      </c>
      <c r="O75" s="15">
        <f t="shared" si="28"/>
        <v>0.801741536458333</v>
      </c>
      <c r="P75" s="15">
        <f t="shared" si="29"/>
        <v>2.1504835731505</v>
      </c>
      <c r="Q75" s="15">
        <f t="shared" si="30"/>
        <v>0.731780268381669</v>
      </c>
      <c r="R75" s="7">
        <f t="shared" si="31"/>
        <v>0.133250540208449</v>
      </c>
      <c r="S75" s="18"/>
    </row>
    <row r="76" s="2" customFormat="1" ht="15" customHeight="1" spans="1:19">
      <c r="A76" s="13">
        <v>2002</v>
      </c>
      <c r="B76" s="12" t="s">
        <v>31</v>
      </c>
      <c r="C76" s="14">
        <v>0.221234852856319</v>
      </c>
      <c r="D76" s="11">
        <v>3466</v>
      </c>
      <c r="E76" s="11">
        <v>766.8</v>
      </c>
      <c r="F76" s="11">
        <f t="shared" si="32"/>
        <v>2699.2</v>
      </c>
      <c r="G76" s="11">
        <v>9189.36</v>
      </c>
      <c r="H76" s="11">
        <v>3538.83</v>
      </c>
      <c r="I76" s="15">
        <f t="shared" si="22"/>
        <v>7046401.248</v>
      </c>
      <c r="J76" s="15">
        <f t="shared" si="23"/>
        <v>9552009.936</v>
      </c>
      <c r="K76" s="15">
        <f t="shared" si="24"/>
        <v>16598411.184</v>
      </c>
      <c r="L76" s="15">
        <f t="shared" si="25"/>
        <v>0.424522634720145</v>
      </c>
      <c r="M76" s="15">
        <f t="shared" si="26"/>
        <v>0.575477365279855</v>
      </c>
      <c r="N76" s="15">
        <f t="shared" si="27"/>
        <v>0.221234852856319</v>
      </c>
      <c r="O76" s="15">
        <f t="shared" si="28"/>
        <v>0.778765147143681</v>
      </c>
      <c r="P76" s="15">
        <f t="shared" si="29"/>
        <v>1.91887774118417</v>
      </c>
      <c r="Q76" s="15">
        <f t="shared" si="30"/>
        <v>0.738961376726429</v>
      </c>
      <c r="R76" s="7">
        <f t="shared" si="31"/>
        <v>0.102591155299714</v>
      </c>
      <c r="S76" s="18"/>
    </row>
    <row r="77" s="2" customFormat="1" ht="15" customHeight="1" spans="1:19">
      <c r="A77" s="13">
        <v>2002</v>
      </c>
      <c r="B77" s="12" t="s">
        <v>32</v>
      </c>
      <c r="C77" s="14">
        <v>0.238394126006632</v>
      </c>
      <c r="D77" s="11">
        <v>4222</v>
      </c>
      <c r="E77" s="11">
        <v>1006.5</v>
      </c>
      <c r="F77" s="11">
        <f t="shared" si="32"/>
        <v>3215.5</v>
      </c>
      <c r="G77" s="11">
        <v>6335.64</v>
      </c>
      <c r="H77" s="11">
        <v>2306.45</v>
      </c>
      <c r="I77" s="15">
        <f t="shared" si="22"/>
        <v>6376821.66</v>
      </c>
      <c r="J77" s="15">
        <f t="shared" si="23"/>
        <v>7416389.975</v>
      </c>
      <c r="K77" s="15">
        <f t="shared" si="24"/>
        <v>13793211.635</v>
      </c>
      <c r="L77" s="15">
        <f t="shared" si="25"/>
        <v>0.462315944157555</v>
      </c>
      <c r="M77" s="15">
        <f t="shared" si="26"/>
        <v>0.537684055842445</v>
      </c>
      <c r="N77" s="15">
        <f t="shared" si="27"/>
        <v>0.238394126006632</v>
      </c>
      <c r="O77" s="15">
        <f t="shared" si="28"/>
        <v>0.761605873993368</v>
      </c>
      <c r="P77" s="15">
        <f t="shared" si="29"/>
        <v>1.93929251488644</v>
      </c>
      <c r="Q77" s="15">
        <f t="shared" si="30"/>
        <v>0.705987275312332</v>
      </c>
      <c r="R77" s="7">
        <f t="shared" si="31"/>
        <v>0.119003545797895</v>
      </c>
      <c r="S77" s="18"/>
    </row>
    <row r="78" s="2" customFormat="1" ht="15" customHeight="1" spans="1:19">
      <c r="A78" s="13">
        <v>2002</v>
      </c>
      <c r="B78" s="12" t="s">
        <v>33</v>
      </c>
      <c r="C78" s="14">
        <v>0.225049548557586</v>
      </c>
      <c r="D78" s="11">
        <v>9082</v>
      </c>
      <c r="E78" s="11">
        <v>2043.9</v>
      </c>
      <c r="F78" s="11">
        <f t="shared" si="32"/>
        <v>7038.1</v>
      </c>
      <c r="G78" s="11">
        <v>7614.36</v>
      </c>
      <c r="H78" s="11">
        <v>2947.65</v>
      </c>
      <c r="I78" s="15">
        <f t="shared" si="22"/>
        <v>15562990.404</v>
      </c>
      <c r="J78" s="15">
        <f t="shared" si="23"/>
        <v>20745855.465</v>
      </c>
      <c r="K78" s="15">
        <f t="shared" si="24"/>
        <v>36308845.869</v>
      </c>
      <c r="L78" s="15">
        <f t="shared" si="25"/>
        <v>0.428628066564007</v>
      </c>
      <c r="M78" s="15">
        <f t="shared" si="26"/>
        <v>0.571371933435993</v>
      </c>
      <c r="N78" s="15">
        <f t="shared" si="27"/>
        <v>0.225049548557586</v>
      </c>
      <c r="O78" s="15">
        <f t="shared" si="28"/>
        <v>0.774950451442414</v>
      </c>
      <c r="P78" s="15">
        <f t="shared" si="29"/>
        <v>1.90459420741441</v>
      </c>
      <c r="Q78" s="15">
        <f t="shared" si="30"/>
        <v>0.737301245999018</v>
      </c>
      <c r="R78" s="7">
        <f t="shared" si="31"/>
        <v>0.102021182175543</v>
      </c>
      <c r="S78" s="18"/>
    </row>
    <row r="79" s="2" customFormat="1" ht="15" customHeight="1" spans="1:19">
      <c r="A79" s="13">
        <v>2002</v>
      </c>
      <c r="B79" s="12" t="s">
        <v>34</v>
      </c>
      <c r="C79" s="14">
        <v>0.177374388848434</v>
      </c>
      <c r="D79" s="11">
        <v>9613</v>
      </c>
      <c r="E79" s="11">
        <v>1705.1</v>
      </c>
      <c r="F79" s="11">
        <f t="shared" si="32"/>
        <v>7907.9</v>
      </c>
      <c r="G79" s="11">
        <v>6245.4</v>
      </c>
      <c r="H79" s="11">
        <v>2215.74</v>
      </c>
      <c r="I79" s="15">
        <f t="shared" si="22"/>
        <v>10649031.54</v>
      </c>
      <c r="J79" s="15">
        <f t="shared" si="23"/>
        <v>17521850.346</v>
      </c>
      <c r="K79" s="15">
        <f t="shared" si="24"/>
        <v>28170881.886</v>
      </c>
      <c r="L79" s="15">
        <f t="shared" si="25"/>
        <v>0.378015554610387</v>
      </c>
      <c r="M79" s="15">
        <f t="shared" si="26"/>
        <v>0.621984445389613</v>
      </c>
      <c r="N79" s="15">
        <f t="shared" si="27"/>
        <v>0.177374388848434</v>
      </c>
      <c r="O79" s="15">
        <f t="shared" si="28"/>
        <v>0.822625611151566</v>
      </c>
      <c r="P79" s="15">
        <f t="shared" si="29"/>
        <v>2.13117326049479</v>
      </c>
      <c r="Q79" s="15">
        <f t="shared" si="30"/>
        <v>0.756096621546852</v>
      </c>
      <c r="R79" s="7">
        <f t="shared" si="31"/>
        <v>0.112135824921026</v>
      </c>
      <c r="S79" s="18"/>
    </row>
    <row r="80" s="2" customFormat="1" ht="15" customHeight="1" spans="1:19">
      <c r="A80" s="13">
        <v>2002</v>
      </c>
      <c r="B80" s="12" t="s">
        <v>35</v>
      </c>
      <c r="C80" s="14">
        <v>0.338560454241817</v>
      </c>
      <c r="D80" s="11">
        <v>5988</v>
      </c>
      <c r="E80" s="11">
        <v>2027.3</v>
      </c>
      <c r="F80" s="11">
        <f t="shared" si="32"/>
        <v>3960.7</v>
      </c>
      <c r="G80" s="11">
        <v>6788.52</v>
      </c>
      <c r="H80" s="11">
        <v>2444.06</v>
      </c>
      <c r="I80" s="15">
        <f t="shared" si="22"/>
        <v>13762366.596</v>
      </c>
      <c r="J80" s="15">
        <f t="shared" si="23"/>
        <v>9680188.442</v>
      </c>
      <c r="K80" s="15">
        <f t="shared" si="24"/>
        <v>23442555.038</v>
      </c>
      <c r="L80" s="15">
        <f t="shared" si="25"/>
        <v>0.587067688385137</v>
      </c>
      <c r="M80" s="15">
        <f t="shared" si="26"/>
        <v>0.412932311614863</v>
      </c>
      <c r="N80" s="15">
        <f t="shared" si="27"/>
        <v>0.338560454241817</v>
      </c>
      <c r="O80" s="15">
        <f t="shared" si="28"/>
        <v>0.661439545758183</v>
      </c>
      <c r="P80" s="15">
        <f t="shared" si="29"/>
        <v>1.73401140336911</v>
      </c>
      <c r="Q80" s="15">
        <f t="shared" si="30"/>
        <v>0.624293352677507</v>
      </c>
      <c r="R80" s="7">
        <f t="shared" si="31"/>
        <v>0.128597218872081</v>
      </c>
      <c r="S80" s="18"/>
    </row>
    <row r="81" s="2" customFormat="1" ht="15" customHeight="1" spans="1:19">
      <c r="A81" s="13">
        <v>2002</v>
      </c>
      <c r="B81" s="12" t="s">
        <v>36</v>
      </c>
      <c r="C81" s="14">
        <v>0.182259767687434</v>
      </c>
      <c r="D81" s="11">
        <v>6629</v>
      </c>
      <c r="E81" s="11">
        <v>1208.2</v>
      </c>
      <c r="F81" s="11">
        <f t="shared" si="32"/>
        <v>5420.8</v>
      </c>
      <c r="G81" s="11">
        <v>6958.56</v>
      </c>
      <c r="H81" s="11">
        <v>2397.92</v>
      </c>
      <c r="I81" s="15">
        <f t="shared" si="22"/>
        <v>8407332.192</v>
      </c>
      <c r="J81" s="15">
        <f t="shared" si="23"/>
        <v>12998644.736</v>
      </c>
      <c r="K81" s="15">
        <f t="shared" si="24"/>
        <v>21405976.928</v>
      </c>
      <c r="L81" s="15">
        <f t="shared" si="25"/>
        <v>0.392756295135627</v>
      </c>
      <c r="M81" s="15">
        <f t="shared" si="26"/>
        <v>0.607243704864373</v>
      </c>
      <c r="N81" s="15">
        <f t="shared" si="27"/>
        <v>0.182259767687434</v>
      </c>
      <c r="O81" s="15">
        <f t="shared" si="28"/>
        <v>0.817740232312566</v>
      </c>
      <c r="P81" s="15">
        <f t="shared" si="29"/>
        <v>2.15492590668273</v>
      </c>
      <c r="Q81" s="15">
        <f t="shared" si="30"/>
        <v>0.742587536811158</v>
      </c>
      <c r="R81" s="7">
        <f t="shared" si="31"/>
        <v>0.120816591938831</v>
      </c>
      <c r="S81" s="18"/>
    </row>
    <row r="82" s="2" customFormat="1" ht="15" customHeight="1" spans="1:19">
      <c r="A82" s="13">
        <v>2002</v>
      </c>
      <c r="B82" s="12" t="s">
        <v>37</v>
      </c>
      <c r="C82" s="14">
        <v>0.228591423845273</v>
      </c>
      <c r="D82" s="11">
        <v>7859</v>
      </c>
      <c r="E82" s="11">
        <v>1796.5</v>
      </c>
      <c r="F82" s="11">
        <f t="shared" si="32"/>
        <v>6062.5</v>
      </c>
      <c r="G82" s="11">
        <v>11137.2</v>
      </c>
      <c r="H82" s="11">
        <v>3911.9</v>
      </c>
      <c r="I82" s="15">
        <f t="shared" si="22"/>
        <v>20007979.8</v>
      </c>
      <c r="J82" s="15">
        <f t="shared" si="23"/>
        <v>23715893.75</v>
      </c>
      <c r="K82" s="15">
        <f t="shared" si="24"/>
        <v>43723873.55</v>
      </c>
      <c r="L82" s="15">
        <f t="shared" si="25"/>
        <v>0.457598519424865</v>
      </c>
      <c r="M82" s="15">
        <f t="shared" si="26"/>
        <v>0.542401480575135</v>
      </c>
      <c r="N82" s="15">
        <f t="shared" si="27"/>
        <v>0.228591423845273</v>
      </c>
      <c r="O82" s="15">
        <f t="shared" si="28"/>
        <v>0.771408576154727</v>
      </c>
      <c r="P82" s="15">
        <f t="shared" si="29"/>
        <v>2.00181840476483</v>
      </c>
      <c r="Q82" s="15">
        <f t="shared" si="30"/>
        <v>0.703131255396287</v>
      </c>
      <c r="R82" s="7">
        <f t="shared" si="31"/>
        <v>0.126558838245582</v>
      </c>
      <c r="S82" s="18"/>
    </row>
    <row r="83" s="2" customFormat="1" ht="15" customHeight="1" spans="1:19">
      <c r="A83" s="13">
        <v>2002</v>
      </c>
      <c r="B83" s="12" t="s">
        <v>38</v>
      </c>
      <c r="C83" s="14">
        <v>0.157154707590212</v>
      </c>
      <c r="D83" s="11">
        <v>4822</v>
      </c>
      <c r="E83" s="11">
        <v>757.8</v>
      </c>
      <c r="F83" s="11">
        <f t="shared" si="32"/>
        <v>4064.2</v>
      </c>
      <c r="G83" s="11">
        <v>7315.32</v>
      </c>
      <c r="H83" s="11">
        <v>2012.6</v>
      </c>
      <c r="I83" s="15">
        <f t="shared" si="22"/>
        <v>5543549.496</v>
      </c>
      <c r="J83" s="15">
        <f t="shared" si="23"/>
        <v>8179608.92</v>
      </c>
      <c r="K83" s="15">
        <f t="shared" si="24"/>
        <v>13723158.416</v>
      </c>
      <c r="L83" s="15">
        <f t="shared" si="25"/>
        <v>0.403955804338505</v>
      </c>
      <c r="M83" s="15">
        <f t="shared" si="26"/>
        <v>0.596044195661495</v>
      </c>
      <c r="N83" s="15">
        <f t="shared" si="27"/>
        <v>0.157154707590212</v>
      </c>
      <c r="O83" s="15">
        <f t="shared" si="28"/>
        <v>0.842845292409788</v>
      </c>
      <c r="P83" s="15">
        <f t="shared" si="29"/>
        <v>2.57043400438145</v>
      </c>
      <c r="Q83" s="15">
        <f t="shared" si="30"/>
        <v>0.707181022459458</v>
      </c>
      <c r="R83" s="7">
        <f t="shared" si="31"/>
        <v>0.174853878539525</v>
      </c>
      <c r="S83" s="18"/>
    </row>
    <row r="84" s="2" customFormat="1" ht="15" customHeight="1" spans="1:19">
      <c r="A84" s="13">
        <v>2002</v>
      </c>
      <c r="B84" s="12" t="s">
        <v>39</v>
      </c>
      <c r="C84" s="14">
        <v>0.367870485678705</v>
      </c>
      <c r="D84" s="11">
        <v>803</v>
      </c>
      <c r="E84" s="11">
        <v>295.4</v>
      </c>
      <c r="F84" s="11">
        <f t="shared" si="32"/>
        <v>507.6</v>
      </c>
      <c r="G84" s="11">
        <v>6822.72</v>
      </c>
      <c r="H84" s="11">
        <v>2423.2</v>
      </c>
      <c r="I84" s="15">
        <f t="shared" si="22"/>
        <v>2015431.488</v>
      </c>
      <c r="J84" s="15">
        <f t="shared" si="23"/>
        <v>1230016.32</v>
      </c>
      <c r="K84" s="15">
        <f t="shared" si="24"/>
        <v>3245447.808</v>
      </c>
      <c r="L84" s="15">
        <f t="shared" si="25"/>
        <v>0.621002588004028</v>
      </c>
      <c r="M84" s="15">
        <f t="shared" si="26"/>
        <v>0.378997411995972</v>
      </c>
      <c r="N84" s="15">
        <f t="shared" si="27"/>
        <v>0.367870485678705</v>
      </c>
      <c r="O84" s="15">
        <f t="shared" si="28"/>
        <v>0.632129514321295</v>
      </c>
      <c r="P84" s="15">
        <f t="shared" si="29"/>
        <v>1.68810114477737</v>
      </c>
      <c r="Q84" s="15">
        <f t="shared" si="30"/>
        <v>0.599556583594889</v>
      </c>
      <c r="R84" s="7">
        <f t="shared" si="31"/>
        <v>0.131277851865626</v>
      </c>
      <c r="S84" s="18"/>
    </row>
    <row r="85" s="2" customFormat="1" ht="15" customHeight="1" spans="1:19">
      <c r="A85" s="13">
        <v>2002</v>
      </c>
      <c r="B85" s="12" t="s">
        <v>40</v>
      </c>
      <c r="C85" s="14">
        <v>0.213646604441584</v>
      </c>
      <c r="D85" s="11">
        <v>3107</v>
      </c>
      <c r="E85" s="11">
        <v>663.8</v>
      </c>
      <c r="F85" s="11">
        <f t="shared" si="32"/>
        <v>2443.2</v>
      </c>
      <c r="G85" s="11">
        <v>7238.04</v>
      </c>
      <c r="H85" s="11">
        <v>2097.58</v>
      </c>
      <c r="I85" s="15">
        <f t="shared" si="22"/>
        <v>4804610.952</v>
      </c>
      <c r="J85" s="15">
        <f t="shared" si="23"/>
        <v>5124807.456</v>
      </c>
      <c r="K85" s="15">
        <f t="shared" si="24"/>
        <v>9929418.408</v>
      </c>
      <c r="L85" s="15">
        <f t="shared" si="25"/>
        <v>0.483876371664325</v>
      </c>
      <c r="M85" s="15">
        <f t="shared" si="26"/>
        <v>0.516123628335675</v>
      </c>
      <c r="N85" s="15">
        <f t="shared" si="27"/>
        <v>0.213646604441584</v>
      </c>
      <c r="O85" s="15">
        <f t="shared" si="28"/>
        <v>0.786353395558416</v>
      </c>
      <c r="P85" s="15">
        <f t="shared" si="29"/>
        <v>2.26484466218899</v>
      </c>
      <c r="Q85" s="15">
        <f t="shared" si="30"/>
        <v>0.656350733971407</v>
      </c>
      <c r="R85" s="7">
        <f t="shared" si="31"/>
        <v>0.178252918340655</v>
      </c>
      <c r="S85" s="18"/>
    </row>
    <row r="86" s="2" customFormat="1" ht="15" customHeight="1" spans="1:19">
      <c r="A86" s="13">
        <v>2002</v>
      </c>
      <c r="B86" s="12" t="s">
        <v>41</v>
      </c>
      <c r="C86" s="14">
        <v>0.203862561973942</v>
      </c>
      <c r="D86" s="11">
        <v>8673</v>
      </c>
      <c r="E86" s="11">
        <v>1768.1</v>
      </c>
      <c r="F86" s="11">
        <f t="shared" si="32"/>
        <v>6904.9</v>
      </c>
      <c r="G86" s="11">
        <v>6610.8</v>
      </c>
      <c r="H86" s="11">
        <v>2107.64</v>
      </c>
      <c r="I86" s="15">
        <f t="shared" si="22"/>
        <v>11688555.48</v>
      </c>
      <c r="J86" s="15">
        <f t="shared" si="23"/>
        <v>14553043.436</v>
      </c>
      <c r="K86" s="15">
        <f t="shared" si="24"/>
        <v>26241598.916</v>
      </c>
      <c r="L86" s="15">
        <f t="shared" si="25"/>
        <v>0.445420857068022</v>
      </c>
      <c r="M86" s="15">
        <f t="shared" si="26"/>
        <v>0.554579142931978</v>
      </c>
      <c r="N86" s="15">
        <f t="shared" si="27"/>
        <v>0.203862561973942</v>
      </c>
      <c r="O86" s="15">
        <f t="shared" si="28"/>
        <v>0.796137438026058</v>
      </c>
      <c r="P86" s="15">
        <f t="shared" si="29"/>
        <v>2.18490758065209</v>
      </c>
      <c r="Q86" s="15">
        <f t="shared" si="30"/>
        <v>0.696587192667388</v>
      </c>
      <c r="R86" s="7">
        <f t="shared" si="31"/>
        <v>0.147614237631458</v>
      </c>
      <c r="S86" s="18"/>
    </row>
    <row r="87" s="2" customFormat="1" ht="15" customHeight="1" spans="1:19">
      <c r="A87" s="13">
        <v>2002</v>
      </c>
      <c r="B87" s="12" t="s">
        <v>42</v>
      </c>
      <c r="C87" s="14">
        <v>0.167735209799322</v>
      </c>
      <c r="D87" s="11">
        <v>3837</v>
      </c>
      <c r="E87" s="11">
        <v>643.6</v>
      </c>
      <c r="F87" s="11">
        <f t="shared" si="32"/>
        <v>3193.4</v>
      </c>
      <c r="G87" s="11">
        <v>5944.08</v>
      </c>
      <c r="H87" s="11">
        <v>1489.91</v>
      </c>
      <c r="I87" s="15">
        <f t="shared" si="22"/>
        <v>3825609.888</v>
      </c>
      <c r="J87" s="15">
        <f t="shared" si="23"/>
        <v>4757878.594</v>
      </c>
      <c r="K87" s="15">
        <f t="shared" si="24"/>
        <v>8583488.482</v>
      </c>
      <c r="L87" s="15">
        <f t="shared" si="25"/>
        <v>0.44569406669823</v>
      </c>
      <c r="M87" s="15">
        <f t="shared" si="26"/>
        <v>0.55430593330177</v>
      </c>
      <c r="N87" s="15">
        <f t="shared" si="27"/>
        <v>0.167735209799322</v>
      </c>
      <c r="O87" s="15">
        <f t="shared" si="28"/>
        <v>0.832264790200678</v>
      </c>
      <c r="P87" s="15">
        <f t="shared" si="29"/>
        <v>2.65712885941752</v>
      </c>
      <c r="Q87" s="15">
        <f t="shared" si="30"/>
        <v>0.66602112672352</v>
      </c>
      <c r="R87" s="7">
        <f t="shared" si="31"/>
        <v>0.210264101724337</v>
      </c>
      <c r="S87" s="18"/>
    </row>
    <row r="88" s="2" customFormat="1" ht="15" customHeight="1" spans="1:19">
      <c r="A88" s="13">
        <v>2002</v>
      </c>
      <c r="B88" s="12" t="s">
        <v>43</v>
      </c>
      <c r="C88" s="14">
        <v>0.194599584583429</v>
      </c>
      <c r="D88" s="11">
        <v>4333</v>
      </c>
      <c r="E88" s="11">
        <v>843.2</v>
      </c>
      <c r="F88" s="11">
        <f t="shared" si="32"/>
        <v>3489.8</v>
      </c>
      <c r="G88" s="11">
        <v>7240.56</v>
      </c>
      <c r="H88" s="11">
        <v>1608.64</v>
      </c>
      <c r="I88" s="15">
        <f t="shared" si="22"/>
        <v>6105240.192</v>
      </c>
      <c r="J88" s="15">
        <f t="shared" si="23"/>
        <v>5613831.872</v>
      </c>
      <c r="K88" s="15">
        <f t="shared" si="24"/>
        <v>11719072.064</v>
      </c>
      <c r="L88" s="15">
        <f t="shared" si="25"/>
        <v>0.52096617877748</v>
      </c>
      <c r="M88" s="15">
        <f t="shared" si="26"/>
        <v>0.47903382122252</v>
      </c>
      <c r="N88" s="15">
        <f t="shared" si="27"/>
        <v>0.194599584583429</v>
      </c>
      <c r="O88" s="15">
        <f t="shared" si="28"/>
        <v>0.805400415416571</v>
      </c>
      <c r="P88" s="15">
        <f t="shared" si="29"/>
        <v>2.67711865825762</v>
      </c>
      <c r="Q88" s="15">
        <f t="shared" si="30"/>
        <v>0.594777221433084</v>
      </c>
      <c r="R88" s="7">
        <f t="shared" si="31"/>
        <v>0.264125984531781</v>
      </c>
      <c r="S88" s="18"/>
    </row>
    <row r="89" s="2" customFormat="1" ht="15" customHeight="1" spans="1:19">
      <c r="A89" s="13">
        <v>2002</v>
      </c>
      <c r="B89" s="12" t="s">
        <v>44</v>
      </c>
      <c r="C89" s="14">
        <v>0.175655430711611</v>
      </c>
      <c r="D89" s="11">
        <v>267</v>
      </c>
      <c r="E89" s="11">
        <v>46.9</v>
      </c>
      <c r="F89" s="11">
        <f t="shared" si="32"/>
        <v>220.1</v>
      </c>
      <c r="G89" s="11">
        <v>8079.12</v>
      </c>
      <c r="H89" s="11">
        <v>1462.27</v>
      </c>
      <c r="I89" s="15">
        <f t="shared" si="22"/>
        <v>378910.728</v>
      </c>
      <c r="J89" s="15">
        <f t="shared" si="23"/>
        <v>321845.627</v>
      </c>
      <c r="K89" s="15">
        <f t="shared" si="24"/>
        <v>700756.355</v>
      </c>
      <c r="L89" s="15">
        <f t="shared" si="25"/>
        <v>0.540716791644365</v>
      </c>
      <c r="M89" s="15">
        <f t="shared" si="26"/>
        <v>0.459283208355635</v>
      </c>
      <c r="N89" s="15">
        <f t="shared" si="27"/>
        <v>0.175655430711611</v>
      </c>
      <c r="O89" s="15">
        <f t="shared" si="28"/>
        <v>0.82434456928839</v>
      </c>
      <c r="P89" s="15">
        <f t="shared" si="29"/>
        <v>3.07828109528881</v>
      </c>
      <c r="Q89" s="15">
        <f t="shared" si="30"/>
        <v>0.557149553071124</v>
      </c>
      <c r="R89" s="7">
        <f t="shared" si="31"/>
        <v>0.339321813005155</v>
      </c>
      <c r="S89" s="18"/>
    </row>
    <row r="90" s="2" customFormat="1" ht="15" customHeight="1" spans="1:19">
      <c r="A90" s="13">
        <v>2002</v>
      </c>
      <c r="B90" s="12" t="s">
        <v>45</v>
      </c>
      <c r="C90" s="14">
        <v>0.244610778443114</v>
      </c>
      <c r="D90" s="11">
        <v>3674</v>
      </c>
      <c r="E90" s="11">
        <v>898.7</v>
      </c>
      <c r="F90" s="11">
        <f t="shared" si="32"/>
        <v>2775.3</v>
      </c>
      <c r="G90" s="11">
        <v>6330.84</v>
      </c>
      <c r="H90" s="11">
        <v>1596.25</v>
      </c>
      <c r="I90" s="15">
        <f t="shared" si="22"/>
        <v>5689525.908</v>
      </c>
      <c r="J90" s="15">
        <f t="shared" si="23"/>
        <v>4430072.625</v>
      </c>
      <c r="K90" s="15">
        <f t="shared" si="24"/>
        <v>10119598.533</v>
      </c>
      <c r="L90" s="15">
        <f t="shared" si="25"/>
        <v>0.562228421359451</v>
      </c>
      <c r="M90" s="15">
        <f t="shared" si="26"/>
        <v>0.43777157864055</v>
      </c>
      <c r="N90" s="15">
        <f t="shared" si="27"/>
        <v>0.244610778443114</v>
      </c>
      <c r="O90" s="15">
        <f t="shared" si="28"/>
        <v>0.755389221556886</v>
      </c>
      <c r="P90" s="15">
        <f t="shared" si="29"/>
        <v>2.29846135537401</v>
      </c>
      <c r="Q90" s="15">
        <f t="shared" si="30"/>
        <v>0.579531142552293</v>
      </c>
      <c r="R90" s="7">
        <f t="shared" si="31"/>
        <v>0.22908883598863</v>
      </c>
      <c r="S90" s="18"/>
    </row>
    <row r="91" s="2" customFormat="1" ht="15" customHeight="1" spans="1:19">
      <c r="A91" s="13">
        <v>2002</v>
      </c>
      <c r="B91" s="12" t="s">
        <v>46</v>
      </c>
      <c r="C91" s="14">
        <v>0.210605476282298</v>
      </c>
      <c r="D91" s="11">
        <v>2593</v>
      </c>
      <c r="E91" s="11">
        <v>546.1</v>
      </c>
      <c r="F91" s="11">
        <f t="shared" si="32"/>
        <v>2046.9</v>
      </c>
      <c r="G91" s="11">
        <v>6151.44</v>
      </c>
      <c r="H91" s="11">
        <v>1590.3</v>
      </c>
      <c r="I91" s="15">
        <f t="shared" si="22"/>
        <v>3359301.384</v>
      </c>
      <c r="J91" s="15">
        <f t="shared" si="23"/>
        <v>3255185.07</v>
      </c>
      <c r="K91" s="15">
        <f t="shared" si="24"/>
        <v>6614486.454</v>
      </c>
      <c r="L91" s="15">
        <f t="shared" si="25"/>
        <v>0.507870324833535</v>
      </c>
      <c r="M91" s="15">
        <f t="shared" si="26"/>
        <v>0.492129675166465</v>
      </c>
      <c r="N91" s="15">
        <f t="shared" si="27"/>
        <v>0.210605476282298</v>
      </c>
      <c r="O91" s="15">
        <f t="shared" si="28"/>
        <v>0.789394523717702</v>
      </c>
      <c r="P91" s="15">
        <f t="shared" si="29"/>
        <v>2.41147729773551</v>
      </c>
      <c r="Q91" s="15">
        <f t="shared" si="30"/>
        <v>0.623426766186254</v>
      </c>
      <c r="R91" s="7">
        <f t="shared" si="31"/>
        <v>0.2145044731287</v>
      </c>
      <c r="S91" s="18"/>
    </row>
    <row r="92" s="2" customFormat="1" ht="15" customHeight="1" spans="1:19">
      <c r="A92" s="13">
        <v>2002</v>
      </c>
      <c r="B92" s="12" t="s">
        <v>47</v>
      </c>
      <c r="C92" s="14">
        <v>0.35179584120983</v>
      </c>
      <c r="D92" s="11">
        <v>529</v>
      </c>
      <c r="E92" s="11">
        <v>186.1</v>
      </c>
      <c r="F92" s="11">
        <f t="shared" si="32"/>
        <v>342.9</v>
      </c>
      <c r="G92" s="11">
        <v>6170.52</v>
      </c>
      <c r="H92" s="11">
        <v>1668.94</v>
      </c>
      <c r="I92" s="15">
        <f t="shared" si="22"/>
        <v>1148333.772</v>
      </c>
      <c r="J92" s="15">
        <f t="shared" si="23"/>
        <v>572279.526</v>
      </c>
      <c r="K92" s="15">
        <f t="shared" si="24"/>
        <v>1720613.298</v>
      </c>
      <c r="L92" s="15">
        <f t="shared" si="25"/>
        <v>0.66739794080099</v>
      </c>
      <c r="M92" s="15">
        <f t="shared" si="26"/>
        <v>0.33260205919901</v>
      </c>
      <c r="N92" s="15">
        <f t="shared" si="27"/>
        <v>0.35179584120983</v>
      </c>
      <c r="O92" s="15">
        <f t="shared" si="28"/>
        <v>0.64820415879017</v>
      </c>
      <c r="P92" s="15">
        <f t="shared" si="29"/>
        <v>1.89711719873038</v>
      </c>
      <c r="Q92" s="15">
        <f t="shared" si="30"/>
        <v>0.513113121365635</v>
      </c>
      <c r="R92" s="7">
        <f t="shared" si="31"/>
        <v>0.205426873855453</v>
      </c>
      <c r="S92" s="18"/>
    </row>
    <row r="93" s="2" customFormat="1" ht="15" customHeight="1" spans="1:19">
      <c r="A93" s="13">
        <v>2002</v>
      </c>
      <c r="B93" s="12" t="s">
        <v>48</v>
      </c>
      <c r="C93" s="14">
        <v>0.298951048951049</v>
      </c>
      <c r="D93" s="11">
        <v>572</v>
      </c>
      <c r="E93" s="11">
        <v>171</v>
      </c>
      <c r="F93" s="11">
        <f t="shared" si="32"/>
        <v>401</v>
      </c>
      <c r="G93" s="11">
        <v>6067.44</v>
      </c>
      <c r="H93" s="11">
        <v>1917.36</v>
      </c>
      <c r="I93" s="15">
        <f t="shared" si="22"/>
        <v>1037532.24</v>
      </c>
      <c r="J93" s="15">
        <f t="shared" si="23"/>
        <v>768861.36</v>
      </c>
      <c r="K93" s="15">
        <f t="shared" si="24"/>
        <v>1806393.6</v>
      </c>
      <c r="L93" s="15">
        <f t="shared" si="25"/>
        <v>0.574366649660406</v>
      </c>
      <c r="M93" s="15">
        <f t="shared" si="26"/>
        <v>0.425633350339594</v>
      </c>
      <c r="N93" s="15">
        <f t="shared" si="27"/>
        <v>0.298951048951049</v>
      </c>
      <c r="O93" s="15">
        <f t="shared" si="28"/>
        <v>0.701048951048951</v>
      </c>
      <c r="P93" s="15">
        <f t="shared" si="29"/>
        <v>1.92127323746054</v>
      </c>
      <c r="Q93" s="15">
        <f t="shared" si="30"/>
        <v>0.607137846369695</v>
      </c>
      <c r="R93" s="7">
        <f t="shared" si="31"/>
        <v>0.162663798841591</v>
      </c>
      <c r="S93" s="18"/>
    </row>
    <row r="94" s="2" customFormat="1" ht="15" customHeight="1" spans="1:19">
      <c r="A94" s="13">
        <v>2002</v>
      </c>
      <c r="B94" s="12" t="s">
        <v>49</v>
      </c>
      <c r="C94" s="14">
        <v>0.502362204724409</v>
      </c>
      <c r="D94" s="11">
        <v>1905</v>
      </c>
      <c r="E94" s="11">
        <v>957</v>
      </c>
      <c r="F94" s="11">
        <f t="shared" si="32"/>
        <v>948</v>
      </c>
      <c r="G94" s="11">
        <v>6899.64</v>
      </c>
      <c r="H94" s="11">
        <v>1863.26</v>
      </c>
      <c r="I94" s="15">
        <f t="shared" si="22"/>
        <v>6602955.48</v>
      </c>
      <c r="J94" s="15">
        <f t="shared" si="23"/>
        <v>1766370.48</v>
      </c>
      <c r="K94" s="15">
        <f t="shared" si="24"/>
        <v>8369325.96</v>
      </c>
      <c r="L94" s="15">
        <f t="shared" si="25"/>
        <v>0.788947104170382</v>
      </c>
      <c r="M94" s="15">
        <f t="shared" si="26"/>
        <v>0.211052895829618</v>
      </c>
      <c r="N94" s="15">
        <f t="shared" si="27"/>
        <v>0.502362204724409</v>
      </c>
      <c r="O94" s="15">
        <f t="shared" si="28"/>
        <v>0.497637795275591</v>
      </c>
      <c r="P94" s="15">
        <f t="shared" si="29"/>
        <v>1.57047464309778</v>
      </c>
      <c r="Q94" s="15">
        <f t="shared" si="30"/>
        <v>0.424109458391796</v>
      </c>
      <c r="R94" s="7">
        <f t="shared" si="31"/>
        <v>0.175079769524245</v>
      </c>
      <c r="S94" s="18"/>
    </row>
    <row r="95" spans="1:18">
      <c r="A95" s="15">
        <v>2003</v>
      </c>
      <c r="B95" s="19" t="s">
        <v>19</v>
      </c>
      <c r="C95" s="15">
        <v>0.7905</v>
      </c>
      <c r="D95" s="15">
        <v>1456</v>
      </c>
      <c r="E95" s="6">
        <v>1150.968</v>
      </c>
      <c r="F95" s="6">
        <f t="shared" si="32"/>
        <v>305.032</v>
      </c>
      <c r="G95" s="6">
        <v>13882.62</v>
      </c>
      <c r="H95" s="15">
        <v>5601.55</v>
      </c>
      <c r="I95" s="15">
        <f t="shared" si="22"/>
        <v>15978451.37616</v>
      </c>
      <c r="J95" s="15">
        <f t="shared" si="23"/>
        <v>1708651.9996</v>
      </c>
      <c r="K95" s="15">
        <f t="shared" si="24"/>
        <v>17687103.37576</v>
      </c>
      <c r="L95" s="15">
        <f t="shared" si="25"/>
        <v>0.903395600551434</v>
      </c>
      <c r="M95" s="15">
        <f t="shared" si="26"/>
        <v>0.096604399448566</v>
      </c>
      <c r="N95" s="15">
        <f t="shared" si="27"/>
        <v>0.7905</v>
      </c>
      <c r="O95" s="15">
        <f t="shared" si="28"/>
        <v>0.2095</v>
      </c>
      <c r="P95" s="15">
        <f t="shared" si="29"/>
        <v>1.14281543396766</v>
      </c>
      <c r="Q95" s="15">
        <f t="shared" si="30"/>
        <v>0.461118851783132</v>
      </c>
      <c r="R95" s="7">
        <f t="shared" si="31"/>
        <v>0.0458172892739716</v>
      </c>
    </row>
    <row r="96" spans="1:18">
      <c r="A96" s="15">
        <v>2003</v>
      </c>
      <c r="B96" s="19" t="s">
        <v>20</v>
      </c>
      <c r="C96" s="15">
        <v>0.7345</v>
      </c>
      <c r="D96" s="15">
        <v>1011</v>
      </c>
      <c r="E96" s="6">
        <v>742.5795</v>
      </c>
      <c r="F96" s="6">
        <f t="shared" ref="F95:F121" si="33">D96-E96</f>
        <v>268.4205</v>
      </c>
      <c r="G96" s="6">
        <v>10312.91</v>
      </c>
      <c r="H96" s="15">
        <v>4566.01</v>
      </c>
      <c r="I96" s="15">
        <f t="shared" ref="I96:I159" si="34">E96*G96</f>
        <v>7658155.551345</v>
      </c>
      <c r="J96" s="15">
        <f t="shared" ref="J96:J159" si="35">F96*H96</f>
        <v>1225610.687205</v>
      </c>
      <c r="K96" s="15">
        <f t="shared" ref="K96:K159" si="36">I96+J96</f>
        <v>8883766.23855</v>
      </c>
      <c r="L96" s="15">
        <f t="shared" ref="L96:L159" si="37">I96/K96</f>
        <v>0.862039291186365</v>
      </c>
      <c r="M96" s="15">
        <f t="shared" ref="M96:M159" si="38">J96/K96</f>
        <v>0.137960708813635</v>
      </c>
      <c r="N96" s="15">
        <f t="shared" ref="N96:N159" si="39">C96</f>
        <v>0.7345</v>
      </c>
      <c r="O96" s="15">
        <f t="shared" ref="O96:O159" si="40">F96/D96</f>
        <v>0.2655</v>
      </c>
      <c r="P96" s="15">
        <f t="shared" ref="P96:P159" si="41">(L96/N96)</f>
        <v>1.17364096825918</v>
      </c>
      <c r="Q96" s="15">
        <f t="shared" ref="Q96:Q159" si="42">M96/O96</f>
        <v>0.519626021896931</v>
      </c>
      <c r="R96" s="7">
        <f t="shared" ref="R96:R159" si="43">L96*LN(P96)+M96*LN(Q96)</f>
        <v>0.0477064339005973</v>
      </c>
    </row>
    <row r="97" spans="1:18">
      <c r="A97" s="15">
        <v>2003</v>
      </c>
      <c r="B97" s="19" t="s">
        <v>21</v>
      </c>
      <c r="C97" s="15">
        <v>0.3352</v>
      </c>
      <c r="D97" s="15">
        <v>6769</v>
      </c>
      <c r="E97" s="6">
        <v>2268.9688</v>
      </c>
      <c r="F97" s="6">
        <f t="shared" si="33"/>
        <v>4500.0312</v>
      </c>
      <c r="G97" s="6">
        <v>7239.06</v>
      </c>
      <c r="H97" s="15">
        <v>2853.38</v>
      </c>
      <c r="I97" s="15">
        <f t="shared" si="34"/>
        <v>16425201.281328</v>
      </c>
      <c r="J97" s="15">
        <f t="shared" si="35"/>
        <v>12840299.025456</v>
      </c>
      <c r="K97" s="15">
        <f t="shared" si="36"/>
        <v>29265500.306784</v>
      </c>
      <c r="L97" s="15">
        <f t="shared" si="37"/>
        <v>0.561247923635206</v>
      </c>
      <c r="M97" s="15">
        <f t="shared" si="38"/>
        <v>0.438752076364794</v>
      </c>
      <c r="N97" s="15">
        <f t="shared" si="39"/>
        <v>0.3352</v>
      </c>
      <c r="O97" s="15">
        <f t="shared" si="40"/>
        <v>0.6648</v>
      </c>
      <c r="P97" s="15">
        <f t="shared" si="41"/>
        <v>1.67436731394751</v>
      </c>
      <c r="Q97" s="15">
        <f t="shared" si="42"/>
        <v>0.659976047480135</v>
      </c>
      <c r="R97" s="7">
        <f t="shared" si="43"/>
        <v>0.106962844542674</v>
      </c>
    </row>
    <row r="98" spans="1:18">
      <c r="A98" s="15">
        <v>2003</v>
      </c>
      <c r="B98" s="19" t="s">
        <v>22</v>
      </c>
      <c r="C98" s="15">
        <v>0.3831</v>
      </c>
      <c r="D98" s="15">
        <v>3314</v>
      </c>
      <c r="E98" s="6">
        <v>1269.5934</v>
      </c>
      <c r="F98" s="6">
        <f t="shared" si="33"/>
        <v>2044.4066</v>
      </c>
      <c r="G98" s="6">
        <v>7005.03</v>
      </c>
      <c r="H98" s="15">
        <v>2299.17</v>
      </c>
      <c r="I98" s="15">
        <f t="shared" si="34"/>
        <v>8893539.854802</v>
      </c>
      <c r="J98" s="15">
        <f t="shared" si="35"/>
        <v>4700438.322522</v>
      </c>
      <c r="K98" s="15">
        <f t="shared" si="36"/>
        <v>13593978.177324</v>
      </c>
      <c r="L98" s="15">
        <f t="shared" si="37"/>
        <v>0.654226433115601</v>
      </c>
      <c r="M98" s="15">
        <f t="shared" si="38"/>
        <v>0.345773566884399</v>
      </c>
      <c r="N98" s="15">
        <f t="shared" si="39"/>
        <v>0.3831</v>
      </c>
      <c r="O98" s="15">
        <f t="shared" si="40"/>
        <v>0.6169</v>
      </c>
      <c r="P98" s="15">
        <f t="shared" si="41"/>
        <v>1.70771713159906</v>
      </c>
      <c r="Q98" s="15">
        <f t="shared" si="42"/>
        <v>0.560501810478844</v>
      </c>
      <c r="R98" s="7">
        <f t="shared" si="43"/>
        <v>0.149937957629321</v>
      </c>
    </row>
    <row r="99" spans="1:18">
      <c r="A99" s="15">
        <v>2003</v>
      </c>
      <c r="B99" s="19" t="s">
        <v>23</v>
      </c>
      <c r="C99" s="15">
        <v>0.4461</v>
      </c>
      <c r="D99" s="15">
        <v>2386</v>
      </c>
      <c r="E99" s="6">
        <v>1064.3946</v>
      </c>
      <c r="F99" s="6">
        <f t="shared" si="33"/>
        <v>1321.6054</v>
      </c>
      <c r="G99" s="6">
        <v>7012.9</v>
      </c>
      <c r="H99" s="15">
        <v>2267.65</v>
      </c>
      <c r="I99" s="15">
        <f t="shared" si="34"/>
        <v>7464492.89034</v>
      </c>
      <c r="J99" s="15">
        <f t="shared" si="35"/>
        <v>2996938.48531</v>
      </c>
      <c r="K99" s="15">
        <f t="shared" si="36"/>
        <v>10461431.37565</v>
      </c>
      <c r="L99" s="15">
        <f t="shared" si="37"/>
        <v>0.713525006502871</v>
      </c>
      <c r="M99" s="15">
        <f t="shared" si="38"/>
        <v>0.286474993497129</v>
      </c>
      <c r="N99" s="15">
        <f t="shared" si="39"/>
        <v>0.4461</v>
      </c>
      <c r="O99" s="15">
        <f t="shared" si="40"/>
        <v>0.5539</v>
      </c>
      <c r="P99" s="15">
        <f t="shared" si="41"/>
        <v>1.5994732268614</v>
      </c>
      <c r="Q99" s="15">
        <f t="shared" si="42"/>
        <v>0.51719623306938</v>
      </c>
      <c r="R99" s="7">
        <f t="shared" si="43"/>
        <v>0.146241995145733</v>
      </c>
    </row>
    <row r="100" spans="1:18">
      <c r="A100" s="15">
        <v>2003</v>
      </c>
      <c r="B100" s="19" t="s">
        <v>24</v>
      </c>
      <c r="C100" s="15">
        <v>0.5601</v>
      </c>
      <c r="D100" s="15">
        <v>4210</v>
      </c>
      <c r="E100" s="6">
        <v>2358.021</v>
      </c>
      <c r="F100" s="6">
        <f t="shared" si="33"/>
        <v>1851.979</v>
      </c>
      <c r="G100" s="6">
        <v>7240.58</v>
      </c>
      <c r="H100" s="15">
        <v>2934.44</v>
      </c>
      <c r="I100" s="15">
        <f t="shared" si="34"/>
        <v>17073439.69218</v>
      </c>
      <c r="J100" s="15">
        <f t="shared" si="35"/>
        <v>5434521.25676</v>
      </c>
      <c r="K100" s="15">
        <f t="shared" si="36"/>
        <v>22507960.94894</v>
      </c>
      <c r="L100" s="15">
        <f t="shared" si="37"/>
        <v>0.758551151342035</v>
      </c>
      <c r="M100" s="15">
        <f t="shared" si="38"/>
        <v>0.241448848657965</v>
      </c>
      <c r="N100" s="15">
        <f t="shared" si="39"/>
        <v>0.5601</v>
      </c>
      <c r="O100" s="15">
        <f t="shared" si="40"/>
        <v>0.4399</v>
      </c>
      <c r="P100" s="15">
        <f t="shared" si="41"/>
        <v>1.35431378564905</v>
      </c>
      <c r="Q100" s="15">
        <f t="shared" si="42"/>
        <v>0.548872126978779</v>
      </c>
      <c r="R100" s="7">
        <f t="shared" si="43"/>
        <v>0.0852219938560882</v>
      </c>
    </row>
    <row r="101" spans="1:18">
      <c r="A101" s="15">
        <v>2003</v>
      </c>
      <c r="B101" s="19" t="s">
        <v>25</v>
      </c>
      <c r="C101" s="15">
        <v>0.4496</v>
      </c>
      <c r="D101" s="15">
        <v>2704</v>
      </c>
      <c r="E101" s="6">
        <v>1215.7184</v>
      </c>
      <c r="F101" s="6">
        <f t="shared" si="33"/>
        <v>1488.2816</v>
      </c>
      <c r="G101" s="6">
        <v>7005.17</v>
      </c>
      <c r="H101" s="15">
        <v>2530.41</v>
      </c>
      <c r="I101" s="15">
        <f t="shared" si="34"/>
        <v>8516314.064128</v>
      </c>
      <c r="J101" s="15">
        <f t="shared" si="35"/>
        <v>3765962.643456</v>
      </c>
      <c r="K101" s="15">
        <f t="shared" si="36"/>
        <v>12282276.707584</v>
      </c>
      <c r="L101" s="15">
        <f t="shared" si="37"/>
        <v>0.693382364433248</v>
      </c>
      <c r="M101" s="15">
        <f t="shared" si="38"/>
        <v>0.306617635566752</v>
      </c>
      <c r="N101" s="15">
        <f t="shared" si="39"/>
        <v>0.4496</v>
      </c>
      <c r="O101" s="15">
        <f t="shared" si="40"/>
        <v>0.5504</v>
      </c>
      <c r="P101" s="15">
        <f t="shared" si="41"/>
        <v>1.54222056146185</v>
      </c>
      <c r="Q101" s="15">
        <f t="shared" si="42"/>
        <v>0.557081459968663</v>
      </c>
      <c r="R101" s="7">
        <f t="shared" si="43"/>
        <v>0.121004649404641</v>
      </c>
    </row>
    <row r="102" spans="1:18">
      <c r="A102" s="15">
        <v>2003</v>
      </c>
      <c r="B102" s="19" t="s">
        <v>26</v>
      </c>
      <c r="C102" s="15">
        <v>0.526</v>
      </c>
      <c r="D102" s="15">
        <v>3815</v>
      </c>
      <c r="E102" s="6">
        <v>2006.69</v>
      </c>
      <c r="F102" s="6">
        <f t="shared" si="33"/>
        <v>1808.31</v>
      </c>
      <c r="G102" s="6">
        <v>6678.9</v>
      </c>
      <c r="H102" s="15">
        <v>2508.94</v>
      </c>
      <c r="I102" s="15">
        <f t="shared" si="34"/>
        <v>13402481.841</v>
      </c>
      <c r="J102" s="15">
        <f t="shared" si="35"/>
        <v>4536941.2914</v>
      </c>
      <c r="K102" s="15">
        <f t="shared" si="36"/>
        <v>17939423.1324</v>
      </c>
      <c r="L102" s="15">
        <f t="shared" si="37"/>
        <v>0.747096589566142</v>
      </c>
      <c r="M102" s="15">
        <f t="shared" si="38"/>
        <v>0.252903410433858</v>
      </c>
      <c r="N102" s="15">
        <f t="shared" si="39"/>
        <v>0.526</v>
      </c>
      <c r="O102" s="15">
        <f t="shared" si="40"/>
        <v>0.474</v>
      </c>
      <c r="P102" s="15">
        <f t="shared" si="41"/>
        <v>1.42033572160864</v>
      </c>
      <c r="Q102" s="15">
        <f t="shared" si="42"/>
        <v>0.533551498805607</v>
      </c>
      <c r="R102" s="7">
        <f t="shared" si="43"/>
        <v>0.103277321114955</v>
      </c>
    </row>
    <row r="103" spans="1:18">
      <c r="A103" s="15">
        <v>2003</v>
      </c>
      <c r="B103" s="19" t="s">
        <v>27</v>
      </c>
      <c r="C103" s="15">
        <v>0.776</v>
      </c>
      <c r="D103" s="15">
        <v>1766</v>
      </c>
      <c r="E103" s="6">
        <v>1370.416</v>
      </c>
      <c r="F103" s="6">
        <f t="shared" si="33"/>
        <v>395.584</v>
      </c>
      <c r="G103" s="6">
        <v>14867.49</v>
      </c>
      <c r="H103" s="15">
        <v>6653.92</v>
      </c>
      <c r="I103" s="15">
        <f t="shared" si="34"/>
        <v>20374646.17584</v>
      </c>
      <c r="J103" s="15">
        <f t="shared" si="35"/>
        <v>2632184.28928</v>
      </c>
      <c r="K103" s="15">
        <f t="shared" si="36"/>
        <v>23006830.46512</v>
      </c>
      <c r="L103" s="15">
        <f t="shared" si="37"/>
        <v>0.885591181572334</v>
      </c>
      <c r="M103" s="15">
        <f t="shared" si="38"/>
        <v>0.114408818427666</v>
      </c>
      <c r="N103" s="15">
        <f t="shared" si="39"/>
        <v>0.776</v>
      </c>
      <c r="O103" s="15">
        <f t="shared" si="40"/>
        <v>0.224</v>
      </c>
      <c r="P103" s="15">
        <f t="shared" si="41"/>
        <v>1.14122574944888</v>
      </c>
      <c r="Q103" s="15">
        <f t="shared" si="42"/>
        <v>0.510753653694936</v>
      </c>
      <c r="R103" s="7">
        <f t="shared" si="43"/>
        <v>0.0401215548457452</v>
      </c>
    </row>
    <row r="104" spans="1:18">
      <c r="A104" s="15">
        <v>2003</v>
      </c>
      <c r="B104" s="19" t="s">
        <v>28</v>
      </c>
      <c r="C104" s="15">
        <v>0.4417</v>
      </c>
      <c r="D104" s="15">
        <v>7458</v>
      </c>
      <c r="E104" s="6">
        <v>3294.1986</v>
      </c>
      <c r="F104" s="6">
        <f t="shared" si="33"/>
        <v>4163.8014</v>
      </c>
      <c r="G104" s="6">
        <v>9262.46</v>
      </c>
      <c r="H104" s="15">
        <v>4239.26</v>
      </c>
      <c r="I104" s="15">
        <f t="shared" si="34"/>
        <v>30512382.764556</v>
      </c>
      <c r="J104" s="15">
        <f t="shared" si="35"/>
        <v>17651436.722964</v>
      </c>
      <c r="K104" s="15">
        <f t="shared" si="36"/>
        <v>48163819.48752</v>
      </c>
      <c r="L104" s="15">
        <f t="shared" si="37"/>
        <v>0.633512522246335</v>
      </c>
      <c r="M104" s="15">
        <f t="shared" si="38"/>
        <v>0.366487477753665</v>
      </c>
      <c r="N104" s="15">
        <f t="shared" si="39"/>
        <v>0.4417</v>
      </c>
      <c r="O104" s="15">
        <f t="shared" si="40"/>
        <v>0.5583</v>
      </c>
      <c r="P104" s="15">
        <f t="shared" si="41"/>
        <v>1.43425972888009</v>
      </c>
      <c r="Q104" s="15">
        <f t="shared" si="42"/>
        <v>0.656434672673589</v>
      </c>
      <c r="R104" s="7">
        <f t="shared" si="43"/>
        <v>0.0742092180178052</v>
      </c>
    </row>
    <row r="105" spans="1:18">
      <c r="A105" s="15">
        <v>2003</v>
      </c>
      <c r="B105" s="19" t="s">
        <v>29</v>
      </c>
      <c r="C105" s="15">
        <v>0.5299</v>
      </c>
      <c r="D105" s="15">
        <v>4857</v>
      </c>
      <c r="E105" s="6">
        <v>2573.7243</v>
      </c>
      <c r="F105" s="6">
        <f t="shared" si="33"/>
        <v>2283.2757</v>
      </c>
      <c r="G105" s="6">
        <v>13179.53</v>
      </c>
      <c r="H105" s="15">
        <v>5389.04</v>
      </c>
      <c r="I105" s="15">
        <f t="shared" si="34"/>
        <v>33920476.623579</v>
      </c>
      <c r="J105" s="15">
        <f t="shared" si="35"/>
        <v>12304664.078328</v>
      </c>
      <c r="K105" s="15">
        <f t="shared" si="36"/>
        <v>46225140.701907</v>
      </c>
      <c r="L105" s="15">
        <f t="shared" si="37"/>
        <v>0.733810132506089</v>
      </c>
      <c r="M105" s="15">
        <f t="shared" si="38"/>
        <v>0.266189867493911</v>
      </c>
      <c r="N105" s="15">
        <f t="shared" si="39"/>
        <v>0.5299</v>
      </c>
      <c r="O105" s="15">
        <f t="shared" si="40"/>
        <v>0.4701</v>
      </c>
      <c r="P105" s="15">
        <f t="shared" si="41"/>
        <v>1.38480870448403</v>
      </c>
      <c r="Q105" s="15">
        <f t="shared" si="42"/>
        <v>0.566240943403341</v>
      </c>
      <c r="R105" s="7">
        <f t="shared" si="43"/>
        <v>0.0875090491139655</v>
      </c>
    </row>
    <row r="106" spans="1:18">
      <c r="A106" s="15">
        <v>2003</v>
      </c>
      <c r="B106" s="19" t="s">
        <v>30</v>
      </c>
      <c r="C106" s="15">
        <v>0.32</v>
      </c>
      <c r="D106" s="15">
        <v>6163</v>
      </c>
      <c r="E106" s="6">
        <v>1972.16</v>
      </c>
      <c r="F106" s="6">
        <f t="shared" si="33"/>
        <v>4190.84</v>
      </c>
      <c r="G106" s="6">
        <v>6778.03</v>
      </c>
      <c r="H106" s="15">
        <v>2127.48</v>
      </c>
      <c r="I106" s="15">
        <f t="shared" si="34"/>
        <v>13367359.6448</v>
      </c>
      <c r="J106" s="15">
        <f t="shared" si="35"/>
        <v>8915928.2832</v>
      </c>
      <c r="K106" s="15">
        <f t="shared" si="36"/>
        <v>22283287.928</v>
      </c>
      <c r="L106" s="15">
        <f t="shared" si="37"/>
        <v>0.599882732206825</v>
      </c>
      <c r="M106" s="15">
        <f t="shared" si="38"/>
        <v>0.400117267793175</v>
      </c>
      <c r="N106" s="15">
        <f t="shared" si="39"/>
        <v>0.32</v>
      </c>
      <c r="O106" s="15">
        <f t="shared" si="40"/>
        <v>0.68</v>
      </c>
      <c r="P106" s="15">
        <f t="shared" si="41"/>
        <v>1.87463353814633</v>
      </c>
      <c r="Q106" s="15">
        <f t="shared" si="42"/>
        <v>0.588407746754669</v>
      </c>
      <c r="R106" s="7">
        <f t="shared" si="43"/>
        <v>0.164777982722812</v>
      </c>
    </row>
    <row r="107" spans="1:18">
      <c r="A107" s="15">
        <v>2003</v>
      </c>
      <c r="B107" s="19" t="s">
        <v>31</v>
      </c>
      <c r="C107" s="15">
        <v>0.452</v>
      </c>
      <c r="D107" s="15">
        <v>3502</v>
      </c>
      <c r="E107" s="6">
        <v>1582.904</v>
      </c>
      <c r="F107" s="6">
        <f t="shared" si="33"/>
        <v>1919.096</v>
      </c>
      <c r="G107" s="6">
        <v>9999.54</v>
      </c>
      <c r="H107" s="15">
        <v>3733.89</v>
      </c>
      <c r="I107" s="15">
        <f t="shared" si="34"/>
        <v>15828311.86416</v>
      </c>
      <c r="J107" s="15">
        <f t="shared" si="35"/>
        <v>7165693.36344</v>
      </c>
      <c r="K107" s="15">
        <f t="shared" si="36"/>
        <v>22994005.2276</v>
      </c>
      <c r="L107" s="15">
        <f t="shared" si="37"/>
        <v>0.688366889869238</v>
      </c>
      <c r="M107" s="15">
        <f t="shared" si="38"/>
        <v>0.311633110130763</v>
      </c>
      <c r="N107" s="15">
        <f t="shared" si="39"/>
        <v>0.452</v>
      </c>
      <c r="O107" s="15">
        <f t="shared" si="40"/>
        <v>0.548</v>
      </c>
      <c r="P107" s="15">
        <f t="shared" si="41"/>
        <v>1.52293559705584</v>
      </c>
      <c r="Q107" s="15">
        <f t="shared" si="42"/>
        <v>0.568673558632778</v>
      </c>
      <c r="R107" s="7">
        <f t="shared" si="43"/>
        <v>0.11365359115716</v>
      </c>
    </row>
    <row r="108" spans="1:18">
      <c r="A108" s="15">
        <v>2003</v>
      </c>
      <c r="B108" s="19" t="s">
        <v>32</v>
      </c>
      <c r="C108" s="15">
        <v>0.3402</v>
      </c>
      <c r="D108" s="15">
        <v>4254</v>
      </c>
      <c r="E108" s="6">
        <v>1447.2108</v>
      </c>
      <c r="F108" s="6">
        <f t="shared" si="33"/>
        <v>2806.7892</v>
      </c>
      <c r="G108" s="6">
        <v>6901.42</v>
      </c>
      <c r="H108" s="15">
        <v>2457.53</v>
      </c>
      <c r="I108" s="15">
        <f t="shared" si="34"/>
        <v>9987809.559336</v>
      </c>
      <c r="J108" s="15">
        <f t="shared" si="35"/>
        <v>6897768.662676</v>
      </c>
      <c r="K108" s="15">
        <f t="shared" si="36"/>
        <v>16885578.222012</v>
      </c>
      <c r="L108" s="15">
        <f t="shared" si="37"/>
        <v>0.591499410207695</v>
      </c>
      <c r="M108" s="15">
        <f t="shared" si="38"/>
        <v>0.408500589792305</v>
      </c>
      <c r="N108" s="15">
        <f t="shared" si="39"/>
        <v>0.3402</v>
      </c>
      <c r="O108" s="15">
        <f t="shared" si="40"/>
        <v>0.6598</v>
      </c>
      <c r="P108" s="15">
        <f t="shared" si="41"/>
        <v>1.73868139390857</v>
      </c>
      <c r="Q108" s="15">
        <f t="shared" si="42"/>
        <v>0.61912790207988</v>
      </c>
      <c r="R108" s="7">
        <f t="shared" si="43"/>
        <v>0.131321386065854</v>
      </c>
    </row>
    <row r="109" spans="1:18">
      <c r="A109" s="15">
        <v>2003</v>
      </c>
      <c r="B109" s="19" t="s">
        <v>33</v>
      </c>
      <c r="C109" s="15">
        <v>0.4301</v>
      </c>
      <c r="D109" s="15">
        <v>9125</v>
      </c>
      <c r="E109" s="6">
        <v>3924.6625</v>
      </c>
      <c r="F109" s="6">
        <f t="shared" si="33"/>
        <v>5200.3375</v>
      </c>
      <c r="G109" s="6">
        <v>8399.91</v>
      </c>
      <c r="H109" s="15">
        <v>3150.49</v>
      </c>
      <c r="I109" s="15">
        <f t="shared" si="34"/>
        <v>32966811.780375</v>
      </c>
      <c r="J109" s="15">
        <f t="shared" si="35"/>
        <v>16383611.290375</v>
      </c>
      <c r="K109" s="15">
        <f t="shared" si="36"/>
        <v>49350423.07075</v>
      </c>
      <c r="L109" s="15">
        <f t="shared" si="37"/>
        <v>0.668014775336636</v>
      </c>
      <c r="M109" s="15">
        <f t="shared" si="38"/>
        <v>0.331985224663364</v>
      </c>
      <c r="N109" s="15">
        <f t="shared" si="39"/>
        <v>0.4301</v>
      </c>
      <c r="O109" s="15">
        <f t="shared" si="40"/>
        <v>0.5699</v>
      </c>
      <c r="P109" s="15">
        <f t="shared" si="41"/>
        <v>1.55316153298451</v>
      </c>
      <c r="Q109" s="15">
        <f t="shared" si="42"/>
        <v>0.582532417377371</v>
      </c>
      <c r="R109" s="7">
        <f t="shared" si="43"/>
        <v>0.11472692748573</v>
      </c>
    </row>
    <row r="110" spans="1:18">
      <c r="A110" s="15">
        <v>2003</v>
      </c>
      <c r="B110" s="19" t="s">
        <v>34</v>
      </c>
      <c r="C110" s="15">
        <v>0.2721</v>
      </c>
      <c r="D110" s="15">
        <v>9667</v>
      </c>
      <c r="E110" s="6">
        <v>2630.3907</v>
      </c>
      <c r="F110" s="6">
        <f t="shared" si="33"/>
        <v>7036.6093</v>
      </c>
      <c r="G110" s="6">
        <v>6926.12</v>
      </c>
      <c r="H110" s="15">
        <v>2235.68</v>
      </c>
      <c r="I110" s="15">
        <f t="shared" si="34"/>
        <v>18218401.635084</v>
      </c>
      <c r="J110" s="15">
        <f t="shared" si="35"/>
        <v>15731606.679824</v>
      </c>
      <c r="K110" s="15">
        <f t="shared" si="36"/>
        <v>33950008.314908</v>
      </c>
      <c r="L110" s="15">
        <f t="shared" si="37"/>
        <v>0.536624364450715</v>
      </c>
      <c r="M110" s="15">
        <f t="shared" si="38"/>
        <v>0.463375635549285</v>
      </c>
      <c r="N110" s="15">
        <f t="shared" si="39"/>
        <v>0.2721</v>
      </c>
      <c r="O110" s="15">
        <f t="shared" si="40"/>
        <v>0.7279</v>
      </c>
      <c r="P110" s="15">
        <f t="shared" si="41"/>
        <v>1.972158634512</v>
      </c>
      <c r="Q110" s="15">
        <f t="shared" si="42"/>
        <v>0.636592437902576</v>
      </c>
      <c r="R110" s="7">
        <f t="shared" si="43"/>
        <v>0.155164685694529</v>
      </c>
    </row>
    <row r="111" spans="1:18">
      <c r="A111" s="15">
        <v>2003</v>
      </c>
      <c r="B111" s="19" t="s">
        <v>35</v>
      </c>
      <c r="C111" s="15">
        <v>0.429</v>
      </c>
      <c r="D111" s="15">
        <v>5685</v>
      </c>
      <c r="E111" s="6">
        <v>2438.865</v>
      </c>
      <c r="F111" s="6">
        <f t="shared" si="33"/>
        <v>3246.135</v>
      </c>
      <c r="G111" s="6">
        <v>7321.98</v>
      </c>
      <c r="H111" s="15">
        <v>2566.76</v>
      </c>
      <c r="I111" s="15">
        <f t="shared" si="34"/>
        <v>17857320.7527</v>
      </c>
      <c r="J111" s="15">
        <f t="shared" si="35"/>
        <v>8332049.4726</v>
      </c>
      <c r="K111" s="15">
        <f t="shared" si="36"/>
        <v>26189370.2253</v>
      </c>
      <c r="L111" s="15">
        <f t="shared" si="37"/>
        <v>0.681853767352111</v>
      </c>
      <c r="M111" s="15">
        <f t="shared" si="38"/>
        <v>0.318146232647889</v>
      </c>
      <c r="N111" s="15">
        <f t="shared" si="39"/>
        <v>0.429</v>
      </c>
      <c r="O111" s="15">
        <f t="shared" si="40"/>
        <v>0.571</v>
      </c>
      <c r="P111" s="15">
        <f t="shared" si="41"/>
        <v>1.58940272110049</v>
      </c>
      <c r="Q111" s="15">
        <f t="shared" si="42"/>
        <v>0.557173787474412</v>
      </c>
      <c r="R111" s="7">
        <f t="shared" si="43"/>
        <v>0.129865843320383</v>
      </c>
    </row>
    <row r="112" spans="1:18">
      <c r="A112" s="15">
        <v>2003</v>
      </c>
      <c r="B112" s="19" t="s">
        <v>36</v>
      </c>
      <c r="C112" s="15">
        <v>0.335</v>
      </c>
      <c r="D112" s="15">
        <v>6663</v>
      </c>
      <c r="E112" s="6">
        <v>2232.105</v>
      </c>
      <c r="F112" s="6">
        <f t="shared" si="33"/>
        <v>4430.895</v>
      </c>
      <c r="G112" s="6">
        <v>7674.2</v>
      </c>
      <c r="H112" s="15">
        <v>2532.87</v>
      </c>
      <c r="I112" s="15">
        <f t="shared" si="34"/>
        <v>17129620.191</v>
      </c>
      <c r="J112" s="15">
        <f t="shared" si="35"/>
        <v>11222881.01865</v>
      </c>
      <c r="K112" s="15">
        <f t="shared" si="36"/>
        <v>28352501.20965</v>
      </c>
      <c r="L112" s="15">
        <f t="shared" si="37"/>
        <v>0.604166103876923</v>
      </c>
      <c r="M112" s="15">
        <f t="shared" si="38"/>
        <v>0.395833896123077</v>
      </c>
      <c r="N112" s="15">
        <f t="shared" si="39"/>
        <v>0.335</v>
      </c>
      <c r="O112" s="15">
        <f t="shared" si="40"/>
        <v>0.665</v>
      </c>
      <c r="P112" s="15">
        <f t="shared" si="41"/>
        <v>1.80348090709529</v>
      </c>
      <c r="Q112" s="15">
        <f t="shared" si="42"/>
        <v>0.595238941538461</v>
      </c>
      <c r="R112" s="7">
        <f t="shared" si="43"/>
        <v>0.15093240418125</v>
      </c>
    </row>
    <row r="113" spans="1:18">
      <c r="A113" s="15">
        <v>2003</v>
      </c>
      <c r="B113" s="19" t="s">
        <v>37</v>
      </c>
      <c r="C113" s="15">
        <v>0.5845</v>
      </c>
      <c r="D113" s="15">
        <v>8963</v>
      </c>
      <c r="E113" s="6">
        <v>5238.8735</v>
      </c>
      <c r="F113" s="6">
        <f t="shared" si="33"/>
        <v>3724.1265</v>
      </c>
      <c r="G113" s="6">
        <v>12380.43</v>
      </c>
      <c r="H113" s="15">
        <v>4054.58</v>
      </c>
      <c r="I113" s="15">
        <f t="shared" si="34"/>
        <v>64859506.645605</v>
      </c>
      <c r="J113" s="15">
        <f t="shared" si="35"/>
        <v>15099768.82437</v>
      </c>
      <c r="K113" s="15">
        <f t="shared" si="36"/>
        <v>79959275.469975</v>
      </c>
      <c r="L113" s="15">
        <f t="shared" si="37"/>
        <v>0.811156757791783</v>
      </c>
      <c r="M113" s="15">
        <f t="shared" si="38"/>
        <v>0.188843242208217</v>
      </c>
      <c r="N113" s="15">
        <f t="shared" si="39"/>
        <v>0.5845</v>
      </c>
      <c r="O113" s="15">
        <f t="shared" si="40"/>
        <v>0.4155</v>
      </c>
      <c r="P113" s="15">
        <f t="shared" si="41"/>
        <v>1.38777888416045</v>
      </c>
      <c r="Q113" s="15">
        <f t="shared" si="42"/>
        <v>0.454496371138909</v>
      </c>
      <c r="R113" s="7">
        <f t="shared" si="43"/>
        <v>0.11690451812408</v>
      </c>
    </row>
    <row r="114" spans="1:18">
      <c r="A114" s="15">
        <v>2003</v>
      </c>
      <c r="B114" s="19" t="s">
        <v>38</v>
      </c>
      <c r="C114" s="15">
        <v>0.3085</v>
      </c>
      <c r="D114" s="15">
        <v>4857</v>
      </c>
      <c r="E114" s="6">
        <v>1498.3845</v>
      </c>
      <c r="F114" s="6">
        <f t="shared" si="33"/>
        <v>3358.6155</v>
      </c>
      <c r="G114" s="6">
        <v>7785.04</v>
      </c>
      <c r="H114" s="15">
        <v>2094.51</v>
      </c>
      <c r="I114" s="15">
        <f t="shared" si="34"/>
        <v>11664983.26788</v>
      </c>
      <c r="J114" s="15">
        <f t="shared" si="35"/>
        <v>7034653.750905</v>
      </c>
      <c r="K114" s="15">
        <f t="shared" si="36"/>
        <v>18699637.018785</v>
      </c>
      <c r="L114" s="15">
        <f t="shared" si="37"/>
        <v>0.623808005265651</v>
      </c>
      <c r="M114" s="15">
        <f t="shared" si="38"/>
        <v>0.376191994734349</v>
      </c>
      <c r="N114" s="15">
        <f t="shared" si="39"/>
        <v>0.3085</v>
      </c>
      <c r="O114" s="15">
        <f t="shared" si="40"/>
        <v>0.6915</v>
      </c>
      <c r="P114" s="15">
        <f t="shared" si="41"/>
        <v>2.02206808838137</v>
      </c>
      <c r="Q114" s="15">
        <f t="shared" si="42"/>
        <v>0.544023130490743</v>
      </c>
      <c r="R114" s="7">
        <f t="shared" si="43"/>
        <v>0.210224227295489</v>
      </c>
    </row>
    <row r="115" spans="1:18">
      <c r="A115" s="15">
        <v>2003</v>
      </c>
      <c r="B115" s="19" t="s">
        <v>39</v>
      </c>
      <c r="C115" s="15">
        <v>0.4357</v>
      </c>
      <c r="D115" s="15">
        <v>811</v>
      </c>
      <c r="E115" s="6">
        <v>353.3527</v>
      </c>
      <c r="F115" s="6">
        <f t="shared" si="33"/>
        <v>457.6473</v>
      </c>
      <c r="G115" s="6">
        <v>7259.25</v>
      </c>
      <c r="H115" s="15">
        <v>2588.06</v>
      </c>
      <c r="I115" s="15">
        <f t="shared" si="34"/>
        <v>2565075.587475</v>
      </c>
      <c r="J115" s="15">
        <f t="shared" si="35"/>
        <v>1184418.671238</v>
      </c>
      <c r="K115" s="15">
        <f t="shared" si="36"/>
        <v>3749494.258713</v>
      </c>
      <c r="L115" s="15">
        <f t="shared" si="37"/>
        <v>0.684112419032068</v>
      </c>
      <c r="M115" s="15">
        <f t="shared" si="38"/>
        <v>0.315887580967932</v>
      </c>
      <c r="N115" s="15">
        <f t="shared" si="39"/>
        <v>0.4357</v>
      </c>
      <c r="O115" s="15">
        <f t="shared" si="40"/>
        <v>0.5643</v>
      </c>
      <c r="P115" s="15">
        <f t="shared" si="41"/>
        <v>1.57014555664923</v>
      </c>
      <c r="Q115" s="15">
        <f t="shared" si="42"/>
        <v>0.559786604586093</v>
      </c>
      <c r="R115" s="7">
        <f t="shared" si="43"/>
        <v>0.125371997147274</v>
      </c>
    </row>
    <row r="116" spans="1:18">
      <c r="A116" s="15">
        <v>2003</v>
      </c>
      <c r="B116" s="19" t="s">
        <v>40</v>
      </c>
      <c r="C116" s="15">
        <v>0.419</v>
      </c>
      <c r="D116" s="15">
        <v>2803</v>
      </c>
      <c r="E116" s="6">
        <v>1174.457</v>
      </c>
      <c r="F116" s="6">
        <f t="shared" si="33"/>
        <v>1628.543</v>
      </c>
      <c r="G116" s="6">
        <v>8093.67</v>
      </c>
      <c r="H116" s="15">
        <v>2214.55</v>
      </c>
      <c r="I116" s="15">
        <f t="shared" si="34"/>
        <v>9505667.38719</v>
      </c>
      <c r="J116" s="15">
        <f t="shared" si="35"/>
        <v>3606489.90065</v>
      </c>
      <c r="K116" s="15">
        <f t="shared" si="36"/>
        <v>13112157.28784</v>
      </c>
      <c r="L116" s="15">
        <f t="shared" si="37"/>
        <v>0.724950683439818</v>
      </c>
      <c r="M116" s="15">
        <f t="shared" si="38"/>
        <v>0.275049316560182</v>
      </c>
      <c r="N116" s="15">
        <f t="shared" si="39"/>
        <v>0.419</v>
      </c>
      <c r="O116" s="15">
        <f t="shared" si="40"/>
        <v>0.581</v>
      </c>
      <c r="P116" s="15">
        <f t="shared" si="41"/>
        <v>1.73019256190887</v>
      </c>
      <c r="Q116" s="15">
        <f t="shared" si="42"/>
        <v>0.473406741067439</v>
      </c>
      <c r="R116" s="7">
        <f t="shared" si="43"/>
        <v>0.191759704559194</v>
      </c>
    </row>
    <row r="117" s="3" customFormat="1" spans="1:19">
      <c r="A117" s="15">
        <v>2003</v>
      </c>
      <c r="B117" s="20" t="s">
        <v>41</v>
      </c>
      <c r="C117" s="15">
        <v>0.3386</v>
      </c>
      <c r="D117" s="15">
        <v>8176</v>
      </c>
      <c r="E117" s="15">
        <v>2768.3936</v>
      </c>
      <c r="F117" s="15">
        <f t="shared" si="33"/>
        <v>5407.6064</v>
      </c>
      <c r="G117" s="15">
        <v>7041.87</v>
      </c>
      <c r="H117" s="15">
        <v>2229.86</v>
      </c>
      <c r="I117" s="15">
        <f t="shared" si="34"/>
        <v>19494667.840032</v>
      </c>
      <c r="J117" s="15">
        <f t="shared" si="35"/>
        <v>12058205.207104</v>
      </c>
      <c r="K117" s="15">
        <f t="shared" si="36"/>
        <v>31552873.047136</v>
      </c>
      <c r="L117" s="15">
        <f t="shared" si="37"/>
        <v>0.617841291691867</v>
      </c>
      <c r="M117" s="15">
        <f t="shared" si="38"/>
        <v>0.382158708308133</v>
      </c>
      <c r="N117" s="15">
        <f t="shared" si="39"/>
        <v>0.3386</v>
      </c>
      <c r="O117" s="15">
        <f t="shared" si="40"/>
        <v>0.6614</v>
      </c>
      <c r="P117" s="15">
        <f t="shared" si="41"/>
        <v>1.82469371438827</v>
      </c>
      <c r="Q117" s="15">
        <f t="shared" si="42"/>
        <v>0.577802703822397</v>
      </c>
      <c r="R117" s="23">
        <f t="shared" si="43"/>
        <v>0.161954487539626</v>
      </c>
      <c r="S117" s="24"/>
    </row>
    <row r="118" s="3" customFormat="1" spans="1:19">
      <c r="A118" s="15">
        <v>2003</v>
      </c>
      <c r="B118" s="20" t="s">
        <v>42</v>
      </c>
      <c r="C118" s="15">
        <v>0.2477</v>
      </c>
      <c r="D118" s="15">
        <v>3870</v>
      </c>
      <c r="E118" s="15">
        <v>958.599</v>
      </c>
      <c r="F118" s="15">
        <f t="shared" si="33"/>
        <v>2911.401</v>
      </c>
      <c r="G118" s="15">
        <v>6569.23</v>
      </c>
      <c r="H118" s="15">
        <v>1564.66</v>
      </c>
      <c r="I118" s="15">
        <f t="shared" si="34"/>
        <v>6297257.30877</v>
      </c>
      <c r="J118" s="15">
        <f t="shared" si="35"/>
        <v>4555352.68866</v>
      </c>
      <c r="K118" s="15">
        <f t="shared" si="36"/>
        <v>10852609.99743</v>
      </c>
      <c r="L118" s="15">
        <f t="shared" si="37"/>
        <v>0.580252797277452</v>
      </c>
      <c r="M118" s="15">
        <f t="shared" si="38"/>
        <v>0.419747202722548</v>
      </c>
      <c r="N118" s="15">
        <f t="shared" si="39"/>
        <v>0.2477</v>
      </c>
      <c r="O118" s="15">
        <f t="shared" si="40"/>
        <v>0.7523</v>
      </c>
      <c r="P118" s="15">
        <f t="shared" si="41"/>
        <v>2.34256276656218</v>
      </c>
      <c r="Q118" s="15">
        <f t="shared" si="42"/>
        <v>0.557951884517543</v>
      </c>
      <c r="R118" s="23">
        <f t="shared" si="43"/>
        <v>0.249022431951531</v>
      </c>
      <c r="S118" s="24"/>
    </row>
    <row r="119" s="3" customFormat="1" spans="1:19">
      <c r="A119" s="15">
        <v>2003</v>
      </c>
      <c r="B119" s="20" t="s">
        <v>43</v>
      </c>
      <c r="C119" s="15">
        <v>0.266</v>
      </c>
      <c r="D119" s="15">
        <v>4376</v>
      </c>
      <c r="E119" s="15">
        <v>1164.016</v>
      </c>
      <c r="F119" s="15">
        <f t="shared" si="33"/>
        <v>3211.984</v>
      </c>
      <c r="G119" s="15">
        <v>7643.57</v>
      </c>
      <c r="H119" s="15">
        <v>1697.12</v>
      </c>
      <c r="I119" s="15">
        <f t="shared" si="34"/>
        <v>8897237.77712</v>
      </c>
      <c r="J119" s="15">
        <f t="shared" si="35"/>
        <v>5451122.28608</v>
      </c>
      <c r="K119" s="15">
        <f t="shared" si="36"/>
        <v>14348360.0632</v>
      </c>
      <c r="L119" s="15">
        <f t="shared" si="37"/>
        <v>0.620087434238511</v>
      </c>
      <c r="M119" s="15">
        <f t="shared" si="38"/>
        <v>0.37991256576149</v>
      </c>
      <c r="N119" s="15">
        <f t="shared" si="39"/>
        <v>0.266</v>
      </c>
      <c r="O119" s="15">
        <f t="shared" si="40"/>
        <v>0.734</v>
      </c>
      <c r="P119" s="15">
        <f t="shared" si="41"/>
        <v>2.33115576781395</v>
      </c>
      <c r="Q119" s="15">
        <f t="shared" si="42"/>
        <v>0.517592051446171</v>
      </c>
      <c r="R119" s="23">
        <f t="shared" si="43"/>
        <v>0.274621576464868</v>
      </c>
      <c r="S119" s="24"/>
    </row>
    <row r="120" s="4" customFormat="1" spans="1:19">
      <c r="A120" s="21">
        <v>2003</v>
      </c>
      <c r="B120" s="22" t="s">
        <v>44</v>
      </c>
      <c r="C120" s="21">
        <v>0.18125</v>
      </c>
      <c r="D120" s="21">
        <v>272</v>
      </c>
      <c r="E120" s="21">
        <v>48.97</v>
      </c>
      <c r="F120" s="21">
        <f t="shared" si="33"/>
        <v>223.03</v>
      </c>
      <c r="G120" s="21">
        <v>8765.45</v>
      </c>
      <c r="H120" s="21">
        <v>1690.76</v>
      </c>
      <c r="I120" s="21">
        <f t="shared" si="34"/>
        <v>429244.0865</v>
      </c>
      <c r="J120" s="21">
        <f t="shared" si="35"/>
        <v>377090.2028</v>
      </c>
      <c r="K120" s="21">
        <f t="shared" si="36"/>
        <v>806334.2893</v>
      </c>
      <c r="L120" s="21">
        <f t="shared" si="37"/>
        <v>0.532340112774614</v>
      </c>
      <c r="M120" s="21">
        <f t="shared" si="38"/>
        <v>0.467659887225386</v>
      </c>
      <c r="N120" s="21">
        <f t="shared" si="39"/>
        <v>0.18125</v>
      </c>
      <c r="O120" s="21">
        <f t="shared" si="40"/>
        <v>0.819963235294118</v>
      </c>
      <c r="P120" s="21">
        <f t="shared" si="41"/>
        <v>2.93704889806683</v>
      </c>
      <c r="Q120" s="21">
        <f t="shared" si="42"/>
        <v>0.570342506951106</v>
      </c>
      <c r="R120" s="25">
        <f t="shared" si="43"/>
        <v>0.310946517069127</v>
      </c>
      <c r="S120" s="26"/>
    </row>
    <row r="121" s="3" customFormat="1" spans="1:19">
      <c r="A121" s="15">
        <v>2003</v>
      </c>
      <c r="B121" s="20" t="s">
        <v>45</v>
      </c>
      <c r="C121" s="15">
        <v>0.3546</v>
      </c>
      <c r="D121" s="15">
        <v>3672</v>
      </c>
      <c r="E121" s="15">
        <v>1302.0912</v>
      </c>
      <c r="F121" s="15">
        <f t="shared" si="33"/>
        <v>2369.9088</v>
      </c>
      <c r="G121" s="15">
        <v>6806.35</v>
      </c>
      <c r="H121" s="15">
        <v>1675.66</v>
      </c>
      <c r="I121" s="15">
        <f t="shared" si="34"/>
        <v>8862488.43912</v>
      </c>
      <c r="J121" s="15">
        <f t="shared" si="35"/>
        <v>3971161.379808</v>
      </c>
      <c r="K121" s="15">
        <f t="shared" si="36"/>
        <v>12833649.818928</v>
      </c>
      <c r="L121" s="15">
        <f t="shared" si="37"/>
        <v>0.69056648452796</v>
      </c>
      <c r="M121" s="15">
        <f t="shared" si="38"/>
        <v>0.30943351547204</v>
      </c>
      <c r="N121" s="15">
        <f t="shared" si="39"/>
        <v>0.3546</v>
      </c>
      <c r="O121" s="15">
        <f t="shared" si="40"/>
        <v>0.6454</v>
      </c>
      <c r="P121" s="15">
        <f t="shared" si="41"/>
        <v>1.94745201502527</v>
      </c>
      <c r="Q121" s="15">
        <f t="shared" si="42"/>
        <v>0.479444554496498</v>
      </c>
      <c r="R121" s="23">
        <f t="shared" si="43"/>
        <v>0.23280471803675</v>
      </c>
      <c r="S121" s="24"/>
    </row>
    <row r="122" s="3" customFormat="1" spans="1:19">
      <c r="A122" s="15">
        <v>2003</v>
      </c>
      <c r="B122" s="20" t="s">
        <v>46</v>
      </c>
      <c r="C122" s="15">
        <v>0.2738</v>
      </c>
      <c r="D122" s="15">
        <v>2537</v>
      </c>
      <c r="E122" s="15">
        <v>694.6306</v>
      </c>
      <c r="F122" s="15">
        <f t="shared" ref="F122:F185" si="44">D122-E122</f>
        <v>1842.3694</v>
      </c>
      <c r="G122" s="15">
        <v>6657.24</v>
      </c>
      <c r="H122" s="15">
        <v>1673.05</v>
      </c>
      <c r="I122" s="15">
        <f t="shared" si="34"/>
        <v>4624322.615544</v>
      </c>
      <c r="J122" s="15">
        <f t="shared" si="35"/>
        <v>3082376.12467</v>
      </c>
      <c r="K122" s="15">
        <f t="shared" si="36"/>
        <v>7706698.740214</v>
      </c>
      <c r="L122" s="15">
        <f t="shared" si="37"/>
        <v>0.600039364639235</v>
      </c>
      <c r="M122" s="15">
        <f t="shared" si="38"/>
        <v>0.399960635360765</v>
      </c>
      <c r="N122" s="15">
        <f t="shared" si="39"/>
        <v>0.2738</v>
      </c>
      <c r="O122" s="15">
        <f t="shared" si="40"/>
        <v>0.7262</v>
      </c>
      <c r="P122" s="15">
        <f t="shared" si="41"/>
        <v>2.19152434126821</v>
      </c>
      <c r="Q122" s="15">
        <f t="shared" si="42"/>
        <v>0.550758242028043</v>
      </c>
      <c r="R122" s="23">
        <f t="shared" si="43"/>
        <v>0.232229042237649</v>
      </c>
      <c r="S122" s="24"/>
    </row>
    <row r="123" s="3" customFormat="1" spans="1:19">
      <c r="A123" s="15">
        <v>2003</v>
      </c>
      <c r="B123" s="20" t="s">
        <v>47</v>
      </c>
      <c r="C123" s="15">
        <v>0.382</v>
      </c>
      <c r="D123" s="15">
        <v>534</v>
      </c>
      <c r="E123" s="15">
        <v>203.988</v>
      </c>
      <c r="F123" s="15">
        <f t="shared" si="44"/>
        <v>330.012</v>
      </c>
      <c r="G123" s="15">
        <v>6745.32</v>
      </c>
      <c r="H123" s="15">
        <v>1794.13</v>
      </c>
      <c r="I123" s="15">
        <f t="shared" si="34"/>
        <v>1375964.33616</v>
      </c>
      <c r="J123" s="15">
        <f t="shared" si="35"/>
        <v>592084.42956</v>
      </c>
      <c r="K123" s="15">
        <f t="shared" si="36"/>
        <v>1968048.76572</v>
      </c>
      <c r="L123" s="15">
        <f t="shared" si="37"/>
        <v>0.699151545493646</v>
      </c>
      <c r="M123" s="15">
        <f t="shared" si="38"/>
        <v>0.300848454506354</v>
      </c>
      <c r="N123" s="15">
        <f t="shared" si="39"/>
        <v>0.382</v>
      </c>
      <c r="O123" s="15">
        <f t="shared" si="40"/>
        <v>0.618</v>
      </c>
      <c r="P123" s="15">
        <f t="shared" si="41"/>
        <v>1.83023964788912</v>
      </c>
      <c r="Q123" s="15">
        <f t="shared" si="42"/>
        <v>0.486809796935848</v>
      </c>
      <c r="R123" s="23">
        <f t="shared" si="43"/>
        <v>0.206024668859852</v>
      </c>
      <c r="S123" s="24"/>
    </row>
    <row r="124" s="3" customFormat="1" spans="1:19">
      <c r="A124" s="15">
        <v>2003</v>
      </c>
      <c r="B124" s="20" t="s">
        <v>48</v>
      </c>
      <c r="C124" s="15">
        <v>0.3692</v>
      </c>
      <c r="D124" s="15">
        <v>580</v>
      </c>
      <c r="E124" s="15">
        <v>214.136</v>
      </c>
      <c r="F124" s="15">
        <f t="shared" si="44"/>
        <v>365.864</v>
      </c>
      <c r="G124" s="15">
        <v>6530.48</v>
      </c>
      <c r="H124" s="15">
        <v>2043.3</v>
      </c>
      <c r="I124" s="15">
        <f t="shared" si="34"/>
        <v>1398410.86528</v>
      </c>
      <c r="J124" s="15">
        <f t="shared" si="35"/>
        <v>747569.9112</v>
      </c>
      <c r="K124" s="15">
        <f t="shared" si="36"/>
        <v>2145980.77648</v>
      </c>
      <c r="L124" s="15">
        <f t="shared" si="37"/>
        <v>0.65164184162627</v>
      </c>
      <c r="M124" s="15">
        <f t="shared" si="38"/>
        <v>0.34835815837373</v>
      </c>
      <c r="N124" s="15">
        <f t="shared" si="39"/>
        <v>0.3692</v>
      </c>
      <c r="O124" s="15">
        <f t="shared" si="40"/>
        <v>0.6308</v>
      </c>
      <c r="P124" s="15">
        <f t="shared" si="41"/>
        <v>1.76501040527159</v>
      </c>
      <c r="Q124" s="15">
        <f t="shared" si="42"/>
        <v>0.552248190192977</v>
      </c>
      <c r="R124" s="23">
        <f t="shared" si="43"/>
        <v>0.16339426012834</v>
      </c>
      <c r="S124" s="24"/>
    </row>
    <row r="125" s="3" customFormat="1" spans="1:19">
      <c r="A125" s="15">
        <v>2003</v>
      </c>
      <c r="B125" s="20" t="s">
        <v>49</v>
      </c>
      <c r="C125" s="15">
        <v>0.3439</v>
      </c>
      <c r="D125" s="15">
        <v>1934</v>
      </c>
      <c r="E125" s="15">
        <v>665.1026</v>
      </c>
      <c r="F125" s="15">
        <f t="shared" si="44"/>
        <v>1268.8974</v>
      </c>
      <c r="G125" s="15">
        <v>7173.54</v>
      </c>
      <c r="H125" s="15">
        <v>2106.19</v>
      </c>
      <c r="I125" s="15">
        <f t="shared" si="34"/>
        <v>4771140.105204</v>
      </c>
      <c r="J125" s="15">
        <f t="shared" si="35"/>
        <v>2672539.014906</v>
      </c>
      <c r="K125" s="15">
        <f t="shared" si="36"/>
        <v>7443679.12011</v>
      </c>
      <c r="L125" s="15">
        <f t="shared" si="37"/>
        <v>0.640965311402823</v>
      </c>
      <c r="M125" s="15">
        <f t="shared" si="38"/>
        <v>0.359034688597177</v>
      </c>
      <c r="N125" s="15">
        <f t="shared" si="39"/>
        <v>0.3439</v>
      </c>
      <c r="O125" s="15">
        <f t="shared" si="40"/>
        <v>0.6561</v>
      </c>
      <c r="P125" s="15">
        <f t="shared" si="41"/>
        <v>1.86381306020013</v>
      </c>
      <c r="Q125" s="15">
        <f t="shared" si="42"/>
        <v>0.547225557989905</v>
      </c>
      <c r="R125" s="23">
        <f t="shared" si="43"/>
        <v>0.182620722469115</v>
      </c>
      <c r="S125" s="24"/>
    </row>
    <row r="126" s="3" customFormat="1" spans="1:19">
      <c r="A126" s="15">
        <v>2004</v>
      </c>
      <c r="B126" s="20" t="s">
        <v>19</v>
      </c>
      <c r="C126" s="15">
        <v>0.7953</v>
      </c>
      <c r="D126" s="15">
        <v>1493</v>
      </c>
      <c r="E126" s="15">
        <v>1187.3829</v>
      </c>
      <c r="F126" s="15">
        <f t="shared" si="44"/>
        <v>305.6171</v>
      </c>
      <c r="G126" s="15">
        <v>15637.84</v>
      </c>
      <c r="H126" s="15">
        <v>6170.33</v>
      </c>
      <c r="I126" s="15">
        <f t="shared" si="34"/>
        <v>18568103.808936</v>
      </c>
      <c r="J126" s="15">
        <f t="shared" si="35"/>
        <v>1885758.360643</v>
      </c>
      <c r="K126" s="15">
        <f t="shared" si="36"/>
        <v>20453862.169579</v>
      </c>
      <c r="L126" s="15">
        <f t="shared" si="37"/>
        <v>0.907804289233567</v>
      </c>
      <c r="M126" s="15">
        <f t="shared" si="38"/>
        <v>0.0921957107664334</v>
      </c>
      <c r="N126" s="15">
        <f t="shared" si="39"/>
        <v>0.7953</v>
      </c>
      <c r="O126" s="15">
        <f t="shared" si="40"/>
        <v>0.2047</v>
      </c>
      <c r="P126" s="15">
        <f t="shared" si="41"/>
        <v>1.14146144754629</v>
      </c>
      <c r="Q126" s="15">
        <f t="shared" si="42"/>
        <v>0.450394288062694</v>
      </c>
      <c r="R126" s="23">
        <f t="shared" si="43"/>
        <v>0.0465728140596782</v>
      </c>
      <c r="S126" s="24"/>
    </row>
    <row r="127" s="3" customFormat="1" spans="1:19">
      <c r="A127" s="15">
        <v>2004</v>
      </c>
      <c r="B127" s="20" t="s">
        <v>20</v>
      </c>
      <c r="C127" s="15">
        <v>0.7521</v>
      </c>
      <c r="D127" s="15">
        <v>1024</v>
      </c>
      <c r="E127" s="15">
        <v>770.1504</v>
      </c>
      <c r="F127" s="15">
        <f t="shared" si="44"/>
        <v>253.8496</v>
      </c>
      <c r="G127" s="15">
        <v>11467.16</v>
      </c>
      <c r="H127" s="15">
        <v>5019.53</v>
      </c>
      <c r="I127" s="15">
        <f t="shared" si="34"/>
        <v>8831437.860864</v>
      </c>
      <c r="J127" s="15">
        <f t="shared" si="35"/>
        <v>1274205.682688</v>
      </c>
      <c r="K127" s="15">
        <f t="shared" si="36"/>
        <v>10105643.543552</v>
      </c>
      <c r="L127" s="15">
        <f t="shared" si="37"/>
        <v>0.873911475583263</v>
      </c>
      <c r="M127" s="15">
        <f t="shared" si="38"/>
        <v>0.126088524416737</v>
      </c>
      <c r="N127" s="15">
        <f t="shared" si="39"/>
        <v>0.7521</v>
      </c>
      <c r="O127" s="15">
        <f t="shared" si="40"/>
        <v>0.2479</v>
      </c>
      <c r="P127" s="15">
        <f t="shared" si="41"/>
        <v>1.16196180771608</v>
      </c>
      <c r="Q127" s="15">
        <f t="shared" si="42"/>
        <v>0.50862656077748</v>
      </c>
      <c r="R127" s="23">
        <f t="shared" si="43"/>
        <v>0.0459416303688404</v>
      </c>
      <c r="S127" s="24"/>
    </row>
    <row r="128" s="3" customFormat="1" spans="1:19">
      <c r="A128" s="15">
        <v>2004</v>
      </c>
      <c r="B128" s="20" t="s">
        <v>21</v>
      </c>
      <c r="C128" s="15">
        <v>0.3583</v>
      </c>
      <c r="D128" s="15">
        <v>6809</v>
      </c>
      <c r="E128" s="15">
        <v>2439.6647</v>
      </c>
      <c r="F128" s="15">
        <f t="shared" si="44"/>
        <v>4369.3353</v>
      </c>
      <c r="G128" s="15">
        <v>7951.31</v>
      </c>
      <c r="H128" s="15">
        <v>3171.06</v>
      </c>
      <c r="I128" s="15">
        <f t="shared" si="34"/>
        <v>19398530.325757</v>
      </c>
      <c r="J128" s="15">
        <f t="shared" si="35"/>
        <v>13855424.396418</v>
      </c>
      <c r="K128" s="15">
        <f t="shared" si="36"/>
        <v>33253954.722175</v>
      </c>
      <c r="L128" s="15">
        <f t="shared" si="37"/>
        <v>0.583345063401476</v>
      </c>
      <c r="M128" s="15">
        <f t="shared" si="38"/>
        <v>0.416654936598524</v>
      </c>
      <c r="N128" s="15">
        <f t="shared" si="39"/>
        <v>0.3583</v>
      </c>
      <c r="O128" s="15">
        <f t="shared" si="40"/>
        <v>0.6417</v>
      </c>
      <c r="P128" s="15">
        <f t="shared" si="41"/>
        <v>1.62809116215874</v>
      </c>
      <c r="Q128" s="15">
        <f t="shared" si="42"/>
        <v>0.649298638925547</v>
      </c>
      <c r="R128" s="23">
        <f t="shared" si="43"/>
        <v>0.104389554653202</v>
      </c>
      <c r="S128" s="24"/>
    </row>
    <row r="129" s="3" customFormat="1" spans="1:19">
      <c r="A129" s="15">
        <v>2004</v>
      </c>
      <c r="B129" s="20" t="s">
        <v>22</v>
      </c>
      <c r="C129" s="15">
        <v>0.3963</v>
      </c>
      <c r="D129" s="15">
        <v>3335</v>
      </c>
      <c r="E129" s="15">
        <v>1321.6605</v>
      </c>
      <c r="F129" s="15">
        <f t="shared" si="44"/>
        <v>2013.3395</v>
      </c>
      <c r="G129" s="15">
        <v>7902.86</v>
      </c>
      <c r="H129" s="15">
        <v>2589.6</v>
      </c>
      <c r="I129" s="15">
        <f t="shared" si="34"/>
        <v>10444897.89903</v>
      </c>
      <c r="J129" s="15">
        <f t="shared" si="35"/>
        <v>5213743.9692</v>
      </c>
      <c r="K129" s="15">
        <f t="shared" si="36"/>
        <v>15658641.86823</v>
      </c>
      <c r="L129" s="15">
        <f t="shared" si="37"/>
        <v>0.667037281197533</v>
      </c>
      <c r="M129" s="15">
        <f t="shared" si="38"/>
        <v>0.332962718802467</v>
      </c>
      <c r="N129" s="15">
        <f t="shared" si="39"/>
        <v>0.3963</v>
      </c>
      <c r="O129" s="15">
        <f t="shared" si="40"/>
        <v>0.6037</v>
      </c>
      <c r="P129" s="15">
        <f t="shared" si="41"/>
        <v>1.68316245570914</v>
      </c>
      <c r="Q129" s="15">
        <f t="shared" si="42"/>
        <v>0.551536721554525</v>
      </c>
      <c r="R129" s="23">
        <f t="shared" si="43"/>
        <v>0.149180841983109</v>
      </c>
      <c r="S129" s="24"/>
    </row>
    <row r="130" s="3" customFormat="1" spans="1:19">
      <c r="A130" s="15">
        <v>2004</v>
      </c>
      <c r="B130" s="20" t="s">
        <v>23</v>
      </c>
      <c r="C130" s="15">
        <v>0.4587</v>
      </c>
      <c r="D130" s="15">
        <v>2393</v>
      </c>
      <c r="E130" s="15">
        <v>1097.6691</v>
      </c>
      <c r="F130" s="15">
        <f t="shared" si="44"/>
        <v>1295.3309</v>
      </c>
      <c r="G130" s="15">
        <v>8122.99</v>
      </c>
      <c r="H130" s="15">
        <v>2606.37</v>
      </c>
      <c r="I130" s="15">
        <f t="shared" si="34"/>
        <v>8916355.122609</v>
      </c>
      <c r="J130" s="15">
        <f t="shared" si="35"/>
        <v>3376111.597833</v>
      </c>
      <c r="K130" s="15">
        <f t="shared" si="36"/>
        <v>12292466.720442</v>
      </c>
      <c r="L130" s="15">
        <f t="shared" si="37"/>
        <v>0.725351170386443</v>
      </c>
      <c r="M130" s="15">
        <f t="shared" si="38"/>
        <v>0.274648829613557</v>
      </c>
      <c r="N130" s="15">
        <f t="shared" si="39"/>
        <v>0.4587</v>
      </c>
      <c r="O130" s="15">
        <f t="shared" si="40"/>
        <v>0.5413</v>
      </c>
      <c r="P130" s="15">
        <f t="shared" si="41"/>
        <v>1.5813193162992</v>
      </c>
      <c r="Q130" s="15">
        <f t="shared" si="42"/>
        <v>0.50738745541023</v>
      </c>
      <c r="R130" s="23">
        <f t="shared" si="43"/>
        <v>0.146055235615637</v>
      </c>
      <c r="S130" s="24"/>
    </row>
    <row r="131" s="3" customFormat="1" spans="1:19">
      <c r="A131" s="15">
        <v>2004</v>
      </c>
      <c r="B131" s="20" t="s">
        <v>24</v>
      </c>
      <c r="C131" s="15">
        <v>0.5601</v>
      </c>
      <c r="D131" s="15">
        <v>4217</v>
      </c>
      <c r="E131" s="15">
        <v>2361.9417</v>
      </c>
      <c r="F131" s="15">
        <f t="shared" si="44"/>
        <v>1855.0583</v>
      </c>
      <c r="G131" s="15">
        <v>8007.56</v>
      </c>
      <c r="H131" s="15">
        <v>3307.14</v>
      </c>
      <c r="I131" s="15">
        <f t="shared" si="34"/>
        <v>18913389.879252</v>
      </c>
      <c r="J131" s="15">
        <f t="shared" si="35"/>
        <v>6134937.506262</v>
      </c>
      <c r="K131" s="15">
        <f t="shared" si="36"/>
        <v>25048327.385514</v>
      </c>
      <c r="L131" s="15">
        <f t="shared" si="37"/>
        <v>0.755075961287141</v>
      </c>
      <c r="M131" s="15">
        <f t="shared" si="38"/>
        <v>0.244924038712859</v>
      </c>
      <c r="N131" s="15">
        <f t="shared" si="39"/>
        <v>0.5601</v>
      </c>
      <c r="O131" s="15">
        <f t="shared" si="40"/>
        <v>0.4399</v>
      </c>
      <c r="P131" s="15">
        <f t="shared" si="41"/>
        <v>1.3481091970847</v>
      </c>
      <c r="Q131" s="15">
        <f t="shared" si="42"/>
        <v>0.556772081638689</v>
      </c>
      <c r="R131" s="23">
        <f t="shared" si="43"/>
        <v>0.0821161183555097</v>
      </c>
      <c r="S131" s="24"/>
    </row>
    <row r="132" s="3" customFormat="1" spans="1:19">
      <c r="A132" s="15">
        <v>2004</v>
      </c>
      <c r="B132" s="20" t="s">
        <v>25</v>
      </c>
      <c r="C132" s="15">
        <v>0.4517</v>
      </c>
      <c r="D132" s="15">
        <v>2709</v>
      </c>
      <c r="E132" s="15">
        <v>1223.6553</v>
      </c>
      <c r="F132" s="15">
        <f t="shared" si="44"/>
        <v>1485.3447</v>
      </c>
      <c r="G132" s="15">
        <v>7840.61</v>
      </c>
      <c r="H132" s="15">
        <v>2999.62</v>
      </c>
      <c r="I132" s="15">
        <f t="shared" si="34"/>
        <v>9594203.981733</v>
      </c>
      <c r="J132" s="15">
        <f t="shared" si="35"/>
        <v>4455469.669014</v>
      </c>
      <c r="K132" s="15">
        <f t="shared" si="36"/>
        <v>14049673.650747</v>
      </c>
      <c r="L132" s="15">
        <f t="shared" si="37"/>
        <v>0.682877355035424</v>
      </c>
      <c r="M132" s="15">
        <f t="shared" si="38"/>
        <v>0.317122644964576</v>
      </c>
      <c r="N132" s="15">
        <f t="shared" si="39"/>
        <v>0.4517</v>
      </c>
      <c r="O132" s="15">
        <f t="shared" si="40"/>
        <v>0.5483</v>
      </c>
      <c r="P132" s="15">
        <f t="shared" si="41"/>
        <v>1.51179401159049</v>
      </c>
      <c r="Q132" s="15">
        <f t="shared" si="42"/>
        <v>0.578374329681882</v>
      </c>
      <c r="R132" s="23">
        <f t="shared" si="43"/>
        <v>0.108595757226002</v>
      </c>
      <c r="S132" s="24"/>
    </row>
    <row r="133" s="3" customFormat="1" spans="1:19">
      <c r="A133" s="15">
        <v>2004</v>
      </c>
      <c r="B133" s="20" t="s">
        <v>26</v>
      </c>
      <c r="C133" s="15">
        <v>0.528</v>
      </c>
      <c r="D133" s="15">
        <v>3817</v>
      </c>
      <c r="E133" s="15">
        <v>2015.376</v>
      </c>
      <c r="F133" s="15">
        <f t="shared" si="44"/>
        <v>1801.624</v>
      </c>
      <c r="G133" s="15">
        <v>7470.71</v>
      </c>
      <c r="H133" s="15">
        <v>3005.18</v>
      </c>
      <c r="I133" s="15">
        <f t="shared" si="34"/>
        <v>15056289.63696</v>
      </c>
      <c r="J133" s="15">
        <f t="shared" si="35"/>
        <v>5414204.41232</v>
      </c>
      <c r="K133" s="15">
        <f t="shared" si="36"/>
        <v>20470494.04928</v>
      </c>
      <c r="L133" s="15">
        <f t="shared" si="37"/>
        <v>0.735511785925341</v>
      </c>
      <c r="M133" s="15">
        <f t="shared" si="38"/>
        <v>0.264488214074659</v>
      </c>
      <c r="N133" s="15">
        <f t="shared" si="39"/>
        <v>0.528</v>
      </c>
      <c r="O133" s="15">
        <f t="shared" si="40"/>
        <v>0.472</v>
      </c>
      <c r="P133" s="15">
        <f t="shared" si="41"/>
        <v>1.39301474607072</v>
      </c>
      <c r="Q133" s="15">
        <f t="shared" si="42"/>
        <v>0.560356385751396</v>
      </c>
      <c r="R133" s="23">
        <f t="shared" si="43"/>
        <v>0.0906134073418357</v>
      </c>
      <c r="S133" s="24"/>
    </row>
    <row r="134" s="3" customFormat="1" spans="1:19">
      <c r="A134" s="15">
        <v>2004</v>
      </c>
      <c r="B134" s="20" t="s">
        <v>27</v>
      </c>
      <c r="C134" s="15">
        <v>0.812</v>
      </c>
      <c r="D134" s="15">
        <v>1835</v>
      </c>
      <c r="E134" s="15">
        <v>1490.02</v>
      </c>
      <c r="F134" s="15">
        <f t="shared" si="44"/>
        <v>344.98</v>
      </c>
      <c r="G134" s="15">
        <v>16682.82</v>
      </c>
      <c r="H134" s="15">
        <v>7066.33</v>
      </c>
      <c r="I134" s="15">
        <f t="shared" si="34"/>
        <v>24857735.4564</v>
      </c>
      <c r="J134" s="15">
        <f t="shared" si="35"/>
        <v>2437742.5234</v>
      </c>
      <c r="K134" s="15">
        <f t="shared" si="36"/>
        <v>27295477.9798</v>
      </c>
      <c r="L134" s="15">
        <f t="shared" si="37"/>
        <v>0.910690608708005</v>
      </c>
      <c r="M134" s="15">
        <f t="shared" si="38"/>
        <v>0.0893093912919953</v>
      </c>
      <c r="N134" s="15">
        <f t="shared" si="39"/>
        <v>0.812</v>
      </c>
      <c r="O134" s="15">
        <f t="shared" si="40"/>
        <v>0.188</v>
      </c>
      <c r="P134" s="15">
        <f t="shared" si="41"/>
        <v>1.12154015850739</v>
      </c>
      <c r="Q134" s="15">
        <f t="shared" si="42"/>
        <v>0.475049953680826</v>
      </c>
      <c r="R134" s="23">
        <f t="shared" si="43"/>
        <v>0.0379827037175313</v>
      </c>
      <c r="S134" s="24"/>
    </row>
    <row r="135" s="3" customFormat="1" spans="1:19">
      <c r="A135" s="15">
        <v>2004</v>
      </c>
      <c r="B135" s="20" t="s">
        <v>28</v>
      </c>
      <c r="C135" s="15">
        <v>0.4818</v>
      </c>
      <c r="D135" s="15">
        <v>7523</v>
      </c>
      <c r="E135" s="15">
        <v>3624.5814</v>
      </c>
      <c r="F135" s="15">
        <f t="shared" si="44"/>
        <v>3898.4186</v>
      </c>
      <c r="G135" s="15">
        <v>10481.93</v>
      </c>
      <c r="H135" s="15">
        <v>4753.85</v>
      </c>
      <c r="I135" s="15">
        <f t="shared" si="34"/>
        <v>37992608.514102</v>
      </c>
      <c r="J135" s="15">
        <f t="shared" si="35"/>
        <v>18532497.26161</v>
      </c>
      <c r="K135" s="15">
        <f t="shared" si="36"/>
        <v>56525105.775712</v>
      </c>
      <c r="L135" s="15">
        <f t="shared" si="37"/>
        <v>0.672136884888889</v>
      </c>
      <c r="M135" s="15">
        <f t="shared" si="38"/>
        <v>0.327863115111111</v>
      </c>
      <c r="N135" s="15">
        <f t="shared" si="39"/>
        <v>0.4818</v>
      </c>
      <c r="O135" s="15">
        <f t="shared" si="40"/>
        <v>0.5182</v>
      </c>
      <c r="P135" s="15">
        <f t="shared" si="41"/>
        <v>1.39505372538167</v>
      </c>
      <c r="Q135" s="15">
        <f t="shared" si="42"/>
        <v>0.632696092456795</v>
      </c>
      <c r="R135" s="23">
        <f t="shared" si="43"/>
        <v>0.0736922159319617</v>
      </c>
      <c r="S135" s="24"/>
    </row>
    <row r="136" s="3" customFormat="1" spans="1:19">
      <c r="A136" s="15">
        <v>2004</v>
      </c>
      <c r="B136" s="20" t="s">
        <v>29</v>
      </c>
      <c r="C136" s="15">
        <v>0.54</v>
      </c>
      <c r="D136" s="15">
        <v>4925</v>
      </c>
      <c r="E136" s="15">
        <v>2659.5</v>
      </c>
      <c r="F136" s="15">
        <f t="shared" si="44"/>
        <v>2265.5</v>
      </c>
      <c r="G136" s="15">
        <v>14546.38</v>
      </c>
      <c r="H136" s="15">
        <v>5944.06</v>
      </c>
      <c r="I136" s="15">
        <f t="shared" si="34"/>
        <v>38686097.61</v>
      </c>
      <c r="J136" s="15">
        <f t="shared" si="35"/>
        <v>13466267.93</v>
      </c>
      <c r="K136" s="15">
        <f t="shared" si="36"/>
        <v>52152365.54</v>
      </c>
      <c r="L136" s="15">
        <f t="shared" si="37"/>
        <v>0.741789892163729</v>
      </c>
      <c r="M136" s="15">
        <f t="shared" si="38"/>
        <v>0.258210107836271</v>
      </c>
      <c r="N136" s="15">
        <f t="shared" si="39"/>
        <v>0.54</v>
      </c>
      <c r="O136" s="15">
        <f t="shared" si="40"/>
        <v>0.46</v>
      </c>
      <c r="P136" s="15">
        <f t="shared" si="41"/>
        <v>1.37368498548839</v>
      </c>
      <c r="Q136" s="15">
        <f t="shared" si="42"/>
        <v>0.561326321383197</v>
      </c>
      <c r="R136" s="23">
        <f t="shared" si="43"/>
        <v>0.0864118242829812</v>
      </c>
      <c r="S136" s="24"/>
    </row>
    <row r="137" s="3" customFormat="1" spans="1:19">
      <c r="A137" s="15">
        <v>2004</v>
      </c>
      <c r="B137" s="20" t="s">
        <v>30</v>
      </c>
      <c r="C137" s="15">
        <v>0.335</v>
      </c>
      <c r="D137" s="15">
        <v>6228</v>
      </c>
      <c r="E137" s="15">
        <v>2086.38</v>
      </c>
      <c r="F137" s="15">
        <f t="shared" si="44"/>
        <v>4141.62</v>
      </c>
      <c r="G137" s="15">
        <v>7511.43</v>
      </c>
      <c r="H137" s="15">
        <v>2499.33</v>
      </c>
      <c r="I137" s="15">
        <f t="shared" si="34"/>
        <v>15671697.3234</v>
      </c>
      <c r="J137" s="15">
        <f t="shared" si="35"/>
        <v>10351275.1146</v>
      </c>
      <c r="K137" s="15">
        <f t="shared" si="36"/>
        <v>26022972.438</v>
      </c>
      <c r="L137" s="15">
        <f t="shared" si="37"/>
        <v>0.602225489833568</v>
      </c>
      <c r="M137" s="15">
        <f t="shared" si="38"/>
        <v>0.397774510166432</v>
      </c>
      <c r="N137" s="15">
        <f t="shared" si="39"/>
        <v>0.335</v>
      </c>
      <c r="O137" s="15">
        <f t="shared" si="40"/>
        <v>0.665</v>
      </c>
      <c r="P137" s="15">
        <f t="shared" si="41"/>
        <v>1.79768802935394</v>
      </c>
      <c r="Q137" s="15">
        <f t="shared" si="42"/>
        <v>0.59815715814501</v>
      </c>
      <c r="R137" s="23">
        <f t="shared" si="43"/>
        <v>0.148789081445136</v>
      </c>
      <c r="S137" s="24"/>
    </row>
    <row r="138" s="3" customFormat="1" spans="1:19">
      <c r="A138" s="15">
        <v>2004</v>
      </c>
      <c r="B138" s="20" t="s">
        <v>31</v>
      </c>
      <c r="C138" s="15">
        <v>0.463</v>
      </c>
      <c r="D138" s="15">
        <v>3529</v>
      </c>
      <c r="E138" s="15">
        <v>1633.927</v>
      </c>
      <c r="F138" s="15">
        <f t="shared" si="44"/>
        <v>1895.073</v>
      </c>
      <c r="G138" s="15">
        <v>11175.37</v>
      </c>
      <c r="H138" s="15">
        <v>4089.38</v>
      </c>
      <c r="I138" s="15">
        <f t="shared" si="34"/>
        <v>18259738.77799</v>
      </c>
      <c r="J138" s="15">
        <f t="shared" si="35"/>
        <v>7749673.62474</v>
      </c>
      <c r="K138" s="15">
        <f t="shared" si="36"/>
        <v>26009412.40273</v>
      </c>
      <c r="L138" s="15">
        <f t="shared" si="37"/>
        <v>0.702043494687847</v>
      </c>
      <c r="M138" s="15">
        <f t="shared" si="38"/>
        <v>0.297956505312153</v>
      </c>
      <c r="N138" s="15">
        <f t="shared" si="39"/>
        <v>0.463</v>
      </c>
      <c r="O138" s="15">
        <f t="shared" si="40"/>
        <v>0.537</v>
      </c>
      <c r="P138" s="15">
        <f t="shared" si="41"/>
        <v>1.51629264511414</v>
      </c>
      <c r="Q138" s="15">
        <f t="shared" si="42"/>
        <v>0.554853827396933</v>
      </c>
      <c r="R138" s="23">
        <f t="shared" si="43"/>
        <v>0.116727005981614</v>
      </c>
      <c r="S138" s="24"/>
    </row>
    <row r="139" s="3" customFormat="1" spans="1:19">
      <c r="A139" s="15">
        <v>2004</v>
      </c>
      <c r="B139" s="20" t="s">
        <v>32</v>
      </c>
      <c r="C139" s="15">
        <v>0.3558</v>
      </c>
      <c r="D139" s="15">
        <v>4284</v>
      </c>
      <c r="E139" s="15">
        <v>1524.2472</v>
      </c>
      <c r="F139" s="15">
        <f t="shared" si="44"/>
        <v>2759.7528</v>
      </c>
      <c r="G139" s="15">
        <v>7559.64</v>
      </c>
      <c r="H139" s="15">
        <v>2786.78</v>
      </c>
      <c r="I139" s="15">
        <f t="shared" si="34"/>
        <v>11522760.103008</v>
      </c>
      <c r="J139" s="15">
        <f t="shared" si="35"/>
        <v>7690823.907984</v>
      </c>
      <c r="K139" s="15">
        <f t="shared" si="36"/>
        <v>19213584.010992</v>
      </c>
      <c r="L139" s="15">
        <f t="shared" si="37"/>
        <v>0.599719453508303</v>
      </c>
      <c r="M139" s="15">
        <f t="shared" si="38"/>
        <v>0.400280546491697</v>
      </c>
      <c r="N139" s="15">
        <f t="shared" si="39"/>
        <v>0.3558</v>
      </c>
      <c r="O139" s="15">
        <f t="shared" si="40"/>
        <v>0.6442</v>
      </c>
      <c r="P139" s="15">
        <f t="shared" si="41"/>
        <v>1.6855521458918</v>
      </c>
      <c r="Q139" s="15">
        <f t="shared" si="42"/>
        <v>0.621360674467086</v>
      </c>
      <c r="R139" s="23">
        <f t="shared" si="43"/>
        <v>0.122638520471327</v>
      </c>
      <c r="S139" s="24"/>
    </row>
    <row r="140" s="3" customFormat="1" spans="1:19">
      <c r="A140" s="15">
        <v>2004</v>
      </c>
      <c r="B140" s="20" t="s">
        <v>33</v>
      </c>
      <c r="C140" s="15">
        <v>0.4415</v>
      </c>
      <c r="D140" s="15">
        <v>9180</v>
      </c>
      <c r="E140" s="15">
        <v>4052.97</v>
      </c>
      <c r="F140" s="15">
        <f t="shared" si="44"/>
        <v>5127.03</v>
      </c>
      <c r="G140" s="15">
        <v>9437.8</v>
      </c>
      <c r="H140" s="15">
        <v>3507.43</v>
      </c>
      <c r="I140" s="15">
        <f t="shared" si="34"/>
        <v>38251120.266</v>
      </c>
      <c r="J140" s="15">
        <f t="shared" si="35"/>
        <v>17982698.8329</v>
      </c>
      <c r="K140" s="15">
        <f t="shared" si="36"/>
        <v>56233819.0989</v>
      </c>
      <c r="L140" s="15">
        <f t="shared" si="37"/>
        <v>0.680215586971368</v>
      </c>
      <c r="M140" s="15">
        <f t="shared" si="38"/>
        <v>0.319784413028632</v>
      </c>
      <c r="N140" s="15">
        <f t="shared" si="39"/>
        <v>0.4415</v>
      </c>
      <c r="O140" s="15">
        <f t="shared" si="40"/>
        <v>0.5585</v>
      </c>
      <c r="P140" s="15">
        <f t="shared" si="41"/>
        <v>1.54069215622054</v>
      </c>
      <c r="Q140" s="15">
        <f t="shared" si="42"/>
        <v>0.572577283847147</v>
      </c>
      <c r="R140" s="23">
        <f t="shared" si="43"/>
        <v>0.115696579497684</v>
      </c>
      <c r="S140" s="24"/>
    </row>
    <row r="141" s="3" customFormat="1" spans="1:19">
      <c r="A141" s="15">
        <v>2004</v>
      </c>
      <c r="B141" s="20" t="s">
        <v>34</v>
      </c>
      <c r="C141" s="15">
        <v>0.2891</v>
      </c>
      <c r="D141" s="15">
        <v>9717</v>
      </c>
      <c r="E141" s="15">
        <v>2809.1847</v>
      </c>
      <c r="F141" s="15">
        <f t="shared" si="44"/>
        <v>6907.8153</v>
      </c>
      <c r="G141" s="15">
        <v>7704.9</v>
      </c>
      <c r="H141" s="15">
        <v>2553.15</v>
      </c>
      <c r="I141" s="15">
        <f t="shared" si="34"/>
        <v>21644487.19503</v>
      </c>
      <c r="J141" s="15">
        <f t="shared" si="35"/>
        <v>17636688.633195</v>
      </c>
      <c r="K141" s="15">
        <f t="shared" si="36"/>
        <v>39281175.828225</v>
      </c>
      <c r="L141" s="15">
        <f t="shared" si="37"/>
        <v>0.55101423872036</v>
      </c>
      <c r="M141" s="15">
        <f t="shared" si="38"/>
        <v>0.44898576127964</v>
      </c>
      <c r="N141" s="15">
        <f t="shared" si="39"/>
        <v>0.2891</v>
      </c>
      <c r="O141" s="15">
        <f t="shared" si="40"/>
        <v>0.7109</v>
      </c>
      <c r="P141" s="15">
        <f t="shared" si="41"/>
        <v>1.90596416022262</v>
      </c>
      <c r="Q141" s="15">
        <f t="shared" si="42"/>
        <v>0.631573725249177</v>
      </c>
      <c r="R141" s="23">
        <f t="shared" si="43"/>
        <v>0.149070387444335</v>
      </c>
      <c r="S141" s="24"/>
    </row>
    <row r="142" s="3" customFormat="1" spans="1:19">
      <c r="A142" s="15">
        <v>2004</v>
      </c>
      <c r="B142" s="20" t="s">
        <v>35</v>
      </c>
      <c r="C142" s="15">
        <v>0.4368</v>
      </c>
      <c r="D142" s="15">
        <v>5698</v>
      </c>
      <c r="E142" s="15">
        <v>2488.8864</v>
      </c>
      <c r="F142" s="15">
        <f t="shared" si="44"/>
        <v>3209.1136</v>
      </c>
      <c r="G142" s="15">
        <v>8022.75</v>
      </c>
      <c r="H142" s="15">
        <v>2890.01</v>
      </c>
      <c r="I142" s="15">
        <f t="shared" si="34"/>
        <v>19967713.3656</v>
      </c>
      <c r="J142" s="15">
        <f t="shared" si="35"/>
        <v>9274370.395136</v>
      </c>
      <c r="K142" s="15">
        <f t="shared" si="36"/>
        <v>29242083.760736</v>
      </c>
      <c r="L142" s="15">
        <f t="shared" si="37"/>
        <v>0.682841671919807</v>
      </c>
      <c r="M142" s="15">
        <f t="shared" si="38"/>
        <v>0.317158328080193</v>
      </c>
      <c r="N142" s="15">
        <f t="shared" si="39"/>
        <v>0.4368</v>
      </c>
      <c r="O142" s="15">
        <f t="shared" si="40"/>
        <v>0.5632</v>
      </c>
      <c r="P142" s="15">
        <f t="shared" si="41"/>
        <v>1.56328221593362</v>
      </c>
      <c r="Q142" s="15">
        <f t="shared" si="42"/>
        <v>0.563136235937843</v>
      </c>
      <c r="R142" s="23">
        <f t="shared" si="43"/>
        <v>0.122962189163051</v>
      </c>
      <c r="S142" s="24"/>
    </row>
    <row r="143" s="3" customFormat="1" spans="1:19">
      <c r="A143" s="15">
        <v>2004</v>
      </c>
      <c r="B143" s="20" t="s">
        <v>36</v>
      </c>
      <c r="C143" s="15">
        <v>0.355</v>
      </c>
      <c r="D143" s="15">
        <v>6698</v>
      </c>
      <c r="E143" s="15">
        <v>2377.79</v>
      </c>
      <c r="F143" s="15">
        <f t="shared" si="44"/>
        <v>4320.21</v>
      </c>
      <c r="G143" s="15">
        <v>8617.48</v>
      </c>
      <c r="H143" s="15">
        <v>2837.76</v>
      </c>
      <c r="I143" s="15">
        <f t="shared" si="34"/>
        <v>20490557.7692</v>
      </c>
      <c r="J143" s="15">
        <f t="shared" si="35"/>
        <v>12259719.1296</v>
      </c>
      <c r="K143" s="15">
        <f t="shared" si="36"/>
        <v>32750276.8988</v>
      </c>
      <c r="L143" s="15">
        <f t="shared" si="37"/>
        <v>0.625660596168907</v>
      </c>
      <c r="M143" s="15">
        <f t="shared" si="38"/>
        <v>0.374339403831093</v>
      </c>
      <c r="N143" s="15">
        <f t="shared" si="39"/>
        <v>0.355</v>
      </c>
      <c r="O143" s="15">
        <f t="shared" si="40"/>
        <v>0.645</v>
      </c>
      <c r="P143" s="15">
        <f t="shared" si="41"/>
        <v>1.7624242145603</v>
      </c>
      <c r="Q143" s="15">
        <f t="shared" si="42"/>
        <v>0.580371168730376</v>
      </c>
      <c r="R143" s="23">
        <f t="shared" si="43"/>
        <v>0.150882397692121</v>
      </c>
      <c r="S143" s="24"/>
    </row>
    <row r="144" s="3" customFormat="1" spans="1:19">
      <c r="A144" s="15">
        <v>2004</v>
      </c>
      <c r="B144" s="20" t="s">
        <v>37</v>
      </c>
      <c r="C144" s="15">
        <v>0.596</v>
      </c>
      <c r="D144" s="15">
        <v>9111</v>
      </c>
      <c r="E144" s="15">
        <v>5430.156</v>
      </c>
      <c r="F144" s="15">
        <f t="shared" si="44"/>
        <v>3680.844</v>
      </c>
      <c r="G144" s="15">
        <v>13627.65</v>
      </c>
      <c r="H144" s="15">
        <v>4365.87</v>
      </c>
      <c r="I144" s="15">
        <f t="shared" si="34"/>
        <v>74000265.4134</v>
      </c>
      <c r="J144" s="15">
        <f t="shared" si="35"/>
        <v>16070086.39428</v>
      </c>
      <c r="K144" s="15">
        <f t="shared" si="36"/>
        <v>90070351.80768</v>
      </c>
      <c r="L144" s="15">
        <f t="shared" si="37"/>
        <v>0.821582950751728</v>
      </c>
      <c r="M144" s="15">
        <f t="shared" si="38"/>
        <v>0.178417049248272</v>
      </c>
      <c r="N144" s="15">
        <f t="shared" si="39"/>
        <v>0.596</v>
      </c>
      <c r="O144" s="15">
        <f t="shared" si="40"/>
        <v>0.404</v>
      </c>
      <c r="P144" s="15">
        <f t="shared" si="41"/>
        <v>1.37849488381162</v>
      </c>
      <c r="Q144" s="15">
        <f t="shared" si="42"/>
        <v>0.441626359525425</v>
      </c>
      <c r="R144" s="23">
        <f t="shared" si="43"/>
        <v>0.117903086235713</v>
      </c>
      <c r="S144" s="24"/>
    </row>
    <row r="145" s="3" customFormat="1" spans="1:19">
      <c r="A145" s="15">
        <v>2004</v>
      </c>
      <c r="B145" s="20" t="s">
        <v>38</v>
      </c>
      <c r="C145" s="15">
        <v>0.3194</v>
      </c>
      <c r="D145" s="15">
        <v>4889</v>
      </c>
      <c r="E145" s="15">
        <v>1561.5466</v>
      </c>
      <c r="F145" s="15">
        <f t="shared" si="44"/>
        <v>3327.4534</v>
      </c>
      <c r="G145" s="15">
        <v>8689.99</v>
      </c>
      <c r="H145" s="15">
        <v>2305.22</v>
      </c>
      <c r="I145" s="15">
        <f t="shared" si="34"/>
        <v>13569824.338534</v>
      </c>
      <c r="J145" s="15">
        <f t="shared" si="35"/>
        <v>7670512.126748</v>
      </c>
      <c r="K145" s="15">
        <f t="shared" si="36"/>
        <v>21240336.465282</v>
      </c>
      <c r="L145" s="15">
        <f t="shared" si="37"/>
        <v>0.638870498154034</v>
      </c>
      <c r="M145" s="15">
        <f t="shared" si="38"/>
        <v>0.361129501845966</v>
      </c>
      <c r="N145" s="15">
        <f t="shared" si="39"/>
        <v>0.3194</v>
      </c>
      <c r="O145" s="15">
        <f t="shared" si="40"/>
        <v>0.6806</v>
      </c>
      <c r="P145" s="15">
        <f t="shared" si="41"/>
        <v>2.00022072058245</v>
      </c>
      <c r="Q145" s="15">
        <f t="shared" si="42"/>
        <v>0.530604616288519</v>
      </c>
      <c r="R145" s="23">
        <f t="shared" si="43"/>
        <v>0.214040248799178</v>
      </c>
      <c r="S145" s="24"/>
    </row>
    <row r="146" s="3" customFormat="1" spans="1:19">
      <c r="A146" s="15">
        <v>2004</v>
      </c>
      <c r="B146" s="20" t="s">
        <v>39</v>
      </c>
      <c r="C146" s="15">
        <v>0.4451</v>
      </c>
      <c r="D146" s="15">
        <v>818</v>
      </c>
      <c r="E146" s="15">
        <v>364.0918</v>
      </c>
      <c r="F146" s="15">
        <f t="shared" si="44"/>
        <v>453.9082</v>
      </c>
      <c r="G146" s="15">
        <v>7735.78</v>
      </c>
      <c r="H146" s="15">
        <v>2817.62</v>
      </c>
      <c r="I146" s="15">
        <f t="shared" si="34"/>
        <v>2816534.064604</v>
      </c>
      <c r="J146" s="15">
        <f t="shared" si="35"/>
        <v>1278940.822484</v>
      </c>
      <c r="K146" s="15">
        <f t="shared" si="36"/>
        <v>4095474.887088</v>
      </c>
      <c r="L146" s="15">
        <f t="shared" si="37"/>
        <v>0.687718553343795</v>
      </c>
      <c r="M146" s="15">
        <f t="shared" si="38"/>
        <v>0.312281446656205</v>
      </c>
      <c r="N146" s="15">
        <f t="shared" si="39"/>
        <v>0.4451</v>
      </c>
      <c r="O146" s="15">
        <f t="shared" si="40"/>
        <v>0.5549</v>
      </c>
      <c r="P146" s="15">
        <f t="shared" si="41"/>
        <v>1.54508774060614</v>
      </c>
      <c r="Q146" s="15">
        <f t="shared" si="42"/>
        <v>0.562770673375753</v>
      </c>
      <c r="R146" s="23">
        <f t="shared" si="43"/>
        <v>0.119687754011271</v>
      </c>
      <c r="S146" s="24"/>
    </row>
    <row r="147" s="3" customFormat="1" spans="1:19">
      <c r="A147" s="15">
        <v>2004</v>
      </c>
      <c r="B147" s="20" t="s">
        <v>40</v>
      </c>
      <c r="C147" s="15">
        <v>0.435</v>
      </c>
      <c r="D147" s="15">
        <v>2793</v>
      </c>
      <c r="E147" s="15">
        <v>1214.955</v>
      </c>
      <c r="F147" s="15">
        <f t="shared" si="44"/>
        <v>1578.045</v>
      </c>
      <c r="G147" s="15">
        <v>9220.96</v>
      </c>
      <c r="H147" s="15">
        <v>2510.41</v>
      </c>
      <c r="I147" s="15">
        <f t="shared" si="34"/>
        <v>11203051.4568</v>
      </c>
      <c r="J147" s="15">
        <f t="shared" si="35"/>
        <v>3961539.94845</v>
      </c>
      <c r="K147" s="15">
        <f t="shared" si="36"/>
        <v>15164591.40525</v>
      </c>
      <c r="L147" s="15">
        <f t="shared" si="37"/>
        <v>0.738763818781262</v>
      </c>
      <c r="M147" s="15">
        <f t="shared" si="38"/>
        <v>0.261236181218738</v>
      </c>
      <c r="N147" s="15">
        <f t="shared" si="39"/>
        <v>0.435</v>
      </c>
      <c r="O147" s="15">
        <f t="shared" si="40"/>
        <v>0.565</v>
      </c>
      <c r="P147" s="15">
        <f t="shared" si="41"/>
        <v>1.69830762938221</v>
      </c>
      <c r="Q147" s="15">
        <f t="shared" si="42"/>
        <v>0.46236492251104</v>
      </c>
      <c r="R147" s="23">
        <f t="shared" si="43"/>
        <v>0.189755332966642</v>
      </c>
      <c r="S147" s="24"/>
    </row>
    <row r="148" s="3" customFormat="1" spans="1:19">
      <c r="A148" s="15">
        <v>2004</v>
      </c>
      <c r="B148" s="20" t="s">
        <v>41</v>
      </c>
      <c r="C148" s="15">
        <v>0.3525</v>
      </c>
      <c r="D148" s="15">
        <v>8090</v>
      </c>
      <c r="E148" s="15">
        <v>2851.725</v>
      </c>
      <c r="F148" s="15">
        <f t="shared" si="44"/>
        <v>5238.275</v>
      </c>
      <c r="G148" s="15">
        <v>7709.87</v>
      </c>
      <c r="H148" s="15">
        <v>2518.93</v>
      </c>
      <c r="I148" s="15">
        <f t="shared" si="34"/>
        <v>21986429.02575</v>
      </c>
      <c r="J148" s="15">
        <f t="shared" si="35"/>
        <v>13194848.04575</v>
      </c>
      <c r="K148" s="15">
        <f t="shared" si="36"/>
        <v>35181277.0715</v>
      </c>
      <c r="L148" s="15">
        <f t="shared" si="37"/>
        <v>0.624946871060601</v>
      </c>
      <c r="M148" s="15">
        <f t="shared" si="38"/>
        <v>0.375053128939399</v>
      </c>
      <c r="N148" s="15">
        <f t="shared" si="39"/>
        <v>0.3525</v>
      </c>
      <c r="O148" s="15">
        <f t="shared" si="40"/>
        <v>0.6475</v>
      </c>
      <c r="P148" s="15">
        <f t="shared" si="41"/>
        <v>1.77289892499461</v>
      </c>
      <c r="Q148" s="15">
        <f t="shared" si="42"/>
        <v>0.579232631566639</v>
      </c>
      <c r="R148" s="23">
        <f t="shared" si="43"/>
        <v>0.153056414707298</v>
      </c>
      <c r="S148" s="24"/>
    </row>
    <row r="149" s="3" customFormat="1" spans="1:19">
      <c r="A149" s="15">
        <v>2004</v>
      </c>
      <c r="B149" s="20" t="s">
        <v>42</v>
      </c>
      <c r="C149" s="15">
        <v>0.2628</v>
      </c>
      <c r="D149" s="15">
        <v>3904</v>
      </c>
      <c r="E149" s="15">
        <v>1025.9712</v>
      </c>
      <c r="F149" s="15">
        <f t="shared" si="44"/>
        <v>2878.0288</v>
      </c>
      <c r="G149" s="15">
        <v>7322.05</v>
      </c>
      <c r="H149" s="15">
        <v>1721.55</v>
      </c>
      <c r="I149" s="15">
        <f t="shared" si="34"/>
        <v>7512212.42496</v>
      </c>
      <c r="J149" s="15">
        <f t="shared" si="35"/>
        <v>4954670.48064</v>
      </c>
      <c r="K149" s="15">
        <f t="shared" si="36"/>
        <v>12466882.9056</v>
      </c>
      <c r="L149" s="15">
        <f t="shared" si="37"/>
        <v>0.602573432496554</v>
      </c>
      <c r="M149" s="15">
        <f t="shared" si="38"/>
        <v>0.397426567503446</v>
      </c>
      <c r="N149" s="15">
        <f t="shared" si="39"/>
        <v>0.2628</v>
      </c>
      <c r="O149" s="15">
        <f t="shared" si="40"/>
        <v>0.7372</v>
      </c>
      <c r="P149" s="15">
        <f t="shared" si="41"/>
        <v>2.29289738392905</v>
      </c>
      <c r="Q149" s="15">
        <f t="shared" si="42"/>
        <v>0.539102777405652</v>
      </c>
      <c r="R149" s="23">
        <f t="shared" si="43"/>
        <v>0.254475601666826</v>
      </c>
      <c r="S149" s="24"/>
    </row>
    <row r="150" s="3" customFormat="1" spans="1:19">
      <c r="A150" s="15">
        <v>2004</v>
      </c>
      <c r="B150" s="20" t="s">
        <v>43</v>
      </c>
      <c r="C150" s="15">
        <v>0.281</v>
      </c>
      <c r="D150" s="15">
        <v>4415</v>
      </c>
      <c r="E150" s="15">
        <v>1240.615</v>
      </c>
      <c r="F150" s="15">
        <f t="shared" si="44"/>
        <v>3174.385</v>
      </c>
      <c r="G150" s="15">
        <v>8870.88</v>
      </c>
      <c r="H150" s="15">
        <v>1864.19</v>
      </c>
      <c r="I150" s="15">
        <f t="shared" si="34"/>
        <v>11005346.7912</v>
      </c>
      <c r="J150" s="15">
        <f t="shared" si="35"/>
        <v>5917656.77315</v>
      </c>
      <c r="K150" s="15">
        <f t="shared" si="36"/>
        <v>16923003.56435</v>
      </c>
      <c r="L150" s="15">
        <f t="shared" si="37"/>
        <v>0.650318765776535</v>
      </c>
      <c r="M150" s="15">
        <f t="shared" si="38"/>
        <v>0.349681234223465</v>
      </c>
      <c r="N150" s="15">
        <f t="shared" si="39"/>
        <v>0.281</v>
      </c>
      <c r="O150" s="15">
        <f t="shared" si="40"/>
        <v>0.719</v>
      </c>
      <c r="P150" s="15">
        <f t="shared" si="41"/>
        <v>2.31430165756774</v>
      </c>
      <c r="Q150" s="15">
        <f t="shared" si="42"/>
        <v>0.4863438584471</v>
      </c>
      <c r="R150" s="23">
        <f t="shared" si="43"/>
        <v>0.293623664124817</v>
      </c>
      <c r="S150" s="24"/>
    </row>
    <row r="151" s="3" customFormat="1" spans="1:19">
      <c r="A151" s="15">
        <v>2004</v>
      </c>
      <c r="B151" s="20" t="s">
        <v>44</v>
      </c>
      <c r="C151" s="15">
        <v>0.18394</v>
      </c>
      <c r="D151" s="15">
        <v>276</v>
      </c>
      <c r="E151" s="15">
        <v>50.4</v>
      </c>
      <c r="F151" s="15">
        <f t="shared" si="44"/>
        <v>225.6</v>
      </c>
      <c r="G151" s="15">
        <v>9106.07</v>
      </c>
      <c r="H151" s="15">
        <v>1861.31</v>
      </c>
      <c r="I151" s="15">
        <f t="shared" si="34"/>
        <v>458945.928</v>
      </c>
      <c r="J151" s="15">
        <f t="shared" si="35"/>
        <v>419911.536</v>
      </c>
      <c r="K151" s="15">
        <f t="shared" si="36"/>
        <v>878857.464</v>
      </c>
      <c r="L151" s="15">
        <f t="shared" si="37"/>
        <v>0.522207464576986</v>
      </c>
      <c r="M151" s="15">
        <f t="shared" si="38"/>
        <v>0.477792535423014</v>
      </c>
      <c r="N151" s="15">
        <f t="shared" si="39"/>
        <v>0.18394</v>
      </c>
      <c r="O151" s="15">
        <f t="shared" si="40"/>
        <v>0.817391304347826</v>
      </c>
      <c r="P151" s="15">
        <f t="shared" si="41"/>
        <v>2.83900981068276</v>
      </c>
      <c r="Q151" s="15">
        <f t="shared" si="42"/>
        <v>0.58453342099624</v>
      </c>
      <c r="R151" s="23">
        <f t="shared" si="43"/>
        <v>0.288353608834167</v>
      </c>
      <c r="S151" s="24"/>
    </row>
    <row r="152" spans="1:18">
      <c r="A152" s="6">
        <v>2004</v>
      </c>
      <c r="B152" s="19" t="s">
        <v>45</v>
      </c>
      <c r="C152" s="15">
        <v>0.3641</v>
      </c>
      <c r="D152" s="15">
        <v>3681</v>
      </c>
      <c r="E152" s="6">
        <v>1340.2521</v>
      </c>
      <c r="F152" s="6">
        <f t="shared" si="44"/>
        <v>2340.7479</v>
      </c>
      <c r="G152" s="6">
        <v>7492.47</v>
      </c>
      <c r="H152" s="15">
        <v>1866.52</v>
      </c>
      <c r="I152" s="15">
        <f t="shared" si="34"/>
        <v>10041798.651687</v>
      </c>
      <c r="J152" s="15">
        <f t="shared" si="35"/>
        <v>4369052.770308</v>
      </c>
      <c r="K152" s="15">
        <f t="shared" si="36"/>
        <v>14410851.421995</v>
      </c>
      <c r="L152" s="15">
        <f t="shared" si="37"/>
        <v>0.696822023739721</v>
      </c>
      <c r="M152" s="15">
        <f t="shared" si="38"/>
        <v>0.303177976260278</v>
      </c>
      <c r="N152" s="15">
        <f t="shared" si="39"/>
        <v>0.3641</v>
      </c>
      <c r="O152" s="15">
        <f t="shared" si="40"/>
        <v>0.6359</v>
      </c>
      <c r="P152" s="15">
        <f t="shared" si="41"/>
        <v>1.91382044421786</v>
      </c>
      <c r="Q152" s="15">
        <f t="shared" si="42"/>
        <v>0.476769895046829</v>
      </c>
      <c r="R152" s="7">
        <f t="shared" si="43"/>
        <v>0.227737818533973</v>
      </c>
    </row>
    <row r="153" spans="1:18">
      <c r="A153" s="15">
        <v>2004</v>
      </c>
      <c r="B153" s="19" t="s">
        <v>46</v>
      </c>
      <c r="C153" s="15">
        <v>0.2861</v>
      </c>
      <c r="D153" s="15">
        <v>2541</v>
      </c>
      <c r="E153" s="6">
        <v>726.9801</v>
      </c>
      <c r="F153" s="6">
        <f t="shared" si="44"/>
        <v>1814.0199</v>
      </c>
      <c r="G153" s="6">
        <v>7376.74</v>
      </c>
      <c r="H153" s="15">
        <v>1852.22</v>
      </c>
      <c r="I153" s="15">
        <f t="shared" si="34"/>
        <v>5362743.182874</v>
      </c>
      <c r="J153" s="15">
        <f t="shared" si="35"/>
        <v>3359963.939178</v>
      </c>
      <c r="K153" s="15">
        <f t="shared" si="36"/>
        <v>8722707.122052</v>
      </c>
      <c r="L153" s="15">
        <f t="shared" si="37"/>
        <v>0.614802618938835</v>
      </c>
      <c r="M153" s="15">
        <f t="shared" si="38"/>
        <v>0.385197381061165</v>
      </c>
      <c r="N153" s="15">
        <f t="shared" si="39"/>
        <v>0.2861</v>
      </c>
      <c r="O153" s="15">
        <f t="shared" si="40"/>
        <v>0.7139</v>
      </c>
      <c r="P153" s="15">
        <f t="shared" si="41"/>
        <v>2.14890814029652</v>
      </c>
      <c r="Q153" s="15">
        <f t="shared" si="42"/>
        <v>0.539567700043654</v>
      </c>
      <c r="R153" s="7">
        <f t="shared" si="43"/>
        <v>0.232637549808391</v>
      </c>
    </row>
    <row r="154" spans="1:18">
      <c r="A154" s="6">
        <v>2004</v>
      </c>
      <c r="B154" s="19" t="s">
        <v>47</v>
      </c>
      <c r="C154" s="15">
        <v>0.3859</v>
      </c>
      <c r="D154" s="15">
        <v>539</v>
      </c>
      <c r="E154" s="6">
        <v>208.0001</v>
      </c>
      <c r="F154" s="6">
        <f t="shared" si="44"/>
        <v>330.9999</v>
      </c>
      <c r="G154" s="6">
        <v>7319.67</v>
      </c>
      <c r="H154" s="15">
        <v>1957.65</v>
      </c>
      <c r="I154" s="15">
        <f t="shared" si="34"/>
        <v>1522492.091967</v>
      </c>
      <c r="J154" s="15">
        <f t="shared" si="35"/>
        <v>647981.954235</v>
      </c>
      <c r="K154" s="15">
        <f t="shared" si="36"/>
        <v>2170474.046202</v>
      </c>
      <c r="L154" s="15">
        <f t="shared" si="37"/>
        <v>0.701456022766607</v>
      </c>
      <c r="M154" s="15">
        <f t="shared" si="38"/>
        <v>0.298543977233393</v>
      </c>
      <c r="N154" s="15">
        <f t="shared" si="39"/>
        <v>0.3859</v>
      </c>
      <c r="O154" s="15">
        <f t="shared" si="40"/>
        <v>0.6141</v>
      </c>
      <c r="P154" s="15">
        <f t="shared" si="41"/>
        <v>1.81771449278727</v>
      </c>
      <c r="Q154" s="15">
        <f t="shared" si="42"/>
        <v>0.486148798621385</v>
      </c>
      <c r="R154" s="7">
        <f t="shared" si="43"/>
        <v>0.203854030174322</v>
      </c>
    </row>
    <row r="155" spans="1:18">
      <c r="A155" s="15">
        <v>2004</v>
      </c>
      <c r="B155" s="19" t="s">
        <v>48</v>
      </c>
      <c r="C155" s="15">
        <v>0.406</v>
      </c>
      <c r="D155" s="15">
        <v>588</v>
      </c>
      <c r="E155" s="6">
        <v>238.728</v>
      </c>
      <c r="F155" s="6">
        <f t="shared" si="44"/>
        <v>349.272</v>
      </c>
      <c r="G155" s="6">
        <v>7217.87</v>
      </c>
      <c r="H155" s="15">
        <v>2320.05</v>
      </c>
      <c r="I155" s="15">
        <f t="shared" si="34"/>
        <v>1723107.66936</v>
      </c>
      <c r="J155" s="15">
        <f t="shared" si="35"/>
        <v>810328.5036</v>
      </c>
      <c r="K155" s="15">
        <f t="shared" si="36"/>
        <v>2533436.17296</v>
      </c>
      <c r="L155" s="15">
        <f t="shared" si="37"/>
        <v>0.680146469743805</v>
      </c>
      <c r="M155" s="15">
        <f t="shared" si="38"/>
        <v>0.319853530256195</v>
      </c>
      <c r="N155" s="15">
        <f t="shared" si="39"/>
        <v>0.406</v>
      </c>
      <c r="O155" s="15">
        <f t="shared" si="40"/>
        <v>0.594</v>
      </c>
      <c r="P155" s="15">
        <f t="shared" si="41"/>
        <v>1.67523761020642</v>
      </c>
      <c r="Q155" s="15">
        <f t="shared" si="42"/>
        <v>0.538473956660261</v>
      </c>
      <c r="R155" s="7">
        <f t="shared" si="43"/>
        <v>0.152930480315846</v>
      </c>
    </row>
    <row r="156" spans="1:18">
      <c r="A156" s="6">
        <v>2004</v>
      </c>
      <c r="B156" s="19" t="s">
        <v>49</v>
      </c>
      <c r="C156" s="15">
        <v>0.3516</v>
      </c>
      <c r="D156" s="15">
        <v>1963</v>
      </c>
      <c r="E156" s="6">
        <v>690.1908</v>
      </c>
      <c r="F156" s="6">
        <f t="shared" si="44"/>
        <v>1272.8092</v>
      </c>
      <c r="G156" s="6">
        <v>7503.42</v>
      </c>
      <c r="H156" s="15">
        <v>2244.93</v>
      </c>
      <c r="I156" s="15">
        <f t="shared" si="34"/>
        <v>5178791.452536</v>
      </c>
      <c r="J156" s="15">
        <f t="shared" si="35"/>
        <v>2857367.557356</v>
      </c>
      <c r="K156" s="15">
        <f t="shared" si="36"/>
        <v>8036159.009892</v>
      </c>
      <c r="L156" s="15">
        <f t="shared" si="37"/>
        <v>0.644436159882008</v>
      </c>
      <c r="M156" s="15">
        <f t="shared" si="38"/>
        <v>0.355563840117992</v>
      </c>
      <c r="N156" s="15">
        <f t="shared" si="39"/>
        <v>0.3516</v>
      </c>
      <c r="O156" s="15">
        <f t="shared" si="40"/>
        <v>0.6484</v>
      </c>
      <c r="P156" s="15">
        <f t="shared" si="41"/>
        <v>1.83286734892494</v>
      </c>
      <c r="Q156" s="15">
        <f t="shared" si="42"/>
        <v>0.548371129114732</v>
      </c>
      <c r="R156" s="7">
        <f t="shared" si="43"/>
        <v>0.176828196189233</v>
      </c>
    </row>
    <row r="157" spans="1:18">
      <c r="A157" s="6">
        <v>2005</v>
      </c>
      <c r="B157" s="19" t="s">
        <v>19</v>
      </c>
      <c r="C157" s="6">
        <v>0.8362</v>
      </c>
      <c r="D157" s="6">
        <v>1538</v>
      </c>
      <c r="E157" s="6">
        <v>1286.0756</v>
      </c>
      <c r="F157" s="6">
        <f t="shared" si="44"/>
        <v>251.9244</v>
      </c>
      <c r="G157" s="6">
        <v>17652.95</v>
      </c>
      <c r="H157" s="6">
        <v>7346.25917615576</v>
      </c>
      <c r="I157" s="15">
        <f t="shared" si="34"/>
        <v>22703028.26302</v>
      </c>
      <c r="J157" s="15">
        <f t="shared" si="35"/>
        <v>1850701.93519753</v>
      </c>
      <c r="K157" s="15">
        <f t="shared" si="36"/>
        <v>24553730.1982175</v>
      </c>
      <c r="L157" s="15">
        <f t="shared" si="37"/>
        <v>0.924626444932922</v>
      </c>
      <c r="M157" s="15">
        <f t="shared" si="38"/>
        <v>0.0753735550670784</v>
      </c>
      <c r="N157" s="15">
        <f t="shared" si="39"/>
        <v>0.8362</v>
      </c>
      <c r="O157" s="15">
        <f t="shared" si="40"/>
        <v>0.1638</v>
      </c>
      <c r="P157" s="15">
        <f t="shared" si="41"/>
        <v>1.10574796093389</v>
      </c>
      <c r="Q157" s="15">
        <f t="shared" si="42"/>
        <v>0.460156013840527</v>
      </c>
      <c r="R157" s="7">
        <f t="shared" si="43"/>
        <v>0.0344411176031096</v>
      </c>
    </row>
    <row r="158" spans="1:18">
      <c r="A158" s="6">
        <v>2005</v>
      </c>
      <c r="B158" s="19" t="s">
        <v>20</v>
      </c>
      <c r="C158" s="6">
        <v>0.7511</v>
      </c>
      <c r="D158" s="6">
        <v>1043</v>
      </c>
      <c r="E158" s="6">
        <v>783.3973</v>
      </c>
      <c r="F158" s="6">
        <f t="shared" si="44"/>
        <v>259.6027</v>
      </c>
      <c r="G158" s="6">
        <v>12638.55</v>
      </c>
      <c r="H158" s="6">
        <v>5579.8702643663</v>
      </c>
      <c r="I158" s="15">
        <f t="shared" si="34"/>
        <v>9901005.945915</v>
      </c>
      <c r="J158" s="15">
        <f t="shared" si="35"/>
        <v>1448549.38627921</v>
      </c>
      <c r="K158" s="15">
        <f t="shared" si="36"/>
        <v>11349555.3321942</v>
      </c>
      <c r="L158" s="15">
        <f t="shared" si="37"/>
        <v>0.872369503131965</v>
      </c>
      <c r="M158" s="15">
        <f t="shared" si="38"/>
        <v>0.127630496868035</v>
      </c>
      <c r="N158" s="15">
        <f t="shared" si="39"/>
        <v>0.7511</v>
      </c>
      <c r="O158" s="15">
        <f t="shared" si="40"/>
        <v>0.2489</v>
      </c>
      <c r="P158" s="15">
        <f t="shared" si="41"/>
        <v>1.16145586890156</v>
      </c>
      <c r="Q158" s="15">
        <f t="shared" si="42"/>
        <v>0.512778211603195</v>
      </c>
      <c r="R158" s="7">
        <f t="shared" si="43"/>
        <v>0.0453253521869993</v>
      </c>
    </row>
    <row r="159" spans="1:18">
      <c r="A159" s="6">
        <v>2005</v>
      </c>
      <c r="B159" s="19" t="s">
        <v>21</v>
      </c>
      <c r="C159" s="6">
        <v>0.3769</v>
      </c>
      <c r="D159" s="6">
        <v>6851</v>
      </c>
      <c r="E159" s="6">
        <v>2582.1419</v>
      </c>
      <c r="F159" s="6">
        <f t="shared" si="44"/>
        <v>4268.8581</v>
      </c>
      <c r="G159" s="6">
        <v>9107.09</v>
      </c>
      <c r="H159" s="6">
        <v>3481.63786256699</v>
      </c>
      <c r="I159" s="15">
        <f t="shared" si="34"/>
        <v>23515798.676071</v>
      </c>
      <c r="J159" s="15">
        <f t="shared" si="35"/>
        <v>14862617.9908858</v>
      </c>
      <c r="K159" s="15">
        <f t="shared" si="36"/>
        <v>38378416.6669568</v>
      </c>
      <c r="L159" s="15">
        <f t="shared" si="37"/>
        <v>0.612734988004801</v>
      </c>
      <c r="M159" s="15">
        <f t="shared" si="38"/>
        <v>0.387265011995199</v>
      </c>
      <c r="N159" s="15">
        <f t="shared" si="39"/>
        <v>0.3769</v>
      </c>
      <c r="O159" s="15">
        <f t="shared" si="40"/>
        <v>0.6231</v>
      </c>
      <c r="P159" s="15">
        <f t="shared" si="41"/>
        <v>1.62572297162324</v>
      </c>
      <c r="Q159" s="15">
        <f t="shared" si="42"/>
        <v>0.621513419989086</v>
      </c>
      <c r="R159" s="7">
        <f t="shared" si="43"/>
        <v>0.113577796110433</v>
      </c>
    </row>
    <row r="160" spans="1:18">
      <c r="A160" s="6">
        <v>2005</v>
      </c>
      <c r="B160" s="19" t="s">
        <v>22</v>
      </c>
      <c r="C160" s="6">
        <v>0.4211</v>
      </c>
      <c r="D160" s="6">
        <v>3355</v>
      </c>
      <c r="E160" s="6">
        <v>1412.7905</v>
      </c>
      <c r="F160" s="6">
        <f t="shared" si="44"/>
        <v>1942.2095</v>
      </c>
      <c r="G160" s="6">
        <v>8913.91</v>
      </c>
      <c r="H160" s="6">
        <v>2890.65613502132</v>
      </c>
      <c r="I160" s="15">
        <f t="shared" ref="I160:I223" si="45">E160*G160</f>
        <v>12593487.365855</v>
      </c>
      <c r="J160" s="15">
        <f t="shared" ref="J160:J223" si="46">F160*H160</f>
        <v>5614259.80667169</v>
      </c>
      <c r="K160" s="15">
        <f t="shared" ref="K160:K223" si="47">I160+J160</f>
        <v>18207747.1725267</v>
      </c>
      <c r="L160" s="15">
        <f t="shared" ref="L160:L223" si="48">I160/K160</f>
        <v>0.691655439112043</v>
      </c>
      <c r="M160" s="15">
        <f t="shared" ref="M160:M223" si="49">J160/K160</f>
        <v>0.308344560887957</v>
      </c>
      <c r="N160" s="15">
        <f t="shared" ref="N160:N223" si="50">C160</f>
        <v>0.4211</v>
      </c>
      <c r="O160" s="15">
        <f t="shared" ref="O160:O223" si="51">F160/D160</f>
        <v>0.5789</v>
      </c>
      <c r="P160" s="15">
        <f t="shared" ref="P160:P223" si="52">(L160/N160)</f>
        <v>1.64249688699131</v>
      </c>
      <c r="Q160" s="15">
        <f t="shared" ref="Q160:Q223" si="53">M160/O160</f>
        <v>0.532638730157121</v>
      </c>
      <c r="R160" s="7">
        <f t="shared" ref="R160:R223" si="54">L160*LN(P160)+M160*LN(Q160)</f>
        <v>0.148981680606767</v>
      </c>
    </row>
    <row r="161" spans="1:18">
      <c r="A161" s="6">
        <v>2005</v>
      </c>
      <c r="B161" s="19" t="s">
        <v>23</v>
      </c>
      <c r="C161" s="6">
        <v>0.472</v>
      </c>
      <c r="D161" s="6">
        <v>2403</v>
      </c>
      <c r="E161" s="6">
        <v>1134.216</v>
      </c>
      <c r="F161" s="6">
        <f t="shared" si="44"/>
        <v>1268.784</v>
      </c>
      <c r="G161" s="6">
        <v>9136.79</v>
      </c>
      <c r="H161" s="6">
        <v>2988.86971229822</v>
      </c>
      <c r="I161" s="15">
        <f t="shared" si="45"/>
        <v>10363093.40664</v>
      </c>
      <c r="J161" s="15">
        <f t="shared" si="46"/>
        <v>3792230.06904858</v>
      </c>
      <c r="K161" s="15">
        <f t="shared" si="47"/>
        <v>14155323.4756886</v>
      </c>
      <c r="L161" s="15">
        <f t="shared" si="48"/>
        <v>0.732098664113071</v>
      </c>
      <c r="M161" s="15">
        <f t="shared" si="49"/>
        <v>0.267901335886929</v>
      </c>
      <c r="N161" s="15">
        <f t="shared" si="50"/>
        <v>0.472</v>
      </c>
      <c r="O161" s="15">
        <f t="shared" si="51"/>
        <v>0.528</v>
      </c>
      <c r="P161" s="15">
        <f t="shared" si="52"/>
        <v>1.55105649176498</v>
      </c>
      <c r="Q161" s="15">
        <f t="shared" si="53"/>
        <v>0.507388893725245</v>
      </c>
      <c r="R161" s="7">
        <f t="shared" si="54"/>
        <v>0.139579649344094</v>
      </c>
    </row>
    <row r="162" spans="1:18">
      <c r="A162" s="6">
        <v>2005</v>
      </c>
      <c r="B162" s="19" t="s">
        <v>24</v>
      </c>
      <c r="C162" s="6">
        <v>0.587</v>
      </c>
      <c r="D162" s="6">
        <v>4221</v>
      </c>
      <c r="E162" s="6">
        <v>2477.727</v>
      </c>
      <c r="F162" s="6">
        <f t="shared" si="44"/>
        <v>1743.273</v>
      </c>
      <c r="G162" s="6">
        <v>9107.55</v>
      </c>
      <c r="H162" s="6">
        <v>3690.20621706972</v>
      </c>
      <c r="I162" s="15">
        <f t="shared" si="45"/>
        <v>22566022.53885</v>
      </c>
      <c r="J162" s="15">
        <f t="shared" si="46"/>
        <v>6433036.86264978</v>
      </c>
      <c r="K162" s="15">
        <f t="shared" si="47"/>
        <v>28999059.4014998</v>
      </c>
      <c r="L162" s="15">
        <f t="shared" si="48"/>
        <v>0.778163947541103</v>
      </c>
      <c r="M162" s="15">
        <f t="shared" si="49"/>
        <v>0.221836052458897</v>
      </c>
      <c r="N162" s="15">
        <f t="shared" si="50"/>
        <v>0.587</v>
      </c>
      <c r="O162" s="15">
        <f t="shared" si="51"/>
        <v>0.413</v>
      </c>
      <c r="P162" s="15">
        <f t="shared" si="52"/>
        <v>1.32566260228467</v>
      </c>
      <c r="Q162" s="15">
        <f t="shared" si="53"/>
        <v>0.537133298931954</v>
      </c>
      <c r="R162" s="7">
        <f t="shared" si="54"/>
        <v>0.0815009750000916</v>
      </c>
    </row>
    <row r="163" spans="1:18">
      <c r="A163" s="6">
        <v>2005</v>
      </c>
      <c r="B163" s="19" t="s">
        <v>25</v>
      </c>
      <c r="C163" s="6">
        <v>0.5252</v>
      </c>
      <c r="D163" s="6">
        <v>2716</v>
      </c>
      <c r="E163" s="6">
        <v>1426.4432</v>
      </c>
      <c r="F163" s="6">
        <f t="shared" si="44"/>
        <v>1289.5568</v>
      </c>
      <c r="G163" s="6">
        <v>8690.62</v>
      </c>
      <c r="H163" s="6">
        <v>3263.9900303584</v>
      </c>
      <c r="I163" s="15">
        <f t="shared" si="45"/>
        <v>12396675.802784</v>
      </c>
      <c r="J163" s="15">
        <f t="shared" si="46"/>
        <v>4209100.53878088</v>
      </c>
      <c r="K163" s="15">
        <f t="shared" si="47"/>
        <v>16605776.3415649</v>
      </c>
      <c r="L163" s="15">
        <f t="shared" si="48"/>
        <v>0.746527927860539</v>
      </c>
      <c r="M163" s="15">
        <f t="shared" si="49"/>
        <v>0.253472072139461</v>
      </c>
      <c r="N163" s="15">
        <f t="shared" si="50"/>
        <v>0.5252</v>
      </c>
      <c r="O163" s="15">
        <f t="shared" si="51"/>
        <v>0.4748</v>
      </c>
      <c r="P163" s="15">
        <f t="shared" si="52"/>
        <v>1.42141646584261</v>
      </c>
      <c r="Q163" s="15">
        <f t="shared" si="53"/>
        <v>0.533850194059521</v>
      </c>
      <c r="R163" s="7">
        <f t="shared" si="54"/>
        <v>0.103430231409563</v>
      </c>
    </row>
    <row r="164" spans="1:18">
      <c r="A164" s="6">
        <v>2005</v>
      </c>
      <c r="B164" s="19" t="s">
        <v>26</v>
      </c>
      <c r="C164" s="6">
        <v>0.531</v>
      </c>
      <c r="D164" s="6">
        <v>3820</v>
      </c>
      <c r="E164" s="6">
        <v>2028.42</v>
      </c>
      <c r="F164" s="6">
        <f t="shared" si="44"/>
        <v>1791.58</v>
      </c>
      <c r="G164" s="6">
        <v>8272.51</v>
      </c>
      <c r="H164" s="6">
        <v>3221.26893506586</v>
      </c>
      <c r="I164" s="15">
        <f t="shared" si="45"/>
        <v>16780124.7342</v>
      </c>
      <c r="J164" s="15">
        <f t="shared" si="46"/>
        <v>5771160.99868529</v>
      </c>
      <c r="K164" s="15">
        <f t="shared" si="47"/>
        <v>22551285.7328853</v>
      </c>
      <c r="L164" s="15">
        <f t="shared" si="48"/>
        <v>0.744087274355735</v>
      </c>
      <c r="M164" s="15">
        <f t="shared" si="49"/>
        <v>0.255912725644265</v>
      </c>
      <c r="N164" s="15">
        <f t="shared" si="50"/>
        <v>0.531</v>
      </c>
      <c r="O164" s="15">
        <f t="shared" si="51"/>
        <v>0.469</v>
      </c>
      <c r="P164" s="15">
        <f t="shared" si="52"/>
        <v>1.4012943019882</v>
      </c>
      <c r="Q164" s="15">
        <f t="shared" si="53"/>
        <v>0.545656131437665</v>
      </c>
      <c r="R164" s="7">
        <f t="shared" si="54"/>
        <v>0.0960289970869527</v>
      </c>
    </row>
    <row r="165" spans="1:18">
      <c r="A165" s="6">
        <v>2005</v>
      </c>
      <c r="B165" s="19" t="s">
        <v>27</v>
      </c>
      <c r="C165" s="6">
        <v>0.8909</v>
      </c>
      <c r="D165" s="6">
        <v>1890.26</v>
      </c>
      <c r="E165" s="6">
        <v>1684.032634</v>
      </c>
      <c r="F165" s="6">
        <f t="shared" si="44"/>
        <v>206.227366</v>
      </c>
      <c r="G165" s="6">
        <v>18645.03</v>
      </c>
      <c r="H165" s="6">
        <v>8247.77150881439</v>
      </c>
      <c r="I165" s="15">
        <f t="shared" si="45"/>
        <v>31398838.981909</v>
      </c>
      <c r="J165" s="15">
        <f t="shared" si="46"/>
        <v>1700916.19363264</v>
      </c>
      <c r="K165" s="15">
        <f t="shared" si="47"/>
        <v>33099755.1755417</v>
      </c>
      <c r="L165" s="15">
        <f t="shared" si="48"/>
        <v>0.948612423729059</v>
      </c>
      <c r="M165" s="15">
        <f t="shared" si="49"/>
        <v>0.0513875762709415</v>
      </c>
      <c r="N165" s="15">
        <f t="shared" si="50"/>
        <v>0.8909</v>
      </c>
      <c r="O165" s="15">
        <f t="shared" si="51"/>
        <v>0.1091</v>
      </c>
      <c r="P165" s="15">
        <f t="shared" si="52"/>
        <v>1.06477991214397</v>
      </c>
      <c r="Q165" s="15">
        <f t="shared" si="53"/>
        <v>0.471013531356017</v>
      </c>
      <c r="R165" s="7">
        <f t="shared" si="54"/>
        <v>0.0208545356324306</v>
      </c>
    </row>
    <row r="166" spans="1:18">
      <c r="A166" s="6">
        <v>2005</v>
      </c>
      <c r="B166" s="19" t="s">
        <v>28</v>
      </c>
      <c r="C166" s="6">
        <v>0.5011</v>
      </c>
      <c r="D166" s="6">
        <v>7588</v>
      </c>
      <c r="E166" s="6">
        <v>3802.3468</v>
      </c>
      <c r="F166" s="6">
        <f t="shared" si="44"/>
        <v>3785.6532</v>
      </c>
      <c r="G166" s="6">
        <v>12318.57</v>
      </c>
      <c r="H166" s="6">
        <v>5276.28871688939</v>
      </c>
      <c r="I166" s="15">
        <f t="shared" si="45"/>
        <v>46839475.220076</v>
      </c>
      <c r="J166" s="15">
        <f t="shared" si="46"/>
        <v>19974199.2652162</v>
      </c>
      <c r="K166" s="15">
        <f t="shared" si="47"/>
        <v>66813674.4852922</v>
      </c>
      <c r="L166" s="15">
        <f t="shared" si="48"/>
        <v>0.701046239125597</v>
      </c>
      <c r="M166" s="15">
        <f t="shared" si="49"/>
        <v>0.298953760874403</v>
      </c>
      <c r="N166" s="15">
        <f t="shared" si="50"/>
        <v>0.5011</v>
      </c>
      <c r="O166" s="15">
        <f t="shared" si="51"/>
        <v>0.4989</v>
      </c>
      <c r="P166" s="15">
        <f t="shared" si="52"/>
        <v>1.39901464602993</v>
      </c>
      <c r="Q166" s="15">
        <f t="shared" si="53"/>
        <v>0.599225818549614</v>
      </c>
      <c r="R166" s="7">
        <f t="shared" si="54"/>
        <v>0.0822897777687276</v>
      </c>
    </row>
    <row r="167" spans="1:18">
      <c r="A167" s="6">
        <v>2005</v>
      </c>
      <c r="B167" s="19" t="s">
        <v>29</v>
      </c>
      <c r="C167" s="6">
        <v>0.5602</v>
      </c>
      <c r="D167" s="6">
        <v>4990.9</v>
      </c>
      <c r="E167" s="6">
        <v>2795.90218</v>
      </c>
      <c r="F167" s="6">
        <f t="shared" si="44"/>
        <v>2194.99782</v>
      </c>
      <c r="G167" s="6">
        <v>16293.77</v>
      </c>
      <c r="H167" s="6">
        <v>6659.95113541404</v>
      </c>
      <c r="I167" s="15">
        <f t="shared" si="45"/>
        <v>45555787.0634186</v>
      </c>
      <c r="J167" s="15">
        <f t="shared" si="46"/>
        <v>14618578.2235403</v>
      </c>
      <c r="K167" s="15">
        <f t="shared" si="47"/>
        <v>60174365.2869589</v>
      </c>
      <c r="L167" s="15">
        <f t="shared" si="48"/>
        <v>0.757063025861139</v>
      </c>
      <c r="M167" s="15">
        <f t="shared" si="49"/>
        <v>0.242936974138861</v>
      </c>
      <c r="N167" s="15">
        <f t="shared" si="50"/>
        <v>0.5602</v>
      </c>
      <c r="O167" s="15">
        <f t="shared" si="51"/>
        <v>0.4398</v>
      </c>
      <c r="P167" s="15">
        <f t="shared" si="52"/>
        <v>1.35141561203345</v>
      </c>
      <c r="Q167" s="15">
        <f t="shared" si="53"/>
        <v>0.552380568755938</v>
      </c>
      <c r="R167" s="7">
        <f t="shared" si="54"/>
        <v>0.0838040570329256</v>
      </c>
    </row>
    <row r="168" spans="1:18">
      <c r="A168" s="6">
        <v>2005</v>
      </c>
      <c r="B168" s="19" t="s">
        <v>30</v>
      </c>
      <c r="C168" s="6">
        <v>0.355</v>
      </c>
      <c r="D168" s="6">
        <v>6120</v>
      </c>
      <c r="E168" s="6">
        <v>2172.6</v>
      </c>
      <c r="F168" s="6">
        <f t="shared" si="44"/>
        <v>3947.4</v>
      </c>
      <c r="G168" s="6">
        <v>8470.68</v>
      </c>
      <c r="H168" s="6">
        <v>2640.96378876479</v>
      </c>
      <c r="I168" s="15">
        <f t="shared" si="45"/>
        <v>18403399.368</v>
      </c>
      <c r="J168" s="15">
        <f t="shared" si="46"/>
        <v>10424940.4597701</v>
      </c>
      <c r="K168" s="15">
        <f t="shared" si="47"/>
        <v>28828339.8277701</v>
      </c>
      <c r="L168" s="15">
        <f t="shared" si="48"/>
        <v>0.638378743900894</v>
      </c>
      <c r="M168" s="15">
        <f t="shared" si="49"/>
        <v>0.361621256099106</v>
      </c>
      <c r="N168" s="15">
        <f t="shared" si="50"/>
        <v>0.355</v>
      </c>
      <c r="O168" s="15">
        <f t="shared" si="51"/>
        <v>0.645</v>
      </c>
      <c r="P168" s="15">
        <f t="shared" si="52"/>
        <v>1.79824998281942</v>
      </c>
      <c r="Q168" s="15">
        <f t="shared" si="53"/>
        <v>0.560653110231173</v>
      </c>
      <c r="R168" s="7">
        <f t="shared" si="54"/>
        <v>0.165356367912794</v>
      </c>
    </row>
    <row r="169" spans="1:18">
      <c r="A169" s="6">
        <v>2005</v>
      </c>
      <c r="B169" s="19" t="s">
        <v>31</v>
      </c>
      <c r="C169" s="6">
        <v>0.473</v>
      </c>
      <c r="D169" s="6">
        <v>3557.39583333333</v>
      </c>
      <c r="E169" s="6">
        <v>1682.64822916667</v>
      </c>
      <c r="F169" s="6">
        <f t="shared" si="44"/>
        <v>1874.74760416666</v>
      </c>
      <c r="G169" s="6">
        <v>12321.31</v>
      </c>
      <c r="H169" s="6">
        <v>4450.35572172575</v>
      </c>
      <c r="I169" s="15">
        <f t="shared" si="45"/>
        <v>20732430.4525136</v>
      </c>
      <c r="J169" s="15">
        <f t="shared" si="46"/>
        <v>8343293.72699474</v>
      </c>
      <c r="K169" s="15">
        <f t="shared" si="47"/>
        <v>29075724.1795083</v>
      </c>
      <c r="L169" s="15">
        <f t="shared" si="48"/>
        <v>0.713049495328655</v>
      </c>
      <c r="M169" s="15">
        <f t="shared" si="49"/>
        <v>0.286950504671345</v>
      </c>
      <c r="N169" s="15">
        <f t="shared" si="50"/>
        <v>0.473</v>
      </c>
      <c r="O169" s="15">
        <f t="shared" si="51"/>
        <v>0.526999999999999</v>
      </c>
      <c r="P169" s="15">
        <f t="shared" si="52"/>
        <v>1.50750421845382</v>
      </c>
      <c r="Q169" s="15">
        <f t="shared" si="53"/>
        <v>0.544498111330826</v>
      </c>
      <c r="R169" s="7">
        <f t="shared" si="54"/>
        <v>0.118240476648494</v>
      </c>
    </row>
    <row r="170" spans="1:18">
      <c r="A170" s="6">
        <v>2005</v>
      </c>
      <c r="B170" s="19" t="s">
        <v>32</v>
      </c>
      <c r="C170" s="6">
        <v>0.37</v>
      </c>
      <c r="D170" s="6">
        <v>4311</v>
      </c>
      <c r="E170" s="6">
        <v>1595.07</v>
      </c>
      <c r="F170" s="6">
        <f t="shared" si="44"/>
        <v>2715.93</v>
      </c>
      <c r="G170" s="6">
        <v>8619.66</v>
      </c>
      <c r="H170" s="6">
        <v>3128.8877075781</v>
      </c>
      <c r="I170" s="15">
        <f t="shared" si="45"/>
        <v>13748961.0762</v>
      </c>
      <c r="J170" s="15">
        <f t="shared" si="46"/>
        <v>8497839.99164259</v>
      </c>
      <c r="K170" s="15">
        <f t="shared" si="47"/>
        <v>22246801.0678426</v>
      </c>
      <c r="L170" s="15">
        <f t="shared" si="48"/>
        <v>0.618019688955367</v>
      </c>
      <c r="M170" s="15">
        <f t="shared" si="49"/>
        <v>0.381980311044633</v>
      </c>
      <c r="N170" s="15">
        <f t="shared" si="50"/>
        <v>0.37</v>
      </c>
      <c r="O170" s="15">
        <f t="shared" si="51"/>
        <v>0.63</v>
      </c>
      <c r="P170" s="15">
        <f t="shared" si="52"/>
        <v>1.67032348366315</v>
      </c>
      <c r="Q170" s="15">
        <f t="shared" si="53"/>
        <v>0.6063179540391</v>
      </c>
      <c r="R170" s="7">
        <f t="shared" si="54"/>
        <v>0.125930662044362</v>
      </c>
    </row>
    <row r="171" spans="1:18">
      <c r="A171" s="6">
        <v>2005</v>
      </c>
      <c r="B171" s="19" t="s">
        <v>33</v>
      </c>
      <c r="C171" s="6">
        <v>0.45</v>
      </c>
      <c r="D171" s="6">
        <v>9248</v>
      </c>
      <c r="E171" s="6">
        <v>4161.6</v>
      </c>
      <c r="F171" s="6">
        <f t="shared" si="44"/>
        <v>5086.4</v>
      </c>
      <c r="G171" s="6">
        <v>10744.79</v>
      </c>
      <c r="H171" s="6">
        <v>3930.54820895663</v>
      </c>
      <c r="I171" s="15">
        <f t="shared" si="45"/>
        <v>44715518.064</v>
      </c>
      <c r="J171" s="15">
        <f t="shared" si="46"/>
        <v>19992340.410037</v>
      </c>
      <c r="K171" s="15">
        <f t="shared" si="47"/>
        <v>64707858.474037</v>
      </c>
      <c r="L171" s="15">
        <f t="shared" si="48"/>
        <v>0.691036902139814</v>
      </c>
      <c r="M171" s="15">
        <f t="shared" si="49"/>
        <v>0.308963097860187</v>
      </c>
      <c r="N171" s="15">
        <f t="shared" si="50"/>
        <v>0.45</v>
      </c>
      <c r="O171" s="15">
        <f t="shared" si="51"/>
        <v>0.55</v>
      </c>
      <c r="P171" s="15">
        <f t="shared" si="52"/>
        <v>1.5356375603107</v>
      </c>
      <c r="Q171" s="15">
        <f t="shared" si="53"/>
        <v>0.561751087018521</v>
      </c>
      <c r="R171" s="7">
        <f t="shared" si="54"/>
        <v>0.11823935227819</v>
      </c>
    </row>
    <row r="172" spans="1:18">
      <c r="A172" s="6">
        <v>2005</v>
      </c>
      <c r="B172" s="19" t="s">
        <v>34</v>
      </c>
      <c r="C172" s="6">
        <v>0.3065</v>
      </c>
      <c r="D172" s="6">
        <v>9380</v>
      </c>
      <c r="E172" s="6">
        <v>2874.97</v>
      </c>
      <c r="F172" s="6">
        <f t="shared" si="44"/>
        <v>6505.03</v>
      </c>
      <c r="G172" s="6">
        <v>8667.97</v>
      </c>
      <c r="H172" s="6">
        <v>2870.58261084805</v>
      </c>
      <c r="I172" s="15">
        <f t="shared" si="45"/>
        <v>24920153.7109</v>
      </c>
      <c r="J172" s="15">
        <f t="shared" si="46"/>
        <v>18673226.0010449</v>
      </c>
      <c r="K172" s="15">
        <f t="shared" si="47"/>
        <v>43593379.7119449</v>
      </c>
      <c r="L172" s="15">
        <f t="shared" si="48"/>
        <v>0.571649958676448</v>
      </c>
      <c r="M172" s="15">
        <f t="shared" si="49"/>
        <v>0.428350041323552</v>
      </c>
      <c r="N172" s="15">
        <f t="shared" si="50"/>
        <v>0.3065</v>
      </c>
      <c r="O172" s="15">
        <f t="shared" si="51"/>
        <v>0.6935</v>
      </c>
      <c r="P172" s="15">
        <f t="shared" si="52"/>
        <v>1.86508958785138</v>
      </c>
      <c r="Q172" s="15">
        <f t="shared" si="53"/>
        <v>0.61766408265833</v>
      </c>
      <c r="R172" s="7">
        <f t="shared" si="54"/>
        <v>0.149931056343155</v>
      </c>
    </row>
    <row r="173" spans="1:18">
      <c r="A173" s="6">
        <v>2005</v>
      </c>
      <c r="B173" s="19" t="s">
        <v>35</v>
      </c>
      <c r="C173" s="6">
        <v>0.432</v>
      </c>
      <c r="D173" s="6">
        <v>5710</v>
      </c>
      <c r="E173" s="6">
        <v>2466.72</v>
      </c>
      <c r="F173" s="6">
        <f t="shared" si="44"/>
        <v>3243.28</v>
      </c>
      <c r="G173" s="6">
        <v>8785.94</v>
      </c>
      <c r="H173" s="6">
        <v>3099.20063906088</v>
      </c>
      <c r="I173" s="15">
        <f t="shared" si="45"/>
        <v>21672453.9168</v>
      </c>
      <c r="J173" s="15">
        <f t="shared" si="46"/>
        <v>10051575.4486534</v>
      </c>
      <c r="K173" s="15">
        <f t="shared" si="47"/>
        <v>31724029.3654534</v>
      </c>
      <c r="L173" s="15">
        <f t="shared" si="48"/>
        <v>0.683155776560992</v>
      </c>
      <c r="M173" s="15">
        <f t="shared" si="49"/>
        <v>0.316844223439008</v>
      </c>
      <c r="N173" s="15">
        <f t="shared" si="50"/>
        <v>0.432</v>
      </c>
      <c r="O173" s="15">
        <f t="shared" si="51"/>
        <v>0.568</v>
      </c>
      <c r="P173" s="15">
        <f t="shared" si="52"/>
        <v>1.5813791124097</v>
      </c>
      <c r="Q173" s="15">
        <f t="shared" si="53"/>
        <v>0.557824337040508</v>
      </c>
      <c r="R173" s="7">
        <f t="shared" si="54"/>
        <v>0.128142949351397</v>
      </c>
    </row>
    <row r="174" spans="1:18">
      <c r="A174" s="6">
        <v>2005</v>
      </c>
      <c r="B174" s="19" t="s">
        <v>36</v>
      </c>
      <c r="C174" s="6">
        <v>0.37</v>
      </c>
      <c r="D174" s="6">
        <v>6326</v>
      </c>
      <c r="E174" s="6">
        <v>2340.62</v>
      </c>
      <c r="F174" s="6">
        <f t="shared" si="44"/>
        <v>3985.38</v>
      </c>
      <c r="G174" s="6">
        <v>9523.97</v>
      </c>
      <c r="H174" s="6">
        <v>3117.74494248479</v>
      </c>
      <c r="I174" s="15">
        <f t="shared" si="45"/>
        <v>22291994.6614</v>
      </c>
      <c r="J174" s="15">
        <f t="shared" si="46"/>
        <v>12425398.33888</v>
      </c>
      <c r="K174" s="15">
        <f t="shared" si="47"/>
        <v>34717393.00028</v>
      </c>
      <c r="L174" s="15">
        <f t="shared" si="48"/>
        <v>0.6420987503647</v>
      </c>
      <c r="M174" s="15">
        <f t="shared" si="49"/>
        <v>0.3579012496353</v>
      </c>
      <c r="N174" s="15">
        <f t="shared" si="50"/>
        <v>0.37</v>
      </c>
      <c r="O174" s="15">
        <f t="shared" si="51"/>
        <v>0.63</v>
      </c>
      <c r="P174" s="15">
        <f t="shared" si="52"/>
        <v>1.7354020280127</v>
      </c>
      <c r="Q174" s="15">
        <f t="shared" si="53"/>
        <v>0.568097221643333</v>
      </c>
      <c r="R174" s="7">
        <f t="shared" si="54"/>
        <v>0.151570128635839</v>
      </c>
    </row>
    <row r="175" spans="1:18">
      <c r="A175" s="6">
        <v>2005</v>
      </c>
      <c r="B175" s="19" t="s">
        <v>37</v>
      </c>
      <c r="C175" s="6">
        <v>0.6068</v>
      </c>
      <c r="D175" s="6">
        <v>9194</v>
      </c>
      <c r="E175" s="6">
        <v>5578.9192</v>
      </c>
      <c r="F175" s="6">
        <f t="shared" si="44"/>
        <v>3615.0808</v>
      </c>
      <c r="G175" s="6">
        <v>14769.94</v>
      </c>
      <c r="H175" s="6">
        <v>4690.48652265041</v>
      </c>
      <c r="I175" s="15">
        <f t="shared" si="45"/>
        <v>82400301.848848</v>
      </c>
      <c r="J175" s="15">
        <f t="shared" si="46"/>
        <v>16956487.7706923</v>
      </c>
      <c r="K175" s="15">
        <f t="shared" si="47"/>
        <v>99356789.6195403</v>
      </c>
      <c r="L175" s="15">
        <f t="shared" si="48"/>
        <v>0.829337402752016</v>
      </c>
      <c r="M175" s="15">
        <f t="shared" si="49"/>
        <v>0.170662597247984</v>
      </c>
      <c r="N175" s="15">
        <f t="shared" si="50"/>
        <v>0.6068</v>
      </c>
      <c r="O175" s="15">
        <f t="shared" si="51"/>
        <v>0.3932</v>
      </c>
      <c r="P175" s="15">
        <f t="shared" si="52"/>
        <v>1.36673929260385</v>
      </c>
      <c r="Q175" s="15">
        <f t="shared" si="53"/>
        <v>0.434035089643906</v>
      </c>
      <c r="R175" s="7">
        <f t="shared" si="54"/>
        <v>0.116667974701364</v>
      </c>
    </row>
    <row r="176" spans="1:18">
      <c r="A176" s="6">
        <v>2005</v>
      </c>
      <c r="B176" s="19" t="s">
        <v>38</v>
      </c>
      <c r="C176" s="6">
        <v>0.3362</v>
      </c>
      <c r="D176" s="6">
        <v>4660</v>
      </c>
      <c r="E176" s="6">
        <v>1566.692</v>
      </c>
      <c r="F176" s="6">
        <f t="shared" si="44"/>
        <v>3093.308</v>
      </c>
      <c r="G176" s="6">
        <v>9286.7</v>
      </c>
      <c r="H176" s="6">
        <v>2494.6667747581</v>
      </c>
      <c r="I176" s="15">
        <f t="shared" si="45"/>
        <v>14549398.5964</v>
      </c>
      <c r="J176" s="15">
        <f t="shared" si="46"/>
        <v>7716772.69169343</v>
      </c>
      <c r="K176" s="15">
        <f t="shared" si="47"/>
        <v>22266171.2880934</v>
      </c>
      <c r="L176" s="15">
        <f t="shared" si="48"/>
        <v>0.653430641853551</v>
      </c>
      <c r="M176" s="15">
        <f t="shared" si="49"/>
        <v>0.346569358146449</v>
      </c>
      <c r="N176" s="15">
        <f t="shared" si="50"/>
        <v>0.3362</v>
      </c>
      <c r="O176" s="15">
        <f t="shared" si="51"/>
        <v>0.6638</v>
      </c>
      <c r="P176" s="15">
        <f t="shared" si="52"/>
        <v>1.94357716196773</v>
      </c>
      <c r="Q176" s="15">
        <f t="shared" si="53"/>
        <v>0.522099063191396</v>
      </c>
      <c r="R176" s="7">
        <f t="shared" si="54"/>
        <v>0.208989668084738</v>
      </c>
    </row>
    <row r="177" spans="1:18">
      <c r="A177" s="6">
        <v>2005</v>
      </c>
      <c r="B177" s="19" t="s">
        <v>39</v>
      </c>
      <c r="C177" s="6">
        <v>0.452</v>
      </c>
      <c r="D177" s="6">
        <v>828</v>
      </c>
      <c r="E177" s="6">
        <v>374.256</v>
      </c>
      <c r="F177" s="6">
        <f t="shared" si="44"/>
        <v>453.744</v>
      </c>
      <c r="G177" s="6">
        <v>8123.94</v>
      </c>
      <c r="H177" s="6">
        <v>3004.03190060023</v>
      </c>
      <c r="I177" s="15">
        <f t="shared" si="45"/>
        <v>3040433.28864</v>
      </c>
      <c r="J177" s="15">
        <f t="shared" si="46"/>
        <v>1363061.45070595</v>
      </c>
      <c r="K177" s="15">
        <f t="shared" si="47"/>
        <v>4403494.73934595</v>
      </c>
      <c r="L177" s="15">
        <f t="shared" si="48"/>
        <v>0.690459162236128</v>
      </c>
      <c r="M177" s="15">
        <f t="shared" si="49"/>
        <v>0.309540837763873</v>
      </c>
      <c r="N177" s="15">
        <f t="shared" si="50"/>
        <v>0.452</v>
      </c>
      <c r="O177" s="15">
        <f t="shared" si="51"/>
        <v>0.548</v>
      </c>
      <c r="P177" s="15">
        <f t="shared" si="52"/>
        <v>1.52756451822152</v>
      </c>
      <c r="Q177" s="15">
        <f t="shared" si="53"/>
        <v>0.564855543364731</v>
      </c>
      <c r="R177" s="7">
        <f t="shared" si="54"/>
        <v>0.115724880524951</v>
      </c>
    </row>
    <row r="178" spans="1:18">
      <c r="A178" s="6">
        <v>2005</v>
      </c>
      <c r="B178" s="19" t="s">
        <v>40</v>
      </c>
      <c r="C178" s="6">
        <v>0.452</v>
      </c>
      <c r="D178" s="6">
        <v>2798</v>
      </c>
      <c r="E178" s="6">
        <v>1264.696</v>
      </c>
      <c r="F178" s="6">
        <f t="shared" si="44"/>
        <v>1533.304</v>
      </c>
      <c r="G178" s="6">
        <v>10243.46</v>
      </c>
      <c r="H178" s="6">
        <v>2809.31893013421</v>
      </c>
      <c r="I178" s="15">
        <f t="shared" si="45"/>
        <v>12954862.88816</v>
      </c>
      <c r="J178" s="15">
        <f t="shared" si="46"/>
        <v>4307539.9528505</v>
      </c>
      <c r="K178" s="15">
        <f t="shared" si="47"/>
        <v>17262402.8410105</v>
      </c>
      <c r="L178" s="15">
        <f t="shared" si="48"/>
        <v>0.750466954541402</v>
      </c>
      <c r="M178" s="15">
        <f t="shared" si="49"/>
        <v>0.249533045458598</v>
      </c>
      <c r="N178" s="15">
        <f t="shared" si="50"/>
        <v>0.452</v>
      </c>
      <c r="O178" s="15">
        <f t="shared" si="51"/>
        <v>0.548</v>
      </c>
      <c r="P178" s="15">
        <f t="shared" si="52"/>
        <v>1.66032512066682</v>
      </c>
      <c r="Q178" s="15">
        <f t="shared" si="53"/>
        <v>0.455352272734668</v>
      </c>
      <c r="R178" s="7">
        <f t="shared" si="54"/>
        <v>0.184193193674655</v>
      </c>
    </row>
    <row r="179" spans="1:18">
      <c r="A179" s="6">
        <v>2005</v>
      </c>
      <c r="B179" s="19" t="s">
        <v>41</v>
      </c>
      <c r="C179" s="6">
        <v>0.33</v>
      </c>
      <c r="D179" s="6">
        <v>8212</v>
      </c>
      <c r="E179" s="6">
        <v>2709.96</v>
      </c>
      <c r="F179" s="6">
        <f t="shared" si="44"/>
        <v>5502.04</v>
      </c>
      <c r="G179" s="6">
        <v>8385.96</v>
      </c>
      <c r="H179" s="6">
        <v>2802.77646286927</v>
      </c>
      <c r="I179" s="15">
        <f t="shared" si="45"/>
        <v>22725616.1616</v>
      </c>
      <c r="J179" s="15">
        <f t="shared" si="46"/>
        <v>15420988.2097652</v>
      </c>
      <c r="K179" s="15">
        <f t="shared" si="47"/>
        <v>38146604.3713652</v>
      </c>
      <c r="L179" s="15">
        <f t="shared" si="48"/>
        <v>0.595744143839418</v>
      </c>
      <c r="M179" s="15">
        <f t="shared" si="49"/>
        <v>0.404255856160582</v>
      </c>
      <c r="N179" s="15">
        <f t="shared" si="50"/>
        <v>0.33</v>
      </c>
      <c r="O179" s="15">
        <f t="shared" si="51"/>
        <v>0.67</v>
      </c>
      <c r="P179" s="15">
        <f t="shared" si="52"/>
        <v>1.80528528436187</v>
      </c>
      <c r="Q179" s="15">
        <f t="shared" si="53"/>
        <v>0.603366949493405</v>
      </c>
      <c r="R179" s="7">
        <f t="shared" si="54"/>
        <v>0.147675089348451</v>
      </c>
    </row>
    <row r="180" spans="1:18">
      <c r="A180" s="6">
        <v>2005</v>
      </c>
      <c r="B180" s="19" t="s">
        <v>42</v>
      </c>
      <c r="C180" s="6">
        <v>0.2687</v>
      </c>
      <c r="D180" s="6">
        <v>3730</v>
      </c>
      <c r="E180" s="6">
        <v>1002.251</v>
      </c>
      <c r="F180" s="6">
        <f t="shared" si="44"/>
        <v>2727.749</v>
      </c>
      <c r="G180" s="6">
        <v>8151.13</v>
      </c>
      <c r="H180" s="6">
        <v>1876.95807047639</v>
      </c>
      <c r="I180" s="15">
        <f t="shared" si="45"/>
        <v>8169478.19363</v>
      </c>
      <c r="J180" s="15">
        <f t="shared" si="46"/>
        <v>5119870.4997839</v>
      </c>
      <c r="K180" s="15">
        <f t="shared" si="47"/>
        <v>13289348.6934139</v>
      </c>
      <c r="L180" s="15">
        <f t="shared" si="48"/>
        <v>0.614738794360835</v>
      </c>
      <c r="M180" s="15">
        <f t="shared" si="49"/>
        <v>0.385261205639165</v>
      </c>
      <c r="N180" s="15">
        <f t="shared" si="50"/>
        <v>0.2687</v>
      </c>
      <c r="O180" s="15">
        <f t="shared" si="51"/>
        <v>0.7313</v>
      </c>
      <c r="P180" s="15">
        <f t="shared" si="52"/>
        <v>2.28782580707419</v>
      </c>
      <c r="Q180" s="15">
        <f t="shared" si="53"/>
        <v>0.526816909119602</v>
      </c>
      <c r="R180" s="7">
        <f t="shared" si="54"/>
        <v>0.261844258348926</v>
      </c>
    </row>
    <row r="181" spans="1:18">
      <c r="A181" s="6">
        <v>2005</v>
      </c>
      <c r="B181" s="19" t="s">
        <v>43</v>
      </c>
      <c r="C181" s="6">
        <v>0.295</v>
      </c>
      <c r="D181" s="6">
        <v>4450</v>
      </c>
      <c r="E181" s="6">
        <v>1312.75</v>
      </c>
      <c r="F181" s="6">
        <f t="shared" si="44"/>
        <v>3137.25</v>
      </c>
      <c r="G181" s="6">
        <v>9265.9</v>
      </c>
      <c r="H181" s="6">
        <v>2041.79325725978</v>
      </c>
      <c r="I181" s="15">
        <f t="shared" si="45"/>
        <v>12163810.225</v>
      </c>
      <c r="J181" s="15">
        <f t="shared" si="46"/>
        <v>6405615.89633824</v>
      </c>
      <c r="K181" s="15">
        <f t="shared" si="47"/>
        <v>18569426.1213382</v>
      </c>
      <c r="L181" s="15">
        <f t="shared" si="48"/>
        <v>0.655045026460052</v>
      </c>
      <c r="M181" s="15">
        <f t="shared" si="49"/>
        <v>0.344954973539948</v>
      </c>
      <c r="N181" s="15">
        <f t="shared" si="50"/>
        <v>0.295</v>
      </c>
      <c r="O181" s="15">
        <f t="shared" si="51"/>
        <v>0.705</v>
      </c>
      <c r="P181" s="15">
        <f t="shared" si="52"/>
        <v>2.22049161511882</v>
      </c>
      <c r="Q181" s="15">
        <f t="shared" si="53"/>
        <v>0.489297834808436</v>
      </c>
      <c r="R181" s="7">
        <f t="shared" si="54"/>
        <v>0.275979901442858</v>
      </c>
    </row>
    <row r="182" spans="1:18">
      <c r="A182" s="6">
        <v>2005</v>
      </c>
      <c r="B182" s="19" t="s">
        <v>44</v>
      </c>
      <c r="C182" s="6">
        <v>0.2665</v>
      </c>
      <c r="D182" s="6">
        <v>277</v>
      </c>
      <c r="E182" s="6">
        <v>73.8205</v>
      </c>
      <c r="F182" s="6">
        <f t="shared" si="44"/>
        <v>203.1795</v>
      </c>
      <c r="G182" s="6">
        <v>9431.18</v>
      </c>
      <c r="H182" s="6">
        <v>2077.89517962849</v>
      </c>
      <c r="I182" s="15">
        <f t="shared" si="45"/>
        <v>696214.42319</v>
      </c>
      <c r="J182" s="15">
        <f t="shared" si="46"/>
        <v>422185.703649327</v>
      </c>
      <c r="K182" s="15">
        <f t="shared" si="47"/>
        <v>1118400.12683933</v>
      </c>
      <c r="L182" s="15">
        <f t="shared" si="48"/>
        <v>0.622509249133893</v>
      </c>
      <c r="M182" s="15">
        <f t="shared" si="49"/>
        <v>0.377490750866107</v>
      </c>
      <c r="N182" s="15">
        <f t="shared" si="50"/>
        <v>0.2665</v>
      </c>
      <c r="O182" s="15">
        <f t="shared" si="51"/>
        <v>0.7335</v>
      </c>
      <c r="P182" s="15">
        <f t="shared" si="52"/>
        <v>2.33586960275382</v>
      </c>
      <c r="Q182" s="15">
        <f t="shared" si="53"/>
        <v>0.51464315046504</v>
      </c>
      <c r="R182" s="7">
        <f t="shared" si="54"/>
        <v>0.27736690425505</v>
      </c>
    </row>
    <row r="183" spans="1:18">
      <c r="A183" s="6">
        <v>2005</v>
      </c>
      <c r="B183" s="19" t="s">
        <v>45</v>
      </c>
      <c r="C183" s="6">
        <v>0.3723</v>
      </c>
      <c r="D183" s="6">
        <v>3690.18747315823</v>
      </c>
      <c r="E183" s="6">
        <v>1373.85679625681</v>
      </c>
      <c r="F183" s="6">
        <f t="shared" si="44"/>
        <v>2316.33067690142</v>
      </c>
      <c r="G183" s="6">
        <v>8272.02</v>
      </c>
      <c r="H183" s="6">
        <v>2052.62910676935</v>
      </c>
      <c r="I183" s="15">
        <f t="shared" si="45"/>
        <v>11364570.8957723</v>
      </c>
      <c r="J183" s="15">
        <f t="shared" si="46"/>
        <v>4754567.76831061</v>
      </c>
      <c r="K183" s="15">
        <f t="shared" si="47"/>
        <v>16119138.6640829</v>
      </c>
      <c r="L183" s="15">
        <f t="shared" si="48"/>
        <v>0.70503586653145</v>
      </c>
      <c r="M183" s="15">
        <f t="shared" si="49"/>
        <v>0.29496413346855</v>
      </c>
      <c r="N183" s="15">
        <f t="shared" si="50"/>
        <v>0.3723</v>
      </c>
      <c r="O183" s="15">
        <f t="shared" si="51"/>
        <v>0.6277</v>
      </c>
      <c r="P183" s="15">
        <f t="shared" si="52"/>
        <v>1.89373050371058</v>
      </c>
      <c r="Q183" s="15">
        <f t="shared" si="53"/>
        <v>0.469912591155887</v>
      </c>
      <c r="R183" s="7">
        <f t="shared" si="54"/>
        <v>0.227440288859225</v>
      </c>
    </row>
    <row r="184" spans="1:18">
      <c r="A184" s="6">
        <v>2005</v>
      </c>
      <c r="B184" s="19" t="s">
        <v>46</v>
      </c>
      <c r="C184" s="6">
        <v>0.3002</v>
      </c>
      <c r="D184" s="6">
        <v>2545.1</v>
      </c>
      <c r="E184" s="6">
        <v>764.03902</v>
      </c>
      <c r="F184" s="6">
        <f t="shared" si="44"/>
        <v>1781.06098</v>
      </c>
      <c r="G184" s="6">
        <v>8086.82</v>
      </c>
      <c r="H184" s="6">
        <v>1979.87940975539</v>
      </c>
      <c r="I184" s="15">
        <f t="shared" si="45"/>
        <v>6178646.0277164</v>
      </c>
      <c r="J184" s="15">
        <f t="shared" si="46"/>
        <v>3526285.96182076</v>
      </c>
      <c r="K184" s="15">
        <f t="shared" si="47"/>
        <v>9704931.98953716</v>
      </c>
      <c r="L184" s="15">
        <f t="shared" si="48"/>
        <v>0.636650110930975</v>
      </c>
      <c r="M184" s="15">
        <f t="shared" si="49"/>
        <v>0.363349889069025</v>
      </c>
      <c r="N184" s="15">
        <f t="shared" si="50"/>
        <v>0.3002</v>
      </c>
      <c r="O184" s="15">
        <f t="shared" si="51"/>
        <v>0.6998</v>
      </c>
      <c r="P184" s="15">
        <f t="shared" si="52"/>
        <v>2.12075320096927</v>
      </c>
      <c r="Q184" s="15">
        <f t="shared" si="53"/>
        <v>0.519219618561053</v>
      </c>
      <c r="R184" s="7">
        <f t="shared" si="54"/>
        <v>0.24046547697505</v>
      </c>
    </row>
    <row r="185" spans="1:18">
      <c r="A185" s="6">
        <v>2005</v>
      </c>
      <c r="B185" s="19" t="s">
        <v>47</v>
      </c>
      <c r="C185" s="6">
        <v>0.3925</v>
      </c>
      <c r="D185" s="6">
        <v>543</v>
      </c>
      <c r="E185" s="6">
        <v>213.1275</v>
      </c>
      <c r="F185" s="6">
        <f t="shared" si="44"/>
        <v>329.8725</v>
      </c>
      <c r="G185" s="6">
        <v>8057.85</v>
      </c>
      <c r="H185" s="6">
        <v>2151.46390097975</v>
      </c>
      <c r="I185" s="15">
        <f t="shared" si="45"/>
        <v>1717349.425875</v>
      </c>
      <c r="J185" s="15">
        <f t="shared" si="46"/>
        <v>709708.775675943</v>
      </c>
      <c r="K185" s="15">
        <f t="shared" si="47"/>
        <v>2427058.20155094</v>
      </c>
      <c r="L185" s="15">
        <f t="shared" si="48"/>
        <v>0.707584772700373</v>
      </c>
      <c r="M185" s="15">
        <f t="shared" si="49"/>
        <v>0.292415227299627</v>
      </c>
      <c r="N185" s="15">
        <f t="shared" si="50"/>
        <v>0.3925</v>
      </c>
      <c r="O185" s="15">
        <f t="shared" si="51"/>
        <v>0.6075</v>
      </c>
      <c r="P185" s="15">
        <f t="shared" si="52"/>
        <v>1.80276375210286</v>
      </c>
      <c r="Q185" s="15">
        <f t="shared" si="53"/>
        <v>0.481341937941773</v>
      </c>
      <c r="R185" s="7">
        <f t="shared" si="54"/>
        <v>0.203187101389503</v>
      </c>
    </row>
    <row r="186" spans="1:18">
      <c r="A186" s="6">
        <v>2005</v>
      </c>
      <c r="B186" s="19" t="s">
        <v>48</v>
      </c>
      <c r="C186" s="6">
        <v>0.4228</v>
      </c>
      <c r="D186" s="6">
        <v>596</v>
      </c>
      <c r="E186" s="6">
        <v>251.9888</v>
      </c>
      <c r="F186" s="6">
        <f t="shared" ref="F186:F249" si="55">D186-E186</f>
        <v>344.0112</v>
      </c>
      <c r="G186" s="6">
        <v>8093.64</v>
      </c>
      <c r="H186" s="6">
        <v>2508.88659389159</v>
      </c>
      <c r="I186" s="15">
        <f t="shared" si="45"/>
        <v>2039506.631232</v>
      </c>
      <c r="J186" s="15">
        <f t="shared" si="46"/>
        <v>863085.087828559</v>
      </c>
      <c r="K186" s="15">
        <f t="shared" si="47"/>
        <v>2902591.71906056</v>
      </c>
      <c r="L186" s="15">
        <f t="shared" si="48"/>
        <v>0.70265019287387</v>
      </c>
      <c r="M186" s="15">
        <f t="shared" si="49"/>
        <v>0.29734980712613</v>
      </c>
      <c r="N186" s="15">
        <f t="shared" si="50"/>
        <v>0.4228</v>
      </c>
      <c r="O186" s="15">
        <f t="shared" si="51"/>
        <v>0.5772</v>
      </c>
      <c r="P186" s="15">
        <f t="shared" si="52"/>
        <v>1.66189733413877</v>
      </c>
      <c r="Q186" s="15">
        <f t="shared" si="53"/>
        <v>0.515159056005076</v>
      </c>
      <c r="R186" s="7">
        <f t="shared" si="54"/>
        <v>0.159692082195232</v>
      </c>
    </row>
    <row r="187" spans="1:18">
      <c r="A187" s="6">
        <v>2005</v>
      </c>
      <c r="B187" s="19" t="s">
        <v>49</v>
      </c>
      <c r="C187" s="6">
        <v>0.3715</v>
      </c>
      <c r="D187" s="6">
        <v>2010</v>
      </c>
      <c r="E187" s="6">
        <v>746.715</v>
      </c>
      <c r="F187" s="6">
        <f t="shared" si="55"/>
        <v>1263.285</v>
      </c>
      <c r="G187" s="6">
        <v>7990.15</v>
      </c>
      <c r="H187" s="6">
        <v>2482.15261765726</v>
      </c>
      <c r="I187" s="15">
        <f t="shared" si="45"/>
        <v>5966364.85725</v>
      </c>
      <c r="J187" s="15">
        <f t="shared" si="46"/>
        <v>3135666.16959715</v>
      </c>
      <c r="K187" s="15">
        <f t="shared" si="47"/>
        <v>9102031.02684715</v>
      </c>
      <c r="L187" s="15">
        <f t="shared" si="48"/>
        <v>0.655498189321893</v>
      </c>
      <c r="M187" s="15">
        <f t="shared" si="49"/>
        <v>0.344501810678107</v>
      </c>
      <c r="N187" s="15">
        <f t="shared" si="50"/>
        <v>0.3715</v>
      </c>
      <c r="O187" s="15">
        <f t="shared" si="51"/>
        <v>0.6285</v>
      </c>
      <c r="P187" s="15">
        <f t="shared" si="52"/>
        <v>1.76446349750173</v>
      </c>
      <c r="Q187" s="15">
        <f t="shared" si="53"/>
        <v>0.548133350323161</v>
      </c>
      <c r="R187" s="7">
        <f t="shared" si="54"/>
        <v>0.165095342958578</v>
      </c>
    </row>
    <row r="188" spans="1:18">
      <c r="A188" s="6">
        <v>2006</v>
      </c>
      <c r="B188" s="19" t="s">
        <v>19</v>
      </c>
      <c r="C188" s="6">
        <v>0.8433</v>
      </c>
      <c r="D188" s="6">
        <v>1601</v>
      </c>
      <c r="E188" s="6">
        <v>1350.2</v>
      </c>
      <c r="F188" s="6">
        <f t="shared" si="55"/>
        <v>250.8</v>
      </c>
      <c r="G188" s="6">
        <v>19977.52</v>
      </c>
      <c r="H188" s="15">
        <v>8275.47</v>
      </c>
      <c r="I188" s="15">
        <f t="shared" si="45"/>
        <v>26973647.504</v>
      </c>
      <c r="J188" s="15">
        <f t="shared" si="46"/>
        <v>2075487.876</v>
      </c>
      <c r="K188" s="15">
        <f t="shared" si="47"/>
        <v>29049135.38</v>
      </c>
      <c r="L188" s="15">
        <f t="shared" si="48"/>
        <v>0.928552507713226</v>
      </c>
      <c r="M188" s="15">
        <f t="shared" si="49"/>
        <v>0.0714474922867739</v>
      </c>
      <c r="N188" s="15">
        <f t="shared" si="50"/>
        <v>0.8433</v>
      </c>
      <c r="O188" s="15">
        <f t="shared" si="51"/>
        <v>0.156652092442224</v>
      </c>
      <c r="P188" s="15">
        <f t="shared" si="52"/>
        <v>1.10109392590208</v>
      </c>
      <c r="Q188" s="15">
        <f t="shared" si="53"/>
        <v>0.456090251798744</v>
      </c>
      <c r="R188" s="7">
        <f t="shared" si="54"/>
        <v>0.0333325780377551</v>
      </c>
    </row>
    <row r="189" spans="1:18">
      <c r="A189" s="6">
        <v>2006</v>
      </c>
      <c r="B189" s="19" t="s">
        <v>20</v>
      </c>
      <c r="C189" s="6">
        <v>0.7573</v>
      </c>
      <c r="D189" s="6">
        <v>1075</v>
      </c>
      <c r="E189" s="6">
        <v>814.0975</v>
      </c>
      <c r="F189" s="6">
        <f t="shared" si="55"/>
        <v>260.9025</v>
      </c>
      <c r="G189" s="6">
        <v>14283.09</v>
      </c>
      <c r="H189" s="15">
        <v>6227.94</v>
      </c>
      <c r="I189" s="15">
        <f t="shared" si="45"/>
        <v>11627827.861275</v>
      </c>
      <c r="J189" s="15">
        <f t="shared" si="46"/>
        <v>1624885.11585</v>
      </c>
      <c r="K189" s="15">
        <f t="shared" si="47"/>
        <v>13252712.977125</v>
      </c>
      <c r="L189" s="15">
        <f t="shared" si="48"/>
        <v>0.877392265368257</v>
      </c>
      <c r="M189" s="15">
        <f t="shared" si="49"/>
        <v>0.122607734631743</v>
      </c>
      <c r="N189" s="15">
        <f t="shared" si="50"/>
        <v>0.7573</v>
      </c>
      <c r="O189" s="15">
        <f t="shared" si="51"/>
        <v>0.2427</v>
      </c>
      <c r="P189" s="15">
        <f t="shared" si="52"/>
        <v>1.15857951322891</v>
      </c>
      <c r="Q189" s="15">
        <f t="shared" si="53"/>
        <v>0.505182260534582</v>
      </c>
      <c r="R189" s="7">
        <f t="shared" si="54"/>
        <v>0.0454265133665469</v>
      </c>
    </row>
    <row r="190" spans="1:18">
      <c r="A190" s="6">
        <v>2006</v>
      </c>
      <c r="B190" s="19" t="s">
        <v>21</v>
      </c>
      <c r="C190" s="6">
        <v>0.3844</v>
      </c>
      <c r="D190" s="6">
        <v>6898</v>
      </c>
      <c r="E190" s="6">
        <v>2651.5912</v>
      </c>
      <c r="F190" s="6">
        <f t="shared" si="55"/>
        <v>4246.4088</v>
      </c>
      <c r="G190" s="6">
        <v>10304.56</v>
      </c>
      <c r="H190" s="15">
        <v>3801.82</v>
      </c>
      <c r="I190" s="15">
        <f t="shared" si="45"/>
        <v>27323480.615872</v>
      </c>
      <c r="J190" s="15">
        <f t="shared" si="46"/>
        <v>16144081.904016</v>
      </c>
      <c r="K190" s="15">
        <f t="shared" si="47"/>
        <v>43467562.519888</v>
      </c>
      <c r="L190" s="15">
        <f t="shared" si="48"/>
        <v>0.628594727467649</v>
      </c>
      <c r="M190" s="15">
        <f t="shared" si="49"/>
        <v>0.371405272532351</v>
      </c>
      <c r="N190" s="15">
        <f t="shared" si="50"/>
        <v>0.3844</v>
      </c>
      <c r="O190" s="15">
        <f t="shared" si="51"/>
        <v>0.6156</v>
      </c>
      <c r="P190" s="15">
        <f t="shared" si="52"/>
        <v>1.63526203815726</v>
      </c>
      <c r="Q190" s="15">
        <f t="shared" si="53"/>
        <v>0.603322405023312</v>
      </c>
      <c r="R190" s="7">
        <f t="shared" si="54"/>
        <v>0.121472404934486</v>
      </c>
    </row>
    <row r="191" spans="1:18">
      <c r="A191" s="6">
        <v>2006</v>
      </c>
      <c r="B191" s="19" t="s">
        <v>22</v>
      </c>
      <c r="C191" s="6">
        <v>0.4301</v>
      </c>
      <c r="D191" s="6">
        <v>3375</v>
      </c>
      <c r="E191" s="6">
        <v>1451.5875</v>
      </c>
      <c r="F191" s="6">
        <f t="shared" si="55"/>
        <v>1923.4125</v>
      </c>
      <c r="G191" s="6">
        <v>10027.7</v>
      </c>
      <c r="H191" s="15">
        <v>3180.92</v>
      </c>
      <c r="I191" s="15">
        <f t="shared" si="45"/>
        <v>14556083.97375</v>
      </c>
      <c r="J191" s="15">
        <f t="shared" si="46"/>
        <v>6118221.2895</v>
      </c>
      <c r="K191" s="15">
        <f t="shared" si="47"/>
        <v>20674305.26325</v>
      </c>
      <c r="L191" s="15">
        <f t="shared" si="48"/>
        <v>0.704066414247275</v>
      </c>
      <c r="M191" s="15">
        <f t="shared" si="49"/>
        <v>0.295933585752725</v>
      </c>
      <c r="N191" s="15">
        <f t="shared" si="50"/>
        <v>0.4301</v>
      </c>
      <c r="O191" s="15">
        <f t="shared" si="51"/>
        <v>0.5699</v>
      </c>
      <c r="P191" s="15">
        <f t="shared" si="52"/>
        <v>1.63698306032847</v>
      </c>
      <c r="Q191" s="15">
        <f t="shared" si="53"/>
        <v>0.519272829887216</v>
      </c>
      <c r="R191" s="7">
        <f t="shared" si="54"/>
        <v>0.153069688957531</v>
      </c>
    </row>
    <row r="192" spans="1:18">
      <c r="A192" s="6">
        <v>2006</v>
      </c>
      <c r="B192" s="19" t="s">
        <v>23</v>
      </c>
      <c r="C192" s="6">
        <v>0.4864</v>
      </c>
      <c r="D192" s="6">
        <v>2415.05148958154</v>
      </c>
      <c r="E192" s="6">
        <v>1174.68104453246</v>
      </c>
      <c r="F192" s="6">
        <f t="shared" si="55"/>
        <v>1240.37044504908</v>
      </c>
      <c r="G192" s="6">
        <v>10357.99</v>
      </c>
      <c r="H192" s="15">
        <v>3341.88</v>
      </c>
      <c r="I192" s="15">
        <f t="shared" si="45"/>
        <v>12167334.5124568</v>
      </c>
      <c r="J192" s="15">
        <f t="shared" si="46"/>
        <v>4145169.18290062</v>
      </c>
      <c r="K192" s="15">
        <f t="shared" si="47"/>
        <v>16312503.6953574</v>
      </c>
      <c r="L192" s="15">
        <f t="shared" si="48"/>
        <v>0.745890069341081</v>
      </c>
      <c r="M192" s="15">
        <f t="shared" si="49"/>
        <v>0.254109930658919</v>
      </c>
      <c r="N192" s="15">
        <f t="shared" si="50"/>
        <v>0.4864</v>
      </c>
      <c r="O192" s="15">
        <f t="shared" si="51"/>
        <v>0.5136</v>
      </c>
      <c r="P192" s="15">
        <f t="shared" si="52"/>
        <v>1.53349109650716</v>
      </c>
      <c r="Q192" s="15">
        <f t="shared" si="53"/>
        <v>0.494762326049296</v>
      </c>
      <c r="R192" s="7">
        <f t="shared" si="54"/>
        <v>0.140091473647981</v>
      </c>
    </row>
    <row r="193" spans="1:18">
      <c r="A193" s="6">
        <v>2006</v>
      </c>
      <c r="B193" s="19" t="s">
        <v>24</v>
      </c>
      <c r="C193" s="6">
        <v>0.5899</v>
      </c>
      <c r="D193" s="6">
        <v>4271</v>
      </c>
      <c r="E193" s="6">
        <v>2519.4629</v>
      </c>
      <c r="F193" s="6">
        <f t="shared" si="55"/>
        <v>1751.5371</v>
      </c>
      <c r="G193" s="6">
        <v>10369.61</v>
      </c>
      <c r="H193" s="15">
        <v>4090.4</v>
      </c>
      <c r="I193" s="15">
        <f t="shared" si="45"/>
        <v>26125847.682469</v>
      </c>
      <c r="J193" s="15">
        <f t="shared" si="46"/>
        <v>7164487.35384</v>
      </c>
      <c r="K193" s="15">
        <f t="shared" si="47"/>
        <v>33290335.036309</v>
      </c>
      <c r="L193" s="15">
        <f t="shared" si="48"/>
        <v>0.784787766598748</v>
      </c>
      <c r="M193" s="15">
        <f t="shared" si="49"/>
        <v>0.215212233401252</v>
      </c>
      <c r="N193" s="15">
        <f t="shared" si="50"/>
        <v>0.5899</v>
      </c>
      <c r="O193" s="15">
        <f t="shared" si="51"/>
        <v>0.4101</v>
      </c>
      <c r="P193" s="15">
        <f t="shared" si="52"/>
        <v>1.33037424410705</v>
      </c>
      <c r="Q193" s="15">
        <f t="shared" si="53"/>
        <v>0.52477989124909</v>
      </c>
      <c r="R193" s="7">
        <f t="shared" si="54"/>
        <v>0.0852619825338384</v>
      </c>
    </row>
    <row r="194" spans="1:18">
      <c r="A194" s="6">
        <v>2006</v>
      </c>
      <c r="B194" s="19" t="s">
        <v>25</v>
      </c>
      <c r="C194" s="6">
        <v>0.5297</v>
      </c>
      <c r="D194" s="6">
        <v>2723</v>
      </c>
      <c r="E194" s="6">
        <v>1442.3731</v>
      </c>
      <c r="F194" s="6">
        <f t="shared" si="55"/>
        <v>1280.6269</v>
      </c>
      <c r="G194" s="6">
        <v>9775.07</v>
      </c>
      <c r="H194" s="15">
        <v>3641.13</v>
      </c>
      <c r="I194" s="15">
        <f t="shared" si="45"/>
        <v>14099298.018617</v>
      </c>
      <c r="J194" s="15">
        <f t="shared" si="46"/>
        <v>4662929.024397</v>
      </c>
      <c r="K194" s="15">
        <f t="shared" si="47"/>
        <v>18762227.043014</v>
      </c>
      <c r="L194" s="15">
        <f t="shared" si="48"/>
        <v>0.751472519029493</v>
      </c>
      <c r="M194" s="15">
        <f t="shared" si="49"/>
        <v>0.248527480970507</v>
      </c>
      <c r="N194" s="15">
        <f t="shared" si="50"/>
        <v>0.5297</v>
      </c>
      <c r="O194" s="15">
        <f t="shared" si="51"/>
        <v>0.4703</v>
      </c>
      <c r="P194" s="15">
        <f t="shared" si="52"/>
        <v>1.41867570139606</v>
      </c>
      <c r="Q194" s="15">
        <f t="shared" si="53"/>
        <v>0.528444569361062</v>
      </c>
      <c r="R194" s="7">
        <f t="shared" si="54"/>
        <v>0.104292706532102</v>
      </c>
    </row>
    <row r="195" spans="1:18">
      <c r="A195" s="6">
        <v>2006</v>
      </c>
      <c r="B195" s="19" t="s">
        <v>26</v>
      </c>
      <c r="C195" s="6">
        <v>0.535</v>
      </c>
      <c r="D195" s="6">
        <v>3823</v>
      </c>
      <c r="E195" s="6">
        <v>2045.305</v>
      </c>
      <c r="F195" s="6">
        <f t="shared" si="55"/>
        <v>1777.695</v>
      </c>
      <c r="G195" s="6">
        <v>9182.31</v>
      </c>
      <c r="H195" s="15">
        <v>3552.43</v>
      </c>
      <c r="I195" s="15">
        <f t="shared" si="45"/>
        <v>18780624.55455</v>
      </c>
      <c r="J195" s="15">
        <f t="shared" si="46"/>
        <v>6315137.04885</v>
      </c>
      <c r="K195" s="15">
        <f t="shared" si="47"/>
        <v>25095761.6034</v>
      </c>
      <c r="L195" s="15">
        <f t="shared" si="48"/>
        <v>0.748358422085329</v>
      </c>
      <c r="M195" s="15">
        <f t="shared" si="49"/>
        <v>0.251641577914671</v>
      </c>
      <c r="N195" s="15">
        <f t="shared" si="50"/>
        <v>0.535</v>
      </c>
      <c r="O195" s="15">
        <f t="shared" si="51"/>
        <v>0.465</v>
      </c>
      <c r="P195" s="15">
        <f t="shared" si="52"/>
        <v>1.39880078894454</v>
      </c>
      <c r="Q195" s="15">
        <f t="shared" si="53"/>
        <v>0.541164683687465</v>
      </c>
      <c r="R195" s="7">
        <f t="shared" si="54"/>
        <v>0.0966446381433364</v>
      </c>
    </row>
    <row r="196" spans="1:18">
      <c r="A196" s="6">
        <v>2006</v>
      </c>
      <c r="B196" s="19" t="s">
        <v>27</v>
      </c>
      <c r="C196" s="6">
        <v>0.887</v>
      </c>
      <c r="D196" s="6">
        <v>1964.11</v>
      </c>
      <c r="E196" s="6">
        <v>1742.16557</v>
      </c>
      <c r="F196" s="6">
        <f t="shared" si="55"/>
        <v>221.94443</v>
      </c>
      <c r="G196" s="6">
        <v>20667.91</v>
      </c>
      <c r="H196" s="15">
        <v>9138.65</v>
      </c>
      <c r="I196" s="15">
        <f t="shared" si="45"/>
        <v>36006921.2058587</v>
      </c>
      <c r="J196" s="15">
        <f t="shared" si="46"/>
        <v>2028272.4652195</v>
      </c>
      <c r="K196" s="15">
        <f t="shared" si="47"/>
        <v>38035193.6710782</v>
      </c>
      <c r="L196" s="15">
        <f t="shared" si="48"/>
        <v>0.94667379683249</v>
      </c>
      <c r="M196" s="15">
        <f t="shared" si="49"/>
        <v>0.0533262031675098</v>
      </c>
      <c r="N196" s="15">
        <f t="shared" si="50"/>
        <v>0.887</v>
      </c>
      <c r="O196" s="15">
        <f t="shared" si="51"/>
        <v>0.113</v>
      </c>
      <c r="P196" s="15">
        <f t="shared" si="52"/>
        <v>1.06727598290021</v>
      </c>
      <c r="Q196" s="15">
        <f t="shared" si="53"/>
        <v>0.471913302367344</v>
      </c>
      <c r="R196" s="7">
        <f t="shared" si="54"/>
        <v>0.0215916995948826</v>
      </c>
    </row>
    <row r="197" spans="1:18">
      <c r="A197" s="6">
        <v>2006</v>
      </c>
      <c r="B197" s="19" t="s">
        <v>28</v>
      </c>
      <c r="C197" s="6">
        <v>0.519</v>
      </c>
      <c r="D197" s="6">
        <v>7656</v>
      </c>
      <c r="E197" s="6">
        <v>3973.464</v>
      </c>
      <c r="F197" s="6">
        <f t="shared" si="55"/>
        <v>3682.536</v>
      </c>
      <c r="G197" s="6">
        <v>14084.26</v>
      </c>
      <c r="H197" s="15">
        <v>5813.23</v>
      </c>
      <c r="I197" s="15">
        <f t="shared" si="45"/>
        <v>55963300.07664</v>
      </c>
      <c r="J197" s="15">
        <f t="shared" si="46"/>
        <v>21407428.75128</v>
      </c>
      <c r="K197" s="15">
        <f t="shared" si="47"/>
        <v>77370728.82792</v>
      </c>
      <c r="L197" s="15">
        <f t="shared" si="48"/>
        <v>0.723313595779973</v>
      </c>
      <c r="M197" s="15">
        <f t="shared" si="49"/>
        <v>0.276686404220027</v>
      </c>
      <c r="N197" s="15">
        <f t="shared" si="50"/>
        <v>0.519</v>
      </c>
      <c r="O197" s="15">
        <f t="shared" si="51"/>
        <v>0.481</v>
      </c>
      <c r="P197" s="15">
        <f t="shared" si="52"/>
        <v>1.39366781460496</v>
      </c>
      <c r="Q197" s="15">
        <f t="shared" si="53"/>
        <v>0.575231609605047</v>
      </c>
      <c r="R197" s="7">
        <f t="shared" si="54"/>
        <v>0.0870932374992314</v>
      </c>
    </row>
    <row r="198" spans="1:18">
      <c r="A198" s="6">
        <v>2006</v>
      </c>
      <c r="B198" s="19" t="s">
        <v>29</v>
      </c>
      <c r="C198" s="6">
        <v>0.565</v>
      </c>
      <c r="D198" s="6">
        <v>5071.8</v>
      </c>
      <c r="E198" s="6">
        <v>2865.567</v>
      </c>
      <c r="F198" s="6">
        <f t="shared" si="55"/>
        <v>2206.233</v>
      </c>
      <c r="G198" s="6">
        <v>18265.1</v>
      </c>
      <c r="H198" s="15">
        <v>7334.81</v>
      </c>
      <c r="I198" s="15">
        <f t="shared" si="45"/>
        <v>52339867.8117</v>
      </c>
      <c r="J198" s="15">
        <f t="shared" si="46"/>
        <v>16182299.87073</v>
      </c>
      <c r="K198" s="15">
        <f t="shared" si="47"/>
        <v>68522167.68243</v>
      </c>
      <c r="L198" s="15">
        <f t="shared" si="48"/>
        <v>0.763838471285266</v>
      </c>
      <c r="M198" s="15">
        <f t="shared" si="49"/>
        <v>0.236161528714734</v>
      </c>
      <c r="N198" s="15">
        <f t="shared" si="50"/>
        <v>0.565</v>
      </c>
      <c r="O198" s="15">
        <f t="shared" si="51"/>
        <v>0.435</v>
      </c>
      <c r="P198" s="15">
        <f t="shared" si="52"/>
        <v>1.35192649785003</v>
      </c>
      <c r="Q198" s="15">
        <f t="shared" si="53"/>
        <v>0.542900066010882</v>
      </c>
      <c r="R198" s="7">
        <f t="shared" si="54"/>
        <v>0.0860661302055227</v>
      </c>
    </row>
    <row r="199" spans="1:18">
      <c r="A199" s="6">
        <v>2006</v>
      </c>
      <c r="B199" s="19" t="s">
        <v>30</v>
      </c>
      <c r="C199" s="6">
        <v>0.371</v>
      </c>
      <c r="D199" s="6">
        <v>6110</v>
      </c>
      <c r="E199" s="6">
        <v>2266.81</v>
      </c>
      <c r="F199" s="6">
        <f t="shared" si="55"/>
        <v>3843.19</v>
      </c>
      <c r="G199" s="6">
        <v>9771.05</v>
      </c>
      <c r="H199" s="15">
        <v>2969.08</v>
      </c>
      <c r="I199" s="15">
        <f t="shared" si="45"/>
        <v>22149113.8505</v>
      </c>
      <c r="J199" s="15">
        <f t="shared" si="46"/>
        <v>11410738.5652</v>
      </c>
      <c r="K199" s="15">
        <f t="shared" si="47"/>
        <v>33559852.4157</v>
      </c>
      <c r="L199" s="15">
        <f t="shared" si="48"/>
        <v>0.659988416401324</v>
      </c>
      <c r="M199" s="15">
        <f t="shared" si="49"/>
        <v>0.340011583598676</v>
      </c>
      <c r="N199" s="15">
        <f t="shared" si="50"/>
        <v>0.371</v>
      </c>
      <c r="O199" s="15">
        <f t="shared" si="51"/>
        <v>0.629</v>
      </c>
      <c r="P199" s="15">
        <f t="shared" si="52"/>
        <v>1.77894451860195</v>
      </c>
      <c r="Q199" s="15">
        <f t="shared" si="53"/>
        <v>0.540558956436686</v>
      </c>
      <c r="R199" s="7">
        <f t="shared" si="54"/>
        <v>0.171008014146965</v>
      </c>
    </row>
    <row r="200" spans="1:18">
      <c r="A200" s="6">
        <v>2006</v>
      </c>
      <c r="B200" s="19" t="s">
        <v>31</v>
      </c>
      <c r="C200" s="6">
        <v>0.48</v>
      </c>
      <c r="D200" s="6">
        <v>3584.51666666667</v>
      </c>
      <c r="E200" s="6">
        <v>1720.568</v>
      </c>
      <c r="F200" s="6">
        <f t="shared" si="55"/>
        <v>1863.94866666667</v>
      </c>
      <c r="G200" s="6">
        <v>13753.28</v>
      </c>
      <c r="H200" s="15">
        <v>4834.75</v>
      </c>
      <c r="I200" s="15">
        <f t="shared" si="45"/>
        <v>23663453.46304</v>
      </c>
      <c r="J200" s="15">
        <f t="shared" si="46"/>
        <v>9011725.81616668</v>
      </c>
      <c r="K200" s="15">
        <f t="shared" si="47"/>
        <v>32675179.2792067</v>
      </c>
      <c r="L200" s="15">
        <f t="shared" si="48"/>
        <v>0.724202712427</v>
      </c>
      <c r="M200" s="15">
        <f t="shared" si="49"/>
        <v>0.275797287573</v>
      </c>
      <c r="N200" s="15">
        <f t="shared" si="50"/>
        <v>0.48</v>
      </c>
      <c r="O200" s="15">
        <f t="shared" si="51"/>
        <v>0.52</v>
      </c>
      <c r="P200" s="15">
        <f t="shared" si="52"/>
        <v>1.50875565088958</v>
      </c>
      <c r="Q200" s="15">
        <f t="shared" si="53"/>
        <v>0.530379399178845</v>
      </c>
      <c r="R200" s="7">
        <f t="shared" si="54"/>
        <v>0.122953538238019</v>
      </c>
    </row>
    <row r="201" spans="1:18">
      <c r="A201" s="6">
        <v>2006</v>
      </c>
      <c r="B201" s="19" t="s">
        <v>32</v>
      </c>
      <c r="C201" s="6">
        <v>0.3868</v>
      </c>
      <c r="D201" s="6">
        <v>4339.1287</v>
      </c>
      <c r="E201" s="6">
        <v>1678.37498116</v>
      </c>
      <c r="F201" s="6">
        <f t="shared" si="55"/>
        <v>2660.75371884</v>
      </c>
      <c r="G201" s="6">
        <v>9551.12</v>
      </c>
      <c r="H201" s="15">
        <v>3459.53</v>
      </c>
      <c r="I201" s="15">
        <f t="shared" si="45"/>
        <v>16030360.8500569</v>
      </c>
      <c r="J201" s="15">
        <f t="shared" si="46"/>
        <v>9204957.31293855</v>
      </c>
      <c r="K201" s="15">
        <f t="shared" si="47"/>
        <v>25235318.1629955</v>
      </c>
      <c r="L201" s="15">
        <f t="shared" si="48"/>
        <v>0.635235139359705</v>
      </c>
      <c r="M201" s="15">
        <f t="shared" si="49"/>
        <v>0.364764860640295</v>
      </c>
      <c r="N201" s="15">
        <f t="shared" si="50"/>
        <v>0.3868</v>
      </c>
      <c r="O201" s="15">
        <f t="shared" si="51"/>
        <v>0.6132</v>
      </c>
      <c r="P201" s="15">
        <f t="shared" si="52"/>
        <v>1.64228319379448</v>
      </c>
      <c r="Q201" s="15">
        <f t="shared" si="53"/>
        <v>0.594854632485804</v>
      </c>
      <c r="R201" s="7">
        <f t="shared" si="54"/>
        <v>0.125659380588453</v>
      </c>
    </row>
    <row r="202" spans="1:18">
      <c r="A202" s="6">
        <v>2006</v>
      </c>
      <c r="B202" s="19" t="s">
        <v>33</v>
      </c>
      <c r="C202" s="6">
        <v>0.461</v>
      </c>
      <c r="D202" s="6">
        <v>9309</v>
      </c>
      <c r="E202" s="6">
        <v>4291.449</v>
      </c>
      <c r="F202" s="6">
        <f t="shared" si="55"/>
        <v>5017.551</v>
      </c>
      <c r="G202" s="6">
        <v>12192.24</v>
      </c>
      <c r="H202" s="15">
        <v>4368.33</v>
      </c>
      <c r="I202" s="15">
        <f t="shared" si="45"/>
        <v>52322376.15576</v>
      </c>
      <c r="J202" s="15">
        <f t="shared" si="46"/>
        <v>21918318.55983</v>
      </c>
      <c r="K202" s="15">
        <f t="shared" si="47"/>
        <v>74240694.71559</v>
      </c>
      <c r="L202" s="15">
        <f t="shared" si="48"/>
        <v>0.704766790723103</v>
      </c>
      <c r="M202" s="15">
        <f t="shared" si="49"/>
        <v>0.295233209276897</v>
      </c>
      <c r="N202" s="15">
        <f t="shared" si="50"/>
        <v>0.461</v>
      </c>
      <c r="O202" s="15">
        <f t="shared" si="51"/>
        <v>0.539</v>
      </c>
      <c r="P202" s="15">
        <f t="shared" si="52"/>
        <v>1.52877828790261</v>
      </c>
      <c r="Q202" s="15">
        <f t="shared" si="53"/>
        <v>0.547742503296655</v>
      </c>
      <c r="R202" s="7">
        <f t="shared" si="54"/>
        <v>0.121435966250323</v>
      </c>
    </row>
    <row r="203" spans="1:18">
      <c r="A203" s="6">
        <v>2006</v>
      </c>
      <c r="B203" s="19" t="s">
        <v>34</v>
      </c>
      <c r="C203" s="6">
        <v>0.3247</v>
      </c>
      <c r="D203" s="6">
        <v>9392</v>
      </c>
      <c r="E203" s="6">
        <v>3049.5824</v>
      </c>
      <c r="F203" s="6">
        <f t="shared" si="55"/>
        <v>6342.4176</v>
      </c>
      <c r="G203" s="6">
        <v>9810.26</v>
      </c>
      <c r="H203" s="15">
        <v>3261.03</v>
      </c>
      <c r="I203" s="15">
        <f t="shared" si="45"/>
        <v>29917196.235424</v>
      </c>
      <c r="J203" s="15">
        <f t="shared" si="46"/>
        <v>20682814.066128</v>
      </c>
      <c r="K203" s="15">
        <f t="shared" si="47"/>
        <v>50600010.301552</v>
      </c>
      <c r="L203" s="15">
        <f t="shared" si="48"/>
        <v>0.591248817087818</v>
      </c>
      <c r="M203" s="15">
        <f t="shared" si="49"/>
        <v>0.408751182912183</v>
      </c>
      <c r="N203" s="15">
        <f t="shared" si="50"/>
        <v>0.3247</v>
      </c>
      <c r="O203" s="15">
        <f t="shared" si="51"/>
        <v>0.6753</v>
      </c>
      <c r="P203" s="15">
        <f t="shared" si="52"/>
        <v>1.82090796762494</v>
      </c>
      <c r="Q203" s="15">
        <f t="shared" si="53"/>
        <v>0.605288290999826</v>
      </c>
      <c r="R203" s="7">
        <f t="shared" si="54"/>
        <v>0.149142560293405</v>
      </c>
    </row>
    <row r="204" spans="1:18">
      <c r="A204" s="6">
        <v>2006</v>
      </c>
      <c r="B204" s="19" t="s">
        <v>35</v>
      </c>
      <c r="C204" s="6">
        <v>0.438</v>
      </c>
      <c r="D204" s="6">
        <v>5693</v>
      </c>
      <c r="E204" s="6">
        <v>2493.534</v>
      </c>
      <c r="F204" s="6">
        <f t="shared" si="55"/>
        <v>3199.466</v>
      </c>
      <c r="G204" s="6">
        <v>9802.65</v>
      </c>
      <c r="H204" s="15">
        <v>3419.35</v>
      </c>
      <c r="I204" s="15">
        <f t="shared" si="45"/>
        <v>24443241.0651</v>
      </c>
      <c r="J204" s="15">
        <f t="shared" si="46"/>
        <v>10940094.0671</v>
      </c>
      <c r="K204" s="15">
        <f t="shared" si="47"/>
        <v>35383335.1322</v>
      </c>
      <c r="L204" s="15">
        <f t="shared" si="48"/>
        <v>0.690812241801815</v>
      </c>
      <c r="M204" s="15">
        <f t="shared" si="49"/>
        <v>0.309187758198185</v>
      </c>
      <c r="N204" s="15">
        <f t="shared" si="50"/>
        <v>0.438</v>
      </c>
      <c r="O204" s="15">
        <f t="shared" si="51"/>
        <v>0.562</v>
      </c>
      <c r="P204" s="15">
        <f t="shared" si="52"/>
        <v>1.5771968990909</v>
      </c>
      <c r="Q204" s="15">
        <f t="shared" si="53"/>
        <v>0.550156153377553</v>
      </c>
      <c r="R204" s="7">
        <f t="shared" si="54"/>
        <v>0.130011904200427</v>
      </c>
    </row>
    <row r="205" spans="1:18">
      <c r="A205" s="6">
        <v>2006</v>
      </c>
      <c r="B205" s="19" t="s">
        <v>36</v>
      </c>
      <c r="C205" s="6">
        <v>0.3871</v>
      </c>
      <c r="D205" s="6">
        <v>6342</v>
      </c>
      <c r="E205" s="6">
        <v>2454.9882</v>
      </c>
      <c r="F205" s="6">
        <f t="shared" si="55"/>
        <v>3887.0118</v>
      </c>
      <c r="G205" s="6">
        <v>10504.67</v>
      </c>
      <c r="H205" s="15">
        <v>3389.62</v>
      </c>
      <c r="I205" s="15">
        <f t="shared" si="45"/>
        <v>25788840.894894</v>
      </c>
      <c r="J205" s="15">
        <f t="shared" si="46"/>
        <v>13175492.937516</v>
      </c>
      <c r="K205" s="15">
        <f t="shared" si="47"/>
        <v>38964333.83241</v>
      </c>
      <c r="L205" s="15">
        <f t="shared" si="48"/>
        <v>0.661857610752816</v>
      </c>
      <c r="M205" s="15">
        <f t="shared" si="49"/>
        <v>0.338142389247184</v>
      </c>
      <c r="N205" s="15">
        <f t="shared" si="50"/>
        <v>0.3871</v>
      </c>
      <c r="O205" s="15">
        <f t="shared" si="51"/>
        <v>0.6129</v>
      </c>
      <c r="P205" s="15">
        <f t="shared" si="52"/>
        <v>1.70978457957328</v>
      </c>
      <c r="Q205" s="15">
        <f t="shared" si="53"/>
        <v>0.551708907239654</v>
      </c>
      <c r="R205" s="7">
        <f t="shared" si="54"/>
        <v>0.153893819321445</v>
      </c>
    </row>
    <row r="206" spans="1:18">
      <c r="A206" s="6">
        <v>2006</v>
      </c>
      <c r="B206" s="19" t="s">
        <v>37</v>
      </c>
      <c r="C206" s="6">
        <v>0.63</v>
      </c>
      <c r="D206" s="6">
        <v>9442</v>
      </c>
      <c r="E206" s="6">
        <v>5948.46</v>
      </c>
      <c r="F206" s="6">
        <f t="shared" si="55"/>
        <v>3493.54</v>
      </c>
      <c r="G206" s="6">
        <v>16015.58</v>
      </c>
      <c r="H206" s="15">
        <v>5079.78</v>
      </c>
      <c r="I206" s="15">
        <f t="shared" si="45"/>
        <v>95268037.0068</v>
      </c>
      <c r="J206" s="15">
        <f t="shared" si="46"/>
        <v>17746414.6212</v>
      </c>
      <c r="K206" s="15">
        <f t="shared" si="47"/>
        <v>113014451.628</v>
      </c>
      <c r="L206" s="15">
        <f t="shared" si="48"/>
        <v>0.8429721653686</v>
      </c>
      <c r="M206" s="15">
        <f t="shared" si="49"/>
        <v>0.157027834631401</v>
      </c>
      <c r="N206" s="15">
        <f t="shared" si="50"/>
        <v>0.63</v>
      </c>
      <c r="O206" s="15">
        <f t="shared" si="51"/>
        <v>0.37</v>
      </c>
      <c r="P206" s="15">
        <f t="shared" si="52"/>
        <v>1.33805105614063</v>
      </c>
      <c r="Q206" s="15">
        <f t="shared" si="53"/>
        <v>0.424399553057839</v>
      </c>
      <c r="R206" s="7">
        <f t="shared" si="54"/>
        <v>0.110899992139861</v>
      </c>
    </row>
    <row r="207" spans="1:18">
      <c r="A207" s="6">
        <v>2006</v>
      </c>
      <c r="B207" s="19" t="s">
        <v>38</v>
      </c>
      <c r="C207" s="6">
        <v>0.3464</v>
      </c>
      <c r="D207" s="6">
        <v>4719</v>
      </c>
      <c r="E207" s="6">
        <v>1634.6616</v>
      </c>
      <c r="F207" s="6">
        <f t="shared" si="55"/>
        <v>3084.3384</v>
      </c>
      <c r="G207" s="6">
        <v>9898.75</v>
      </c>
      <c r="H207" s="15">
        <v>2770.48</v>
      </c>
      <c r="I207" s="15">
        <f t="shared" si="45"/>
        <v>16181106.513</v>
      </c>
      <c r="J207" s="15">
        <f t="shared" si="46"/>
        <v>8545097.850432</v>
      </c>
      <c r="K207" s="15">
        <f t="shared" si="47"/>
        <v>24726204.363432</v>
      </c>
      <c r="L207" s="15">
        <f t="shared" si="48"/>
        <v>0.654411258402867</v>
      </c>
      <c r="M207" s="15">
        <f t="shared" si="49"/>
        <v>0.345588741597133</v>
      </c>
      <c r="N207" s="15">
        <f t="shared" si="50"/>
        <v>0.3464</v>
      </c>
      <c r="O207" s="15">
        <f t="shared" si="51"/>
        <v>0.6536</v>
      </c>
      <c r="P207" s="15">
        <f t="shared" si="52"/>
        <v>1.88917799769881</v>
      </c>
      <c r="Q207" s="15">
        <f t="shared" si="53"/>
        <v>0.528746544671256</v>
      </c>
      <c r="R207" s="7">
        <f t="shared" si="54"/>
        <v>0.196073292015269</v>
      </c>
    </row>
    <row r="208" spans="1:18">
      <c r="A208" s="6">
        <v>2006</v>
      </c>
      <c r="B208" s="19" t="s">
        <v>39</v>
      </c>
      <c r="C208" s="6">
        <v>0.461</v>
      </c>
      <c r="D208" s="6">
        <v>836</v>
      </c>
      <c r="E208" s="6">
        <v>385.396</v>
      </c>
      <c r="F208" s="6">
        <f t="shared" si="55"/>
        <v>450.604</v>
      </c>
      <c r="G208" s="6">
        <v>9395.13</v>
      </c>
      <c r="H208" s="15">
        <v>3255.53</v>
      </c>
      <c r="I208" s="15">
        <f t="shared" si="45"/>
        <v>3620845.52148</v>
      </c>
      <c r="J208" s="15">
        <f t="shared" si="46"/>
        <v>1466954.84012</v>
      </c>
      <c r="K208" s="15">
        <f t="shared" si="47"/>
        <v>5087800.3616</v>
      </c>
      <c r="L208" s="15">
        <f t="shared" si="48"/>
        <v>0.711672090911469</v>
      </c>
      <c r="M208" s="15">
        <f t="shared" si="49"/>
        <v>0.288327909088531</v>
      </c>
      <c r="N208" s="15">
        <f t="shared" si="50"/>
        <v>0.461</v>
      </c>
      <c r="O208" s="15">
        <f t="shared" si="51"/>
        <v>0.539</v>
      </c>
      <c r="P208" s="15">
        <f t="shared" si="52"/>
        <v>1.54375724709646</v>
      </c>
      <c r="Q208" s="15">
        <f t="shared" si="53"/>
        <v>0.534931185693007</v>
      </c>
      <c r="R208" s="7">
        <f t="shared" si="54"/>
        <v>0.1286388081228</v>
      </c>
    </row>
    <row r="209" spans="1:18">
      <c r="A209" s="6">
        <v>2006</v>
      </c>
      <c r="B209" s="19" t="s">
        <v>40</v>
      </c>
      <c r="C209" s="6">
        <v>0.467</v>
      </c>
      <c r="D209" s="6">
        <v>2808</v>
      </c>
      <c r="E209" s="6">
        <v>1311.336</v>
      </c>
      <c r="F209" s="6">
        <f t="shared" si="55"/>
        <v>1496.664</v>
      </c>
      <c r="G209" s="6">
        <v>11569.74</v>
      </c>
      <c r="H209" s="15">
        <v>2873.83</v>
      </c>
      <c r="I209" s="15">
        <f t="shared" si="45"/>
        <v>15171816.57264</v>
      </c>
      <c r="J209" s="15">
        <f t="shared" si="46"/>
        <v>4301157.90312</v>
      </c>
      <c r="K209" s="15">
        <f t="shared" si="47"/>
        <v>19472974.47576</v>
      </c>
      <c r="L209" s="15">
        <f t="shared" si="48"/>
        <v>0.779121679203447</v>
      </c>
      <c r="M209" s="15">
        <f t="shared" si="49"/>
        <v>0.220878320796553</v>
      </c>
      <c r="N209" s="15">
        <f t="shared" si="50"/>
        <v>0.467</v>
      </c>
      <c r="O209" s="15">
        <f t="shared" si="51"/>
        <v>0.533</v>
      </c>
      <c r="P209" s="15">
        <f t="shared" si="52"/>
        <v>1.66835477345492</v>
      </c>
      <c r="Q209" s="15">
        <f t="shared" si="53"/>
        <v>0.414405855153007</v>
      </c>
      <c r="R209" s="7">
        <f t="shared" si="54"/>
        <v>0.204210260690644</v>
      </c>
    </row>
    <row r="210" spans="1:18">
      <c r="A210" s="6">
        <v>2006</v>
      </c>
      <c r="B210" s="19" t="s">
        <v>41</v>
      </c>
      <c r="C210" s="6">
        <v>0.343</v>
      </c>
      <c r="D210" s="6">
        <v>8169</v>
      </c>
      <c r="E210" s="6">
        <v>2801.967</v>
      </c>
      <c r="F210" s="6">
        <f t="shared" si="55"/>
        <v>5367.033</v>
      </c>
      <c r="G210" s="6">
        <v>9350.11</v>
      </c>
      <c r="H210" s="15">
        <v>3002.38</v>
      </c>
      <c r="I210" s="15">
        <f t="shared" si="45"/>
        <v>26198699.66637</v>
      </c>
      <c r="J210" s="15">
        <f t="shared" si="46"/>
        <v>16113872.53854</v>
      </c>
      <c r="K210" s="15">
        <f t="shared" si="47"/>
        <v>42312572.20491</v>
      </c>
      <c r="L210" s="15">
        <f t="shared" si="48"/>
        <v>0.619170575106986</v>
      </c>
      <c r="M210" s="15">
        <f t="shared" si="49"/>
        <v>0.380829424893014</v>
      </c>
      <c r="N210" s="15">
        <f t="shared" si="50"/>
        <v>0.343</v>
      </c>
      <c r="O210" s="15">
        <f t="shared" si="51"/>
        <v>0.657</v>
      </c>
      <c r="P210" s="15">
        <f t="shared" si="52"/>
        <v>1.80516202655098</v>
      </c>
      <c r="Q210" s="15">
        <f t="shared" si="53"/>
        <v>0.5796490485434</v>
      </c>
      <c r="R210" s="7">
        <f t="shared" si="54"/>
        <v>0.158034676571455</v>
      </c>
    </row>
    <row r="211" spans="1:18">
      <c r="A211" s="6">
        <v>2006</v>
      </c>
      <c r="B211" s="19" t="s">
        <v>42</v>
      </c>
      <c r="C211" s="6">
        <v>0.2746</v>
      </c>
      <c r="D211" s="6">
        <v>3690</v>
      </c>
      <c r="E211" s="6">
        <v>1013.274</v>
      </c>
      <c r="F211" s="6">
        <f t="shared" si="55"/>
        <v>2676.726</v>
      </c>
      <c r="G211" s="6">
        <v>9116.61</v>
      </c>
      <c r="H211" s="15">
        <v>1984.62</v>
      </c>
      <c r="I211" s="15">
        <f t="shared" si="45"/>
        <v>9237623.88114</v>
      </c>
      <c r="J211" s="15">
        <f t="shared" si="46"/>
        <v>5312283.95412</v>
      </c>
      <c r="K211" s="15">
        <f t="shared" si="47"/>
        <v>14549907.83526</v>
      </c>
      <c r="L211" s="15">
        <f t="shared" si="48"/>
        <v>0.63489226088111</v>
      </c>
      <c r="M211" s="15">
        <f t="shared" si="49"/>
        <v>0.36510773911889</v>
      </c>
      <c r="N211" s="15">
        <f t="shared" si="50"/>
        <v>0.2746</v>
      </c>
      <c r="O211" s="15">
        <f t="shared" si="51"/>
        <v>0.7254</v>
      </c>
      <c r="P211" s="15">
        <f t="shared" si="52"/>
        <v>2.31206212993849</v>
      </c>
      <c r="Q211" s="15">
        <f t="shared" si="53"/>
        <v>0.503319188198084</v>
      </c>
      <c r="R211" s="7">
        <f t="shared" si="54"/>
        <v>0.281470800585617</v>
      </c>
    </row>
    <row r="212" spans="1:18">
      <c r="A212" s="6">
        <v>2006</v>
      </c>
      <c r="B212" s="19" t="s">
        <v>43</v>
      </c>
      <c r="C212" s="6">
        <v>0.305</v>
      </c>
      <c r="D212" s="6">
        <v>4483</v>
      </c>
      <c r="E212" s="6">
        <v>1367.315</v>
      </c>
      <c r="F212" s="6">
        <f t="shared" si="55"/>
        <v>3115.685</v>
      </c>
      <c r="G212" s="6">
        <v>10069.89</v>
      </c>
      <c r="H212" s="15">
        <v>2250.46</v>
      </c>
      <c r="I212" s="15">
        <f t="shared" si="45"/>
        <v>13768711.64535</v>
      </c>
      <c r="J212" s="15">
        <f t="shared" si="46"/>
        <v>7011724.4651</v>
      </c>
      <c r="K212" s="15">
        <f t="shared" si="47"/>
        <v>20780436.11045</v>
      </c>
      <c r="L212" s="15">
        <f t="shared" si="48"/>
        <v>0.662580495046783</v>
      </c>
      <c r="M212" s="15">
        <f t="shared" si="49"/>
        <v>0.337419504953217</v>
      </c>
      <c r="N212" s="15">
        <f t="shared" si="50"/>
        <v>0.305</v>
      </c>
      <c r="O212" s="15">
        <f t="shared" si="51"/>
        <v>0.695</v>
      </c>
      <c r="P212" s="15">
        <f t="shared" si="52"/>
        <v>2.17239506572716</v>
      </c>
      <c r="Q212" s="15">
        <f t="shared" si="53"/>
        <v>0.485495690580169</v>
      </c>
      <c r="R212" s="7">
        <f t="shared" si="54"/>
        <v>0.270235779939063</v>
      </c>
    </row>
    <row r="213" spans="1:18">
      <c r="A213" s="6">
        <v>2006</v>
      </c>
      <c r="B213" s="19" t="s">
        <v>44</v>
      </c>
      <c r="C213" s="6">
        <v>0.2821</v>
      </c>
      <c r="D213" s="6">
        <v>283</v>
      </c>
      <c r="E213" s="6">
        <v>79.8343</v>
      </c>
      <c r="F213" s="6">
        <f t="shared" si="55"/>
        <v>203.1657</v>
      </c>
      <c r="G213" s="6">
        <v>8941.08</v>
      </c>
      <c r="H213" s="15">
        <v>2435.02</v>
      </c>
      <c r="I213" s="15">
        <f t="shared" si="45"/>
        <v>713804.863044</v>
      </c>
      <c r="J213" s="15">
        <f t="shared" si="46"/>
        <v>494712.542814</v>
      </c>
      <c r="K213" s="15">
        <f t="shared" si="47"/>
        <v>1208517.405858</v>
      </c>
      <c r="L213" s="15">
        <f t="shared" si="48"/>
        <v>0.590645082631</v>
      </c>
      <c r="M213" s="15">
        <f t="shared" si="49"/>
        <v>0.409354917369</v>
      </c>
      <c r="N213" s="15">
        <f t="shared" si="50"/>
        <v>0.2821</v>
      </c>
      <c r="O213" s="15">
        <f t="shared" si="51"/>
        <v>0.7179</v>
      </c>
      <c r="P213" s="15">
        <f t="shared" si="52"/>
        <v>2.09374364633463</v>
      </c>
      <c r="Q213" s="15">
        <f t="shared" si="53"/>
        <v>0.570211613552027</v>
      </c>
      <c r="R213" s="7">
        <f t="shared" si="54"/>
        <v>0.206505160838502</v>
      </c>
    </row>
    <row r="214" spans="1:18">
      <c r="A214" s="6">
        <v>2006</v>
      </c>
      <c r="B214" s="19" t="s">
        <v>45</v>
      </c>
      <c r="C214" s="6">
        <v>0.3912</v>
      </c>
      <c r="D214" s="6">
        <v>3699.25263807238</v>
      </c>
      <c r="E214" s="6">
        <v>1447.14763201391</v>
      </c>
      <c r="F214" s="6">
        <f t="shared" si="55"/>
        <v>2252.10500605847</v>
      </c>
      <c r="G214" s="6">
        <v>9267.7</v>
      </c>
      <c r="H214" s="15">
        <v>2260.19</v>
      </c>
      <c r="I214" s="15">
        <f t="shared" si="45"/>
        <v>13411730.1092153</v>
      </c>
      <c r="J214" s="15">
        <f t="shared" si="46"/>
        <v>5090185.21364329</v>
      </c>
      <c r="K214" s="15">
        <f t="shared" si="47"/>
        <v>18501915.3228586</v>
      </c>
      <c r="L214" s="15">
        <f t="shared" si="48"/>
        <v>0.724883336410339</v>
      </c>
      <c r="M214" s="15">
        <f t="shared" si="49"/>
        <v>0.275116663589661</v>
      </c>
      <c r="N214" s="15">
        <f t="shared" si="50"/>
        <v>0.3912</v>
      </c>
      <c r="O214" s="15">
        <f t="shared" si="51"/>
        <v>0.608800000000001</v>
      </c>
      <c r="P214" s="15">
        <f t="shared" si="52"/>
        <v>1.85297376383011</v>
      </c>
      <c r="Q214" s="15">
        <f t="shared" si="53"/>
        <v>0.451899907341756</v>
      </c>
      <c r="R214" s="7">
        <f t="shared" si="54"/>
        <v>0.228578418134632</v>
      </c>
    </row>
    <row r="215" spans="1:18">
      <c r="A215" s="6">
        <v>2006</v>
      </c>
      <c r="B215" s="19" t="s">
        <v>46</v>
      </c>
      <c r="C215" s="6">
        <v>0.3109</v>
      </c>
      <c r="D215" s="6">
        <v>2546.79</v>
      </c>
      <c r="E215" s="6">
        <v>791.797011</v>
      </c>
      <c r="F215" s="6">
        <f t="shared" si="55"/>
        <v>1754.992989</v>
      </c>
      <c r="G215" s="6">
        <v>8920.59</v>
      </c>
      <c r="H215" s="15">
        <v>2134.05</v>
      </c>
      <c r="I215" s="15">
        <f t="shared" si="45"/>
        <v>7063296.49835649</v>
      </c>
      <c r="J215" s="15">
        <f t="shared" si="46"/>
        <v>3745242.78817545</v>
      </c>
      <c r="K215" s="15">
        <f t="shared" si="47"/>
        <v>10808539.2865319</v>
      </c>
      <c r="L215" s="15">
        <f t="shared" si="48"/>
        <v>0.653492235269734</v>
      </c>
      <c r="M215" s="15">
        <f t="shared" si="49"/>
        <v>0.346507764730266</v>
      </c>
      <c r="N215" s="15">
        <f t="shared" si="50"/>
        <v>0.3109</v>
      </c>
      <c r="O215" s="15">
        <f t="shared" si="51"/>
        <v>0.6891</v>
      </c>
      <c r="P215" s="15">
        <f t="shared" si="52"/>
        <v>2.10193707066495</v>
      </c>
      <c r="Q215" s="15">
        <f t="shared" si="53"/>
        <v>0.502841045900836</v>
      </c>
      <c r="R215" s="7">
        <f t="shared" si="54"/>
        <v>0.247235242936823</v>
      </c>
    </row>
    <row r="216" spans="1:18">
      <c r="A216" s="6">
        <v>2006</v>
      </c>
      <c r="B216" s="19" t="s">
        <v>47</v>
      </c>
      <c r="C216" s="6">
        <v>0.3926</v>
      </c>
      <c r="D216" s="6">
        <v>548</v>
      </c>
      <c r="E216" s="6">
        <v>215.1448</v>
      </c>
      <c r="F216" s="6">
        <f t="shared" si="55"/>
        <v>332.8552</v>
      </c>
      <c r="G216" s="6">
        <v>9000.35</v>
      </c>
      <c r="H216" s="15">
        <v>2358.37</v>
      </c>
      <c r="I216" s="15">
        <f t="shared" si="45"/>
        <v>1936378.50068</v>
      </c>
      <c r="J216" s="15">
        <f t="shared" si="46"/>
        <v>784995.718024</v>
      </c>
      <c r="K216" s="15">
        <f t="shared" si="47"/>
        <v>2721374.218704</v>
      </c>
      <c r="L216" s="15">
        <f t="shared" si="48"/>
        <v>0.71154436878665</v>
      </c>
      <c r="M216" s="15">
        <f t="shared" si="49"/>
        <v>0.28845563121335</v>
      </c>
      <c r="N216" s="15">
        <f t="shared" si="50"/>
        <v>0.3926</v>
      </c>
      <c r="O216" s="15">
        <f t="shared" si="51"/>
        <v>0.6074</v>
      </c>
      <c r="P216" s="15">
        <f t="shared" si="52"/>
        <v>1.81239013954827</v>
      </c>
      <c r="Q216" s="15">
        <f t="shared" si="53"/>
        <v>0.474902257512924</v>
      </c>
      <c r="R216" s="7">
        <f t="shared" si="54"/>
        <v>0.208319953908669</v>
      </c>
    </row>
    <row r="217" spans="1:18">
      <c r="A217" s="6">
        <v>2006</v>
      </c>
      <c r="B217" s="19" t="s">
        <v>48</v>
      </c>
      <c r="C217" s="6">
        <v>0.43</v>
      </c>
      <c r="D217" s="6">
        <v>604</v>
      </c>
      <c r="E217" s="6">
        <v>259.72</v>
      </c>
      <c r="F217" s="6">
        <f t="shared" si="55"/>
        <v>344.28</v>
      </c>
      <c r="G217" s="6">
        <v>9177.26</v>
      </c>
      <c r="H217" s="15">
        <v>2760.14</v>
      </c>
      <c r="I217" s="15">
        <f t="shared" si="45"/>
        <v>2383517.9672</v>
      </c>
      <c r="J217" s="15">
        <f t="shared" si="46"/>
        <v>950260.9992</v>
      </c>
      <c r="K217" s="15">
        <f t="shared" si="47"/>
        <v>3333778.9664</v>
      </c>
      <c r="L217" s="15">
        <f t="shared" si="48"/>
        <v>0.714959807240567</v>
      </c>
      <c r="M217" s="15">
        <f t="shared" si="49"/>
        <v>0.285040192759433</v>
      </c>
      <c r="N217" s="15">
        <f t="shared" si="50"/>
        <v>0.43</v>
      </c>
      <c r="O217" s="15">
        <f t="shared" si="51"/>
        <v>0.57</v>
      </c>
      <c r="P217" s="15">
        <f t="shared" si="52"/>
        <v>1.66269722614085</v>
      </c>
      <c r="Q217" s="15">
        <f t="shared" si="53"/>
        <v>0.500070513613041</v>
      </c>
      <c r="R217" s="7">
        <f t="shared" si="54"/>
        <v>0.165980353909809</v>
      </c>
    </row>
    <row r="218" spans="1:18">
      <c r="A218" s="6">
        <v>2006</v>
      </c>
      <c r="B218" s="19" t="s">
        <v>49</v>
      </c>
      <c r="C218" s="6">
        <v>0.3794</v>
      </c>
      <c r="D218" s="6">
        <v>2050</v>
      </c>
      <c r="E218" s="6">
        <v>777.77</v>
      </c>
      <c r="F218" s="6">
        <f t="shared" si="55"/>
        <v>1272.23</v>
      </c>
      <c r="G218" s="6">
        <v>8871.27</v>
      </c>
      <c r="H218" s="15">
        <v>2737.28</v>
      </c>
      <c r="I218" s="15">
        <f t="shared" si="45"/>
        <v>6899807.6679</v>
      </c>
      <c r="J218" s="15">
        <f t="shared" si="46"/>
        <v>3482449.7344</v>
      </c>
      <c r="K218" s="15">
        <f t="shared" si="47"/>
        <v>10382257.4023</v>
      </c>
      <c r="L218" s="15">
        <f t="shared" si="48"/>
        <v>0.664576825688359</v>
      </c>
      <c r="M218" s="15">
        <f t="shared" si="49"/>
        <v>0.335423174311641</v>
      </c>
      <c r="N218" s="15">
        <f t="shared" si="50"/>
        <v>0.3794</v>
      </c>
      <c r="O218" s="15">
        <f t="shared" si="51"/>
        <v>0.6206</v>
      </c>
      <c r="P218" s="15">
        <f t="shared" si="52"/>
        <v>1.75165214994296</v>
      </c>
      <c r="Q218" s="15">
        <f t="shared" si="53"/>
        <v>0.540482072690366</v>
      </c>
      <c r="R218" s="7">
        <f t="shared" si="54"/>
        <v>0.166151002395151</v>
      </c>
    </row>
    <row r="219" spans="1:18">
      <c r="A219" s="6">
        <v>2007</v>
      </c>
      <c r="B219" s="19" t="s">
        <v>19</v>
      </c>
      <c r="C219" s="6">
        <v>0.845</v>
      </c>
      <c r="D219" s="6">
        <v>1676</v>
      </c>
      <c r="E219" s="6">
        <v>1416.2</v>
      </c>
      <c r="F219" s="6">
        <f t="shared" si="55"/>
        <v>259.8</v>
      </c>
      <c r="G219" s="15">
        <v>21988.71</v>
      </c>
      <c r="H219" s="15">
        <v>9439.63</v>
      </c>
      <c r="I219" s="15">
        <f t="shared" si="45"/>
        <v>31140411.102</v>
      </c>
      <c r="J219" s="15">
        <f t="shared" si="46"/>
        <v>2452415.874</v>
      </c>
      <c r="K219" s="15">
        <f t="shared" si="47"/>
        <v>33592826.976</v>
      </c>
      <c r="L219" s="15">
        <f t="shared" si="48"/>
        <v>0.926995847186303</v>
      </c>
      <c r="M219" s="15">
        <f t="shared" si="49"/>
        <v>0.0730041528136974</v>
      </c>
      <c r="N219" s="15">
        <f t="shared" si="50"/>
        <v>0.845</v>
      </c>
      <c r="O219" s="15">
        <f t="shared" si="51"/>
        <v>0.155011933174224</v>
      </c>
      <c r="P219" s="15">
        <f t="shared" si="52"/>
        <v>1.09703650554592</v>
      </c>
      <c r="Q219" s="15">
        <f t="shared" si="53"/>
        <v>0.470958276042174</v>
      </c>
      <c r="R219" s="7">
        <f t="shared" si="54"/>
        <v>0.0308802757250429</v>
      </c>
    </row>
    <row r="220" spans="1:18">
      <c r="A220" s="6">
        <v>2007</v>
      </c>
      <c r="B220" s="19" t="s">
        <v>20</v>
      </c>
      <c r="C220" s="6">
        <v>0.7631</v>
      </c>
      <c r="D220" s="6">
        <v>1115</v>
      </c>
      <c r="E220" s="6">
        <v>850.8565</v>
      </c>
      <c r="F220" s="6">
        <f t="shared" si="55"/>
        <v>264.1435</v>
      </c>
      <c r="G220" s="15">
        <v>16357.35</v>
      </c>
      <c r="H220" s="15">
        <v>7010.06</v>
      </c>
      <c r="I220" s="15">
        <f t="shared" si="45"/>
        <v>13917757.570275</v>
      </c>
      <c r="J220" s="15">
        <f t="shared" si="46"/>
        <v>1851661.78361</v>
      </c>
      <c r="K220" s="15">
        <f t="shared" si="47"/>
        <v>15769419.353885</v>
      </c>
      <c r="L220" s="15">
        <f t="shared" si="48"/>
        <v>0.882578949671104</v>
      </c>
      <c r="M220" s="15">
        <f t="shared" si="49"/>
        <v>0.117421050328896</v>
      </c>
      <c r="N220" s="15">
        <f t="shared" si="50"/>
        <v>0.7631</v>
      </c>
      <c r="O220" s="15">
        <f t="shared" si="51"/>
        <v>0.2369</v>
      </c>
      <c r="P220" s="15">
        <f t="shared" si="52"/>
        <v>1.15657050146914</v>
      </c>
      <c r="Q220" s="15">
        <f t="shared" si="53"/>
        <v>0.495656607551271</v>
      </c>
      <c r="R220" s="7">
        <f t="shared" si="54"/>
        <v>0.0459646568091162</v>
      </c>
    </row>
    <row r="221" spans="1:18">
      <c r="A221" s="6">
        <v>2007</v>
      </c>
      <c r="B221" s="19" t="s">
        <v>21</v>
      </c>
      <c r="C221" s="6">
        <v>0.4025</v>
      </c>
      <c r="D221" s="6">
        <v>6943</v>
      </c>
      <c r="E221" s="6">
        <v>2794.5575</v>
      </c>
      <c r="F221" s="6">
        <f t="shared" si="55"/>
        <v>4148.4425</v>
      </c>
      <c r="G221" s="15">
        <v>11690.47</v>
      </c>
      <c r="H221" s="15">
        <v>4293.43</v>
      </c>
      <c r="I221" s="15">
        <f t="shared" si="45"/>
        <v>32669690.617025</v>
      </c>
      <c r="J221" s="15">
        <f t="shared" si="46"/>
        <v>17811047.482775</v>
      </c>
      <c r="K221" s="15">
        <f t="shared" si="47"/>
        <v>50480738.0998</v>
      </c>
      <c r="L221" s="15">
        <f t="shared" si="48"/>
        <v>0.647171413231662</v>
      </c>
      <c r="M221" s="15">
        <f t="shared" si="49"/>
        <v>0.352828586768337</v>
      </c>
      <c r="N221" s="15">
        <f t="shared" si="50"/>
        <v>0.4025</v>
      </c>
      <c r="O221" s="15">
        <f t="shared" si="51"/>
        <v>0.5975</v>
      </c>
      <c r="P221" s="15">
        <f t="shared" si="52"/>
        <v>1.60787928753208</v>
      </c>
      <c r="Q221" s="15">
        <f t="shared" si="53"/>
        <v>0.59050809500977</v>
      </c>
      <c r="R221" s="7">
        <f t="shared" si="54"/>
        <v>0.121491925036958</v>
      </c>
    </row>
    <row r="222" spans="1:18">
      <c r="A222" s="6">
        <v>2007</v>
      </c>
      <c r="B222" s="19" t="s">
        <v>22</v>
      </c>
      <c r="C222" s="6">
        <v>0.4403</v>
      </c>
      <c r="D222" s="6">
        <v>3393</v>
      </c>
      <c r="E222" s="6">
        <v>1493.9379</v>
      </c>
      <c r="F222" s="6">
        <f t="shared" si="55"/>
        <v>1899.0621</v>
      </c>
      <c r="G222" s="15">
        <v>11564.95</v>
      </c>
      <c r="H222" s="15">
        <v>3665.66</v>
      </c>
      <c r="I222" s="15">
        <f t="shared" si="45"/>
        <v>17277317.116605</v>
      </c>
      <c r="J222" s="15">
        <f t="shared" si="46"/>
        <v>6961315.977486</v>
      </c>
      <c r="K222" s="15">
        <f t="shared" si="47"/>
        <v>24238633.094091</v>
      </c>
      <c r="L222" s="15">
        <f t="shared" si="48"/>
        <v>0.712800802319869</v>
      </c>
      <c r="M222" s="15">
        <f t="shared" si="49"/>
        <v>0.287199197680131</v>
      </c>
      <c r="N222" s="15">
        <f t="shared" si="50"/>
        <v>0.4403</v>
      </c>
      <c r="O222" s="15">
        <f t="shared" si="51"/>
        <v>0.5597</v>
      </c>
      <c r="P222" s="15">
        <f t="shared" si="52"/>
        <v>1.61889802934333</v>
      </c>
      <c r="Q222" s="15">
        <f t="shared" si="53"/>
        <v>0.513130601536771</v>
      </c>
      <c r="R222" s="7">
        <f t="shared" si="54"/>
        <v>0.151762262746909</v>
      </c>
    </row>
    <row r="223" spans="1:18">
      <c r="A223" s="6">
        <v>2007</v>
      </c>
      <c r="B223" s="19" t="s">
        <v>23</v>
      </c>
      <c r="C223" s="6">
        <v>0.5015</v>
      </c>
      <c r="D223" s="6">
        <v>2428.82796624763</v>
      </c>
      <c r="E223" s="6">
        <v>1218.05722507319</v>
      </c>
      <c r="F223" s="6">
        <f t="shared" si="55"/>
        <v>1210.77074117444</v>
      </c>
      <c r="G223" s="15">
        <v>12377.84</v>
      </c>
      <c r="H223" s="15">
        <v>3953.1</v>
      </c>
      <c r="I223" s="15">
        <f t="shared" si="45"/>
        <v>15076917.4427999</v>
      </c>
      <c r="J223" s="15">
        <f t="shared" si="46"/>
        <v>4786297.81693668</v>
      </c>
      <c r="K223" s="15">
        <f t="shared" si="47"/>
        <v>19863215.2597366</v>
      </c>
      <c r="L223" s="15">
        <f t="shared" si="48"/>
        <v>0.759037106815297</v>
      </c>
      <c r="M223" s="15">
        <f t="shared" si="49"/>
        <v>0.240962893184703</v>
      </c>
      <c r="N223" s="15">
        <f t="shared" si="50"/>
        <v>0.5015</v>
      </c>
      <c r="O223" s="15">
        <f t="shared" si="51"/>
        <v>0.498499999999998</v>
      </c>
      <c r="P223" s="15">
        <f t="shared" si="52"/>
        <v>1.51353361279222</v>
      </c>
      <c r="Q223" s="15">
        <f t="shared" si="53"/>
        <v>0.483375914111743</v>
      </c>
      <c r="R223" s="7">
        <f t="shared" si="54"/>
        <v>0.139410157191118</v>
      </c>
    </row>
    <row r="224" spans="1:18">
      <c r="A224" s="6">
        <v>2007</v>
      </c>
      <c r="B224" s="19" t="s">
        <v>24</v>
      </c>
      <c r="C224" s="6">
        <v>0.592</v>
      </c>
      <c r="D224" s="6">
        <v>4298</v>
      </c>
      <c r="E224" s="6">
        <v>2544.416</v>
      </c>
      <c r="F224" s="6">
        <f t="shared" si="55"/>
        <v>1753.584</v>
      </c>
      <c r="G224" s="15">
        <v>12300.39</v>
      </c>
      <c r="H224" s="15">
        <v>4773.43</v>
      </c>
      <c r="I224" s="15">
        <f t="shared" ref="I224:I287" si="56">E224*G224</f>
        <v>31297309.12224</v>
      </c>
      <c r="J224" s="15">
        <f t="shared" ref="J224:J287" si="57">F224*H224</f>
        <v>8370610.47312</v>
      </c>
      <c r="K224" s="15">
        <f t="shared" ref="K224:K287" si="58">I224+J224</f>
        <v>39667919.59536</v>
      </c>
      <c r="L224" s="15">
        <f t="shared" ref="L224:L287" si="59">I224/K224</f>
        <v>0.788982871839361</v>
      </c>
      <c r="M224" s="15">
        <f t="shared" ref="M224:M287" si="60">J224/K224</f>
        <v>0.211017128160639</v>
      </c>
      <c r="N224" s="15">
        <f t="shared" ref="N224:N287" si="61">C224</f>
        <v>0.592</v>
      </c>
      <c r="O224" s="15">
        <f t="shared" ref="O224:O287" si="62">F224/D224</f>
        <v>0.408</v>
      </c>
      <c r="P224" s="15">
        <f t="shared" ref="P224:P287" si="63">(L224/N224)</f>
        <v>1.33274133756649</v>
      </c>
      <c r="Q224" s="15">
        <f t="shared" ref="Q224:Q287" si="64">M224/O224</f>
        <v>0.517198843530978</v>
      </c>
      <c r="R224" s="7">
        <f t="shared" ref="R224:R287" si="65">L224*LN(P224)+M224*LN(Q224)</f>
        <v>0.0874963707751568</v>
      </c>
    </row>
    <row r="225" spans="1:18">
      <c r="A225" s="6">
        <v>2007</v>
      </c>
      <c r="B225" s="19" t="s">
        <v>25</v>
      </c>
      <c r="C225" s="6">
        <v>0.5316</v>
      </c>
      <c r="D225" s="6">
        <v>2730</v>
      </c>
      <c r="E225" s="6">
        <v>1451.268</v>
      </c>
      <c r="F225" s="6">
        <f t="shared" si="55"/>
        <v>1278.732</v>
      </c>
      <c r="G225" s="15">
        <v>11285.52</v>
      </c>
      <c r="H225" s="15">
        <v>4191.34</v>
      </c>
      <c r="I225" s="15">
        <f t="shared" si="56"/>
        <v>16378314.03936</v>
      </c>
      <c r="J225" s="15">
        <f t="shared" si="57"/>
        <v>5359600.58088</v>
      </c>
      <c r="K225" s="15">
        <f t="shared" si="58"/>
        <v>21737914.62024</v>
      </c>
      <c r="L225" s="15">
        <f t="shared" si="59"/>
        <v>0.753444584059148</v>
      </c>
      <c r="M225" s="15">
        <f t="shared" si="60"/>
        <v>0.246555415940852</v>
      </c>
      <c r="N225" s="15">
        <f t="shared" si="61"/>
        <v>0.5316</v>
      </c>
      <c r="O225" s="15">
        <f t="shared" si="62"/>
        <v>0.4684</v>
      </c>
      <c r="P225" s="15">
        <f t="shared" si="63"/>
        <v>1.41731486843331</v>
      </c>
      <c r="Q225" s="15">
        <f t="shared" si="64"/>
        <v>0.526377916184569</v>
      </c>
      <c r="R225" s="7">
        <f t="shared" si="65"/>
        <v>0.104551005258325</v>
      </c>
    </row>
    <row r="226" spans="1:18">
      <c r="A226" s="6">
        <v>2007</v>
      </c>
      <c r="B226" s="19" t="s">
        <v>26</v>
      </c>
      <c r="C226" s="6">
        <v>0.539</v>
      </c>
      <c r="D226" s="6">
        <v>3824</v>
      </c>
      <c r="E226" s="6">
        <v>2061.136</v>
      </c>
      <c r="F226" s="6">
        <f t="shared" si="55"/>
        <v>1762.864</v>
      </c>
      <c r="G226" s="15">
        <v>10245.28</v>
      </c>
      <c r="H226" s="15">
        <v>4132.29</v>
      </c>
      <c r="I226" s="15">
        <f t="shared" si="56"/>
        <v>21116915.43808</v>
      </c>
      <c r="J226" s="15">
        <f t="shared" si="57"/>
        <v>7284665.27856</v>
      </c>
      <c r="K226" s="15">
        <f t="shared" si="58"/>
        <v>28401580.71664</v>
      </c>
      <c r="L226" s="15">
        <f t="shared" si="59"/>
        <v>0.743511977335401</v>
      </c>
      <c r="M226" s="15">
        <f t="shared" si="60"/>
        <v>0.256488022664599</v>
      </c>
      <c r="N226" s="15">
        <f t="shared" si="61"/>
        <v>0.539</v>
      </c>
      <c r="O226" s="15">
        <f t="shared" si="62"/>
        <v>0.461</v>
      </c>
      <c r="P226" s="15">
        <f t="shared" si="63"/>
        <v>1.37942852937922</v>
      </c>
      <c r="Q226" s="15">
        <f t="shared" si="64"/>
        <v>0.556373151116267</v>
      </c>
      <c r="R226" s="7">
        <f t="shared" si="65"/>
        <v>0.088781929789302</v>
      </c>
    </row>
    <row r="227" spans="1:18">
      <c r="A227" s="6">
        <v>2007</v>
      </c>
      <c r="B227" s="19" t="s">
        <v>27</v>
      </c>
      <c r="C227" s="6">
        <v>0.887</v>
      </c>
      <c r="D227" s="6">
        <v>2063.58</v>
      </c>
      <c r="E227" s="6">
        <v>1830.39546</v>
      </c>
      <c r="F227" s="6">
        <f t="shared" si="55"/>
        <v>233.18454</v>
      </c>
      <c r="G227" s="15">
        <v>23622.73</v>
      </c>
      <c r="H227" s="15">
        <v>10144.62</v>
      </c>
      <c r="I227" s="15">
        <f t="shared" si="56"/>
        <v>43238937.7448058</v>
      </c>
      <c r="J227" s="15">
        <f t="shared" si="57"/>
        <v>2365568.5481748</v>
      </c>
      <c r="K227" s="15">
        <f t="shared" si="58"/>
        <v>45604506.2929806</v>
      </c>
      <c r="L227" s="15">
        <f t="shared" si="59"/>
        <v>0.948128622794916</v>
      </c>
      <c r="M227" s="15">
        <f t="shared" si="60"/>
        <v>0.0518713772050835</v>
      </c>
      <c r="N227" s="15">
        <f t="shared" si="61"/>
        <v>0.887</v>
      </c>
      <c r="O227" s="15">
        <f t="shared" si="62"/>
        <v>0.113</v>
      </c>
      <c r="P227" s="15">
        <f t="shared" si="63"/>
        <v>1.06891614745763</v>
      </c>
      <c r="Q227" s="15">
        <f t="shared" si="64"/>
        <v>0.459038736328172</v>
      </c>
      <c r="R227" s="7">
        <f t="shared" si="65"/>
        <v>0.0228000840970287</v>
      </c>
    </row>
    <row r="228" spans="1:18">
      <c r="A228" s="6">
        <v>2007</v>
      </c>
      <c r="B228" s="19" t="s">
        <v>28</v>
      </c>
      <c r="C228" s="6">
        <v>0.532</v>
      </c>
      <c r="D228" s="6">
        <v>7723</v>
      </c>
      <c r="E228" s="6">
        <v>4108.636</v>
      </c>
      <c r="F228" s="6">
        <f t="shared" si="55"/>
        <v>3614.364</v>
      </c>
      <c r="G228" s="15">
        <v>16378.01</v>
      </c>
      <c r="H228" s="15">
        <v>6561.01</v>
      </c>
      <c r="I228" s="15">
        <f t="shared" si="56"/>
        <v>67291281.49436</v>
      </c>
      <c r="J228" s="15">
        <f t="shared" si="57"/>
        <v>23713878.34764</v>
      </c>
      <c r="K228" s="15">
        <f t="shared" si="58"/>
        <v>91005159.842</v>
      </c>
      <c r="L228" s="15">
        <f t="shared" si="59"/>
        <v>0.739422705384934</v>
      </c>
      <c r="M228" s="15">
        <f t="shared" si="60"/>
        <v>0.260577294615066</v>
      </c>
      <c r="N228" s="15">
        <f t="shared" si="61"/>
        <v>0.532</v>
      </c>
      <c r="O228" s="15">
        <f t="shared" si="62"/>
        <v>0.468</v>
      </c>
      <c r="P228" s="15">
        <f t="shared" si="63"/>
        <v>1.38989230335514</v>
      </c>
      <c r="Q228" s="15">
        <f t="shared" si="64"/>
        <v>0.556789091057833</v>
      </c>
      <c r="R228" s="7">
        <f t="shared" si="65"/>
        <v>0.090851451302454</v>
      </c>
    </row>
    <row r="229" spans="1:18">
      <c r="A229" s="6">
        <v>2007</v>
      </c>
      <c r="B229" s="19" t="s">
        <v>29</v>
      </c>
      <c r="C229" s="6">
        <v>0.572</v>
      </c>
      <c r="D229" s="6">
        <v>5154.9</v>
      </c>
      <c r="E229" s="6">
        <v>2948.6028</v>
      </c>
      <c r="F229" s="6">
        <f t="shared" si="55"/>
        <v>2206.2972</v>
      </c>
      <c r="G229" s="15">
        <v>20573.82</v>
      </c>
      <c r="H229" s="15">
        <v>8265.15</v>
      </c>
      <c r="I229" s="15">
        <f t="shared" si="56"/>
        <v>60664023.258696</v>
      </c>
      <c r="J229" s="15">
        <f t="shared" si="57"/>
        <v>18235377.30258</v>
      </c>
      <c r="K229" s="15">
        <f t="shared" si="58"/>
        <v>78899400.561276</v>
      </c>
      <c r="L229" s="15">
        <f t="shared" si="59"/>
        <v>0.768878126159935</v>
      </c>
      <c r="M229" s="15">
        <f t="shared" si="60"/>
        <v>0.231121873840065</v>
      </c>
      <c r="N229" s="15">
        <f t="shared" si="61"/>
        <v>0.572</v>
      </c>
      <c r="O229" s="15">
        <f t="shared" si="62"/>
        <v>0.428</v>
      </c>
      <c r="P229" s="15">
        <f t="shared" si="63"/>
        <v>1.34419252825163</v>
      </c>
      <c r="Q229" s="15">
        <f t="shared" si="64"/>
        <v>0.540004378130993</v>
      </c>
      <c r="R229" s="7">
        <f t="shared" si="65"/>
        <v>0.0850169168624233</v>
      </c>
    </row>
    <row r="230" spans="1:18">
      <c r="A230" s="6">
        <v>2007</v>
      </c>
      <c r="B230" s="19" t="s">
        <v>30</v>
      </c>
      <c r="C230" s="6">
        <v>0.387</v>
      </c>
      <c r="D230" s="6">
        <v>6118</v>
      </c>
      <c r="E230" s="6">
        <v>2367.666</v>
      </c>
      <c r="F230" s="6">
        <f t="shared" si="55"/>
        <v>3750.334</v>
      </c>
      <c r="G230" s="15">
        <v>11473.58</v>
      </c>
      <c r="H230" s="15">
        <v>3556.27</v>
      </c>
      <c r="I230" s="15">
        <f t="shared" si="56"/>
        <v>27165605.26428</v>
      </c>
      <c r="J230" s="15">
        <f t="shared" si="57"/>
        <v>13337200.29418</v>
      </c>
      <c r="K230" s="15">
        <f t="shared" si="58"/>
        <v>40502805.55846</v>
      </c>
      <c r="L230" s="15">
        <f t="shared" si="59"/>
        <v>0.670709223465282</v>
      </c>
      <c r="M230" s="15">
        <f t="shared" si="60"/>
        <v>0.329290776534718</v>
      </c>
      <c r="N230" s="15">
        <f t="shared" si="61"/>
        <v>0.387</v>
      </c>
      <c r="O230" s="15">
        <f t="shared" si="62"/>
        <v>0.613</v>
      </c>
      <c r="P230" s="15">
        <f t="shared" si="63"/>
        <v>1.73309876864414</v>
      </c>
      <c r="Q230" s="15">
        <f t="shared" si="64"/>
        <v>0.537179080807045</v>
      </c>
      <c r="R230" s="7">
        <f t="shared" si="65"/>
        <v>0.164201269858598</v>
      </c>
    </row>
    <row r="231" spans="1:18">
      <c r="A231" s="6">
        <v>2007</v>
      </c>
      <c r="B231" s="19" t="s">
        <v>31</v>
      </c>
      <c r="C231" s="6">
        <v>0.487</v>
      </c>
      <c r="D231" s="6">
        <v>3611.6375</v>
      </c>
      <c r="E231" s="6">
        <v>1758.8674625</v>
      </c>
      <c r="F231" s="6">
        <f t="shared" si="55"/>
        <v>1852.7700375</v>
      </c>
      <c r="G231" s="15">
        <v>15506.05</v>
      </c>
      <c r="H231" s="15">
        <v>5467.08</v>
      </c>
      <c r="I231" s="15">
        <f t="shared" si="56"/>
        <v>27273086.8168981</v>
      </c>
      <c r="J231" s="15">
        <f t="shared" si="57"/>
        <v>10129242.0166155</v>
      </c>
      <c r="K231" s="15">
        <f t="shared" si="58"/>
        <v>37402328.8335136</v>
      </c>
      <c r="L231" s="15">
        <f t="shared" si="59"/>
        <v>0.729181515362236</v>
      </c>
      <c r="M231" s="15">
        <f t="shared" si="60"/>
        <v>0.270818484637764</v>
      </c>
      <c r="N231" s="15">
        <f t="shared" si="61"/>
        <v>0.487</v>
      </c>
      <c r="O231" s="15">
        <f t="shared" si="62"/>
        <v>0.513</v>
      </c>
      <c r="P231" s="15">
        <f t="shared" si="63"/>
        <v>1.49729263934751</v>
      </c>
      <c r="Q231" s="15">
        <f t="shared" si="64"/>
        <v>0.527911276097005</v>
      </c>
      <c r="R231" s="7">
        <f t="shared" si="65"/>
        <v>0.121334195067956</v>
      </c>
    </row>
    <row r="232" spans="1:18">
      <c r="A232" s="6">
        <v>2007</v>
      </c>
      <c r="B232" s="19" t="s">
        <v>32</v>
      </c>
      <c r="C232" s="6">
        <v>0.398</v>
      </c>
      <c r="D232" s="6">
        <v>4368</v>
      </c>
      <c r="E232" s="6">
        <v>1738.464</v>
      </c>
      <c r="F232" s="6">
        <f t="shared" si="55"/>
        <v>2629.536</v>
      </c>
      <c r="G232" s="15">
        <v>11451.69</v>
      </c>
      <c r="H232" s="15">
        <v>4044.7</v>
      </c>
      <c r="I232" s="15">
        <f t="shared" si="56"/>
        <v>19908350.80416</v>
      </c>
      <c r="J232" s="15">
        <f t="shared" si="57"/>
        <v>10635684.2592</v>
      </c>
      <c r="K232" s="15">
        <f t="shared" si="58"/>
        <v>30544035.06336</v>
      </c>
      <c r="L232" s="15">
        <f t="shared" si="59"/>
        <v>0.651791774166788</v>
      </c>
      <c r="M232" s="15">
        <f t="shared" si="60"/>
        <v>0.348208225833212</v>
      </c>
      <c r="N232" s="15">
        <f t="shared" si="61"/>
        <v>0.398</v>
      </c>
      <c r="O232" s="15">
        <f t="shared" si="62"/>
        <v>0.602</v>
      </c>
      <c r="P232" s="15">
        <f t="shared" si="63"/>
        <v>1.63766777428841</v>
      </c>
      <c r="Q232" s="15">
        <f t="shared" si="64"/>
        <v>0.578418979789388</v>
      </c>
      <c r="R232" s="7">
        <f t="shared" si="65"/>
        <v>0.130882416538644</v>
      </c>
    </row>
    <row r="233" spans="1:18">
      <c r="A233" s="6">
        <v>2007</v>
      </c>
      <c r="B233" s="19" t="s">
        <v>33</v>
      </c>
      <c r="C233" s="6">
        <v>0.4675</v>
      </c>
      <c r="D233" s="6">
        <v>9367</v>
      </c>
      <c r="E233" s="6">
        <v>4379.0725</v>
      </c>
      <c r="F233" s="6">
        <f t="shared" si="55"/>
        <v>4987.9275</v>
      </c>
      <c r="G233" s="15">
        <v>14264.7</v>
      </c>
      <c r="H233" s="15">
        <v>4985.34</v>
      </c>
      <c r="I233" s="15">
        <f t="shared" si="56"/>
        <v>62466155.49075</v>
      </c>
      <c r="J233" s="15">
        <f t="shared" si="57"/>
        <v>24866514.48285</v>
      </c>
      <c r="K233" s="15">
        <f t="shared" si="58"/>
        <v>87332669.9736</v>
      </c>
      <c r="L233" s="15">
        <f t="shared" si="59"/>
        <v>0.715266755380696</v>
      </c>
      <c r="M233" s="15">
        <f t="shared" si="60"/>
        <v>0.284733244619304</v>
      </c>
      <c r="N233" s="15">
        <f t="shared" si="61"/>
        <v>0.4675</v>
      </c>
      <c r="O233" s="15">
        <f t="shared" si="62"/>
        <v>0.5325</v>
      </c>
      <c r="P233" s="15">
        <f t="shared" si="63"/>
        <v>1.52998236445069</v>
      </c>
      <c r="Q233" s="15">
        <f t="shared" si="64"/>
        <v>0.534710318533904</v>
      </c>
      <c r="R233" s="7">
        <f t="shared" si="65"/>
        <v>0.125920035874379</v>
      </c>
    </row>
    <row r="234" spans="1:18">
      <c r="A234" s="6">
        <v>2007</v>
      </c>
      <c r="B234" s="19" t="s">
        <v>34</v>
      </c>
      <c r="C234" s="6">
        <v>0.3434</v>
      </c>
      <c r="D234" s="6">
        <v>9360</v>
      </c>
      <c r="E234" s="6">
        <v>3214.224</v>
      </c>
      <c r="F234" s="6">
        <f t="shared" si="55"/>
        <v>6145.776</v>
      </c>
      <c r="G234" s="15">
        <v>11477.05</v>
      </c>
      <c r="H234" s="15">
        <v>3851.6</v>
      </c>
      <c r="I234" s="15">
        <f t="shared" si="56"/>
        <v>36889809.5592</v>
      </c>
      <c r="J234" s="15">
        <f t="shared" si="57"/>
        <v>23671070.8416</v>
      </c>
      <c r="K234" s="15">
        <f t="shared" si="58"/>
        <v>60560880.4008</v>
      </c>
      <c r="L234" s="15">
        <f t="shared" si="59"/>
        <v>0.609135952368234</v>
      </c>
      <c r="M234" s="15">
        <f t="shared" si="60"/>
        <v>0.390864047631766</v>
      </c>
      <c r="N234" s="15">
        <f t="shared" si="61"/>
        <v>0.3434</v>
      </c>
      <c r="O234" s="15">
        <f t="shared" si="62"/>
        <v>0.6566</v>
      </c>
      <c r="P234" s="15">
        <f t="shared" si="63"/>
        <v>1.77383795098496</v>
      </c>
      <c r="Q234" s="15">
        <f t="shared" si="64"/>
        <v>0.595284873030409</v>
      </c>
      <c r="R234" s="7">
        <f t="shared" si="65"/>
        <v>0.146376423634045</v>
      </c>
    </row>
    <row r="235" spans="1:18">
      <c r="A235" s="6">
        <v>2007</v>
      </c>
      <c r="B235" s="19" t="s">
        <v>35</v>
      </c>
      <c r="C235" s="6">
        <v>0.443</v>
      </c>
      <c r="D235" s="6">
        <v>5699</v>
      </c>
      <c r="E235" s="6">
        <v>2524.657</v>
      </c>
      <c r="F235" s="6">
        <f t="shared" si="55"/>
        <v>3174.343</v>
      </c>
      <c r="G235" s="15">
        <v>11485.8</v>
      </c>
      <c r="H235" s="15">
        <v>3997.48</v>
      </c>
      <c r="I235" s="15">
        <f t="shared" si="56"/>
        <v>28997705.3706</v>
      </c>
      <c r="J235" s="15">
        <f t="shared" si="57"/>
        <v>12689372.65564</v>
      </c>
      <c r="K235" s="15">
        <f t="shared" si="58"/>
        <v>41687078.02624</v>
      </c>
      <c r="L235" s="15">
        <f t="shared" si="59"/>
        <v>0.69560417144966</v>
      </c>
      <c r="M235" s="15">
        <f t="shared" si="60"/>
        <v>0.30439582855034</v>
      </c>
      <c r="N235" s="15">
        <f t="shared" si="61"/>
        <v>0.443</v>
      </c>
      <c r="O235" s="15">
        <f t="shared" si="62"/>
        <v>0.557</v>
      </c>
      <c r="P235" s="15">
        <f t="shared" si="63"/>
        <v>1.5702125766358</v>
      </c>
      <c r="Q235" s="15">
        <f t="shared" si="64"/>
        <v>0.546491613196302</v>
      </c>
      <c r="R235" s="7">
        <f t="shared" si="65"/>
        <v>0.129937245670823</v>
      </c>
    </row>
    <row r="236" spans="1:18">
      <c r="A236" s="6">
        <v>2007</v>
      </c>
      <c r="B236" s="19" t="s">
        <v>36</v>
      </c>
      <c r="C236" s="6">
        <v>0.4045</v>
      </c>
      <c r="D236" s="6">
        <v>6355</v>
      </c>
      <c r="E236" s="6">
        <v>2570.5975</v>
      </c>
      <c r="F236" s="6">
        <f t="shared" si="55"/>
        <v>3784.4025</v>
      </c>
      <c r="G236" s="15">
        <v>12293.54</v>
      </c>
      <c r="H236" s="15">
        <v>3904.2</v>
      </c>
      <c r="I236" s="15">
        <f t="shared" si="56"/>
        <v>31601743.19015</v>
      </c>
      <c r="J236" s="15">
        <f t="shared" si="57"/>
        <v>14775064.2405</v>
      </c>
      <c r="K236" s="15">
        <f t="shared" si="58"/>
        <v>46376807.43065</v>
      </c>
      <c r="L236" s="15">
        <f t="shared" si="59"/>
        <v>0.681412648712527</v>
      </c>
      <c r="M236" s="15">
        <f t="shared" si="60"/>
        <v>0.318587351287473</v>
      </c>
      <c r="N236" s="15">
        <f t="shared" si="61"/>
        <v>0.4045</v>
      </c>
      <c r="O236" s="15">
        <f t="shared" si="62"/>
        <v>0.5955</v>
      </c>
      <c r="P236" s="15">
        <f t="shared" si="63"/>
        <v>1.68458009570464</v>
      </c>
      <c r="Q236" s="15">
        <f t="shared" si="64"/>
        <v>0.53499135396721</v>
      </c>
      <c r="R236" s="7">
        <f t="shared" si="65"/>
        <v>0.156089941347828</v>
      </c>
    </row>
    <row r="237" spans="1:18">
      <c r="A237" s="6">
        <v>2007</v>
      </c>
      <c r="B237" s="19" t="s">
        <v>37</v>
      </c>
      <c r="C237" s="6">
        <v>0.6314</v>
      </c>
      <c r="D237" s="6">
        <v>9660</v>
      </c>
      <c r="E237" s="6">
        <v>6099.324</v>
      </c>
      <c r="F237" s="6">
        <f t="shared" si="55"/>
        <v>3560.676</v>
      </c>
      <c r="G237" s="15">
        <v>17699.3</v>
      </c>
      <c r="H237" s="15">
        <v>5624.04</v>
      </c>
      <c r="I237" s="15">
        <f t="shared" si="56"/>
        <v>107953765.2732</v>
      </c>
      <c r="J237" s="15">
        <f t="shared" si="57"/>
        <v>20025384.25104</v>
      </c>
      <c r="K237" s="15">
        <f t="shared" si="58"/>
        <v>127979149.52424</v>
      </c>
      <c r="L237" s="15">
        <f t="shared" si="59"/>
        <v>0.843526196841564</v>
      </c>
      <c r="M237" s="15">
        <f t="shared" si="60"/>
        <v>0.156473803158436</v>
      </c>
      <c r="N237" s="15">
        <f t="shared" si="61"/>
        <v>0.6314</v>
      </c>
      <c r="O237" s="15">
        <f t="shared" si="62"/>
        <v>0.3686</v>
      </c>
      <c r="P237" s="15">
        <f t="shared" si="63"/>
        <v>1.33596166747159</v>
      </c>
      <c r="Q237" s="15">
        <f t="shared" si="64"/>
        <v>0.424508418769496</v>
      </c>
      <c r="R237" s="7">
        <f t="shared" si="65"/>
        <v>0.110258106766931</v>
      </c>
    </row>
    <row r="238" spans="1:18">
      <c r="A238" s="6">
        <v>2007</v>
      </c>
      <c r="B238" s="19" t="s">
        <v>38</v>
      </c>
      <c r="C238" s="6">
        <v>0.3624</v>
      </c>
      <c r="D238" s="6">
        <v>4768</v>
      </c>
      <c r="E238" s="6">
        <v>1727.9232</v>
      </c>
      <c r="F238" s="6">
        <f t="shared" si="55"/>
        <v>3040.0768</v>
      </c>
      <c r="G238" s="15">
        <v>12200.44</v>
      </c>
      <c r="H238" s="15">
        <v>3224.05</v>
      </c>
      <c r="I238" s="15">
        <f t="shared" si="56"/>
        <v>21081423.326208</v>
      </c>
      <c r="J238" s="15">
        <f t="shared" si="57"/>
        <v>9801359.60704</v>
      </c>
      <c r="K238" s="15">
        <f t="shared" si="58"/>
        <v>30882782.933248</v>
      </c>
      <c r="L238" s="15">
        <f t="shared" si="59"/>
        <v>0.682627060254729</v>
      </c>
      <c r="M238" s="15">
        <f t="shared" si="60"/>
        <v>0.317372939745271</v>
      </c>
      <c r="N238" s="15">
        <f t="shared" si="61"/>
        <v>0.3624</v>
      </c>
      <c r="O238" s="15">
        <f t="shared" si="62"/>
        <v>0.6376</v>
      </c>
      <c r="P238" s="15">
        <f t="shared" si="63"/>
        <v>1.88362875346228</v>
      </c>
      <c r="Q238" s="15">
        <f t="shared" si="64"/>
        <v>0.497761825196473</v>
      </c>
      <c r="R238" s="7">
        <f t="shared" si="65"/>
        <v>0.210829506004703</v>
      </c>
    </row>
    <row r="239" spans="1:18">
      <c r="A239" s="6">
        <v>2007</v>
      </c>
      <c r="B239" s="19" t="s">
        <v>39</v>
      </c>
      <c r="C239" s="6">
        <v>0.472</v>
      </c>
      <c r="D239" s="6">
        <v>845</v>
      </c>
      <c r="E239" s="6">
        <v>398.84</v>
      </c>
      <c r="F239" s="6">
        <f t="shared" si="55"/>
        <v>446.16</v>
      </c>
      <c r="G239" s="15">
        <v>10996.87</v>
      </c>
      <c r="H239" s="15">
        <v>3791.37</v>
      </c>
      <c r="I239" s="15">
        <f t="shared" si="56"/>
        <v>4385991.6308</v>
      </c>
      <c r="J239" s="15">
        <f t="shared" si="57"/>
        <v>1691557.6392</v>
      </c>
      <c r="K239" s="15">
        <f t="shared" si="58"/>
        <v>6077549.27</v>
      </c>
      <c r="L239" s="15">
        <f t="shared" si="59"/>
        <v>0.721671094046104</v>
      </c>
      <c r="M239" s="15">
        <f t="shared" si="60"/>
        <v>0.278328905953896</v>
      </c>
      <c r="N239" s="15">
        <f t="shared" si="61"/>
        <v>0.472</v>
      </c>
      <c r="O239" s="15">
        <f t="shared" si="62"/>
        <v>0.528</v>
      </c>
      <c r="P239" s="15">
        <f t="shared" si="63"/>
        <v>1.52896418230107</v>
      </c>
      <c r="Q239" s="15">
        <f t="shared" si="64"/>
        <v>0.527138079458137</v>
      </c>
      <c r="R239" s="7">
        <f t="shared" si="65"/>
        <v>0.128202709628067</v>
      </c>
    </row>
    <row r="240" spans="1:18">
      <c r="A240" s="6">
        <v>2007</v>
      </c>
      <c r="B240" s="19" t="s">
        <v>40</v>
      </c>
      <c r="C240" s="6">
        <v>0.4834</v>
      </c>
      <c r="D240" s="6">
        <v>2816</v>
      </c>
      <c r="E240" s="6">
        <v>1361.2544</v>
      </c>
      <c r="F240" s="6">
        <f t="shared" si="55"/>
        <v>1454.7456</v>
      </c>
      <c r="G240" s="15">
        <v>12590.78</v>
      </c>
      <c r="H240" s="15">
        <v>3509.29</v>
      </c>
      <c r="I240" s="15">
        <f t="shared" si="56"/>
        <v>17139254.674432</v>
      </c>
      <c r="J240" s="15">
        <f t="shared" si="57"/>
        <v>5105124.186624</v>
      </c>
      <c r="K240" s="15">
        <f t="shared" si="58"/>
        <v>22244378.861056</v>
      </c>
      <c r="L240" s="15">
        <f t="shared" si="59"/>
        <v>0.770498236048222</v>
      </c>
      <c r="M240" s="15">
        <f t="shared" si="60"/>
        <v>0.229501763951778</v>
      </c>
      <c r="N240" s="15">
        <f t="shared" si="61"/>
        <v>0.4834</v>
      </c>
      <c r="O240" s="15">
        <f t="shared" si="62"/>
        <v>0.5166</v>
      </c>
      <c r="P240" s="15">
        <f t="shared" si="63"/>
        <v>1.59391443121271</v>
      </c>
      <c r="Q240" s="15">
        <f t="shared" si="64"/>
        <v>0.444254285620941</v>
      </c>
      <c r="R240" s="7">
        <f t="shared" si="65"/>
        <v>0.172992674802404</v>
      </c>
    </row>
    <row r="241" spans="1:18">
      <c r="A241" s="6">
        <v>2007</v>
      </c>
      <c r="B241" s="19" t="s">
        <v>41</v>
      </c>
      <c r="C241" s="6">
        <v>0.356</v>
      </c>
      <c r="D241" s="6">
        <v>8127</v>
      </c>
      <c r="E241" s="6">
        <v>2893.212</v>
      </c>
      <c r="F241" s="6">
        <f t="shared" si="55"/>
        <v>5233.788</v>
      </c>
      <c r="G241" s="15">
        <v>11098.28</v>
      </c>
      <c r="H241" s="15">
        <v>3546.69</v>
      </c>
      <c r="I241" s="15">
        <f t="shared" si="56"/>
        <v>32109676.87536</v>
      </c>
      <c r="J241" s="15">
        <f t="shared" si="57"/>
        <v>18562623.56172</v>
      </c>
      <c r="K241" s="15">
        <f t="shared" si="58"/>
        <v>50672300.43708</v>
      </c>
      <c r="L241" s="15">
        <f t="shared" si="59"/>
        <v>0.63367316262325</v>
      </c>
      <c r="M241" s="15">
        <f t="shared" si="60"/>
        <v>0.36632683737675</v>
      </c>
      <c r="N241" s="15">
        <f t="shared" si="61"/>
        <v>0.356</v>
      </c>
      <c r="O241" s="15">
        <f t="shared" si="62"/>
        <v>0.644</v>
      </c>
      <c r="P241" s="15">
        <f t="shared" si="63"/>
        <v>1.77998079388553</v>
      </c>
      <c r="Q241" s="15">
        <f t="shared" si="64"/>
        <v>0.56883049282104</v>
      </c>
      <c r="R241" s="7">
        <f t="shared" si="65"/>
        <v>0.158705941875486</v>
      </c>
    </row>
    <row r="242" spans="1:18">
      <c r="A242" s="6">
        <v>2007</v>
      </c>
      <c r="B242" s="19" t="s">
        <v>42</v>
      </c>
      <c r="C242" s="6">
        <v>0.2824</v>
      </c>
      <c r="D242" s="6">
        <v>3632</v>
      </c>
      <c r="E242" s="6">
        <v>1025.6768</v>
      </c>
      <c r="F242" s="6">
        <f t="shared" si="55"/>
        <v>2606.3232</v>
      </c>
      <c r="G242" s="15">
        <v>10678.4</v>
      </c>
      <c r="H242" s="15">
        <v>2373.99</v>
      </c>
      <c r="I242" s="15">
        <f t="shared" si="56"/>
        <v>10952587.14112</v>
      </c>
      <c r="J242" s="15">
        <f t="shared" si="57"/>
        <v>6187385.213568</v>
      </c>
      <c r="K242" s="15">
        <f t="shared" si="58"/>
        <v>17139972.354688</v>
      </c>
      <c r="L242" s="15">
        <f t="shared" si="59"/>
        <v>0.63900844846604</v>
      </c>
      <c r="M242" s="15">
        <f t="shared" si="60"/>
        <v>0.36099155153396</v>
      </c>
      <c r="N242" s="15">
        <f t="shared" si="61"/>
        <v>0.2824</v>
      </c>
      <c r="O242" s="15">
        <f t="shared" si="62"/>
        <v>0.7176</v>
      </c>
      <c r="P242" s="15">
        <f t="shared" si="63"/>
        <v>2.26277779201856</v>
      </c>
      <c r="Q242" s="15">
        <f t="shared" si="64"/>
        <v>0.503054001580212</v>
      </c>
      <c r="R242" s="7">
        <f t="shared" si="65"/>
        <v>0.273787889425094</v>
      </c>
    </row>
    <row r="243" spans="1:18">
      <c r="A243" s="6">
        <v>2007</v>
      </c>
      <c r="B243" s="19" t="s">
        <v>43</v>
      </c>
      <c r="C243" s="6">
        <v>0.316</v>
      </c>
      <c r="D243" s="6">
        <v>4514</v>
      </c>
      <c r="E243" s="6">
        <v>1426.424</v>
      </c>
      <c r="F243" s="6">
        <f t="shared" si="55"/>
        <v>3087.576</v>
      </c>
      <c r="G243" s="15">
        <v>11496.11</v>
      </c>
      <c r="H243" s="15">
        <v>2634.09</v>
      </c>
      <c r="I243" s="15">
        <f t="shared" si="56"/>
        <v>16398327.21064</v>
      </c>
      <c r="J243" s="15">
        <f t="shared" si="57"/>
        <v>8132953.06584</v>
      </c>
      <c r="K243" s="15">
        <f t="shared" si="58"/>
        <v>24531280.27648</v>
      </c>
      <c r="L243" s="15">
        <f t="shared" si="59"/>
        <v>0.668466016686553</v>
      </c>
      <c r="M243" s="15">
        <f t="shared" si="60"/>
        <v>0.331533983313447</v>
      </c>
      <c r="N243" s="15">
        <f t="shared" si="61"/>
        <v>0.316</v>
      </c>
      <c r="O243" s="15">
        <f t="shared" si="62"/>
        <v>0.684</v>
      </c>
      <c r="P243" s="15">
        <f t="shared" si="63"/>
        <v>2.11539878698276</v>
      </c>
      <c r="Q243" s="15">
        <f t="shared" si="64"/>
        <v>0.484698806013811</v>
      </c>
      <c r="R243" s="7">
        <f t="shared" si="65"/>
        <v>0.260737654474017</v>
      </c>
    </row>
    <row r="244" spans="1:18">
      <c r="A244" s="6">
        <v>2007</v>
      </c>
      <c r="B244" s="19" t="s">
        <v>44</v>
      </c>
      <c r="C244" s="6">
        <v>0.283</v>
      </c>
      <c r="D244" s="6">
        <v>287</v>
      </c>
      <c r="E244" s="6">
        <v>81.221</v>
      </c>
      <c r="F244" s="6">
        <f t="shared" si="55"/>
        <v>205.779</v>
      </c>
      <c r="G244" s="15">
        <v>11130.93</v>
      </c>
      <c r="H244" s="15">
        <v>2788.2</v>
      </c>
      <c r="I244" s="15">
        <f t="shared" si="56"/>
        <v>904065.26553</v>
      </c>
      <c r="J244" s="15">
        <f t="shared" si="57"/>
        <v>573753.0078</v>
      </c>
      <c r="K244" s="15">
        <f t="shared" si="58"/>
        <v>1477818.27333</v>
      </c>
      <c r="L244" s="15">
        <f t="shared" si="59"/>
        <v>0.611756723979905</v>
      </c>
      <c r="M244" s="15">
        <f t="shared" si="60"/>
        <v>0.388243276020095</v>
      </c>
      <c r="N244" s="15">
        <f t="shared" si="61"/>
        <v>0.283</v>
      </c>
      <c r="O244" s="15">
        <f t="shared" si="62"/>
        <v>0.717</v>
      </c>
      <c r="P244" s="15">
        <f t="shared" si="63"/>
        <v>2.16168453703147</v>
      </c>
      <c r="Q244" s="15">
        <f t="shared" si="64"/>
        <v>0.541482951213522</v>
      </c>
      <c r="R244" s="7">
        <f t="shared" si="65"/>
        <v>0.233430401904553</v>
      </c>
    </row>
    <row r="245" spans="1:18">
      <c r="A245" s="6">
        <v>2007</v>
      </c>
      <c r="B245" s="19" t="s">
        <v>45</v>
      </c>
      <c r="C245" s="6">
        <v>0.4062</v>
      </c>
      <c r="D245" s="6">
        <v>3708.37461761745</v>
      </c>
      <c r="E245" s="6">
        <v>1506.34176967621</v>
      </c>
      <c r="F245" s="6">
        <f t="shared" si="55"/>
        <v>2202.03284794124</v>
      </c>
      <c r="G245" s="15">
        <v>10763.34</v>
      </c>
      <c r="H245" s="15">
        <v>2644.69</v>
      </c>
      <c r="I245" s="15">
        <f t="shared" si="56"/>
        <v>16213268.6232267</v>
      </c>
      <c r="J245" s="15">
        <f t="shared" si="57"/>
        <v>5823694.25262172</v>
      </c>
      <c r="K245" s="15">
        <f t="shared" si="58"/>
        <v>22036962.8758485</v>
      </c>
      <c r="L245" s="15">
        <f t="shared" si="59"/>
        <v>0.735730631964524</v>
      </c>
      <c r="M245" s="15">
        <f t="shared" si="60"/>
        <v>0.264269368035476</v>
      </c>
      <c r="N245" s="15">
        <f t="shared" si="61"/>
        <v>0.4062</v>
      </c>
      <c r="O245" s="15">
        <f t="shared" si="62"/>
        <v>0.5938</v>
      </c>
      <c r="P245" s="15">
        <f t="shared" si="63"/>
        <v>1.81125217125683</v>
      </c>
      <c r="Q245" s="15">
        <f t="shared" si="64"/>
        <v>0.44504777372091</v>
      </c>
      <c r="R245" s="7">
        <f t="shared" si="65"/>
        <v>0.22309202691863</v>
      </c>
    </row>
    <row r="246" spans="1:18">
      <c r="A246" s="6">
        <v>2007</v>
      </c>
      <c r="B246" s="19" t="s">
        <v>46</v>
      </c>
      <c r="C246" s="6">
        <v>0.3159</v>
      </c>
      <c r="D246" s="6">
        <v>2548.19</v>
      </c>
      <c r="E246" s="6">
        <v>804.973221</v>
      </c>
      <c r="F246" s="6">
        <f t="shared" si="55"/>
        <v>1743.216779</v>
      </c>
      <c r="G246" s="15">
        <v>10012.34</v>
      </c>
      <c r="H246" s="15">
        <v>2328.92</v>
      </c>
      <c r="I246" s="15">
        <f t="shared" si="56"/>
        <v>8059665.57954714</v>
      </c>
      <c r="J246" s="15">
        <f t="shared" si="57"/>
        <v>4059812.42094868</v>
      </c>
      <c r="K246" s="15">
        <f t="shared" si="58"/>
        <v>12119478.0004958</v>
      </c>
      <c r="L246" s="15">
        <f t="shared" si="59"/>
        <v>0.665017551021373</v>
      </c>
      <c r="M246" s="15">
        <f t="shared" si="60"/>
        <v>0.334982448978627</v>
      </c>
      <c r="N246" s="15">
        <f t="shared" si="61"/>
        <v>0.3159</v>
      </c>
      <c r="O246" s="15">
        <f t="shared" si="62"/>
        <v>0.6841</v>
      </c>
      <c r="P246" s="15">
        <f t="shared" si="63"/>
        <v>2.10515210832977</v>
      </c>
      <c r="Q246" s="15">
        <f t="shared" si="64"/>
        <v>0.489668833472631</v>
      </c>
      <c r="R246" s="7">
        <f t="shared" si="65"/>
        <v>0.255844735031756</v>
      </c>
    </row>
    <row r="247" spans="1:18">
      <c r="A247" s="6">
        <v>2007</v>
      </c>
      <c r="B247" s="19" t="s">
        <v>47</v>
      </c>
      <c r="C247" s="6">
        <v>0.4007</v>
      </c>
      <c r="D247" s="6">
        <v>552</v>
      </c>
      <c r="E247" s="6">
        <v>221.1864</v>
      </c>
      <c r="F247" s="6">
        <f t="shared" si="55"/>
        <v>330.8136</v>
      </c>
      <c r="G247" s="15">
        <v>10276.06</v>
      </c>
      <c r="H247" s="15">
        <v>2683.78</v>
      </c>
      <c r="I247" s="15">
        <f t="shared" si="56"/>
        <v>2272924.717584</v>
      </c>
      <c r="J247" s="15">
        <f t="shared" si="57"/>
        <v>887830.923408</v>
      </c>
      <c r="K247" s="15">
        <f t="shared" si="58"/>
        <v>3160755.640992</v>
      </c>
      <c r="L247" s="15">
        <f t="shared" si="59"/>
        <v>0.719108015851122</v>
      </c>
      <c r="M247" s="15">
        <f t="shared" si="60"/>
        <v>0.280891984148878</v>
      </c>
      <c r="N247" s="15">
        <f t="shared" si="61"/>
        <v>0.4007</v>
      </c>
      <c r="O247" s="15">
        <f t="shared" si="62"/>
        <v>0.5993</v>
      </c>
      <c r="P247" s="15">
        <f t="shared" si="63"/>
        <v>1.79462943811111</v>
      </c>
      <c r="Q247" s="15">
        <f t="shared" si="64"/>
        <v>0.468700123725809</v>
      </c>
      <c r="R247" s="7">
        <f t="shared" si="65"/>
        <v>0.207675602397305</v>
      </c>
    </row>
    <row r="248" spans="1:18">
      <c r="A248" s="6">
        <v>2007</v>
      </c>
      <c r="B248" s="19" t="s">
        <v>48</v>
      </c>
      <c r="C248" s="6">
        <v>0.4402</v>
      </c>
      <c r="D248" s="6">
        <v>610</v>
      </c>
      <c r="E248" s="6">
        <v>268.522</v>
      </c>
      <c r="F248" s="6">
        <f t="shared" si="55"/>
        <v>341.478</v>
      </c>
      <c r="G248" s="15">
        <v>10859.33</v>
      </c>
      <c r="H248" s="15">
        <v>3180.84</v>
      </c>
      <c r="I248" s="15">
        <f t="shared" si="56"/>
        <v>2915969.01026</v>
      </c>
      <c r="J248" s="15">
        <f t="shared" si="57"/>
        <v>1086186.88152</v>
      </c>
      <c r="K248" s="15">
        <f t="shared" si="58"/>
        <v>4002155.89178</v>
      </c>
      <c r="L248" s="15">
        <f t="shared" si="59"/>
        <v>0.728599557115975</v>
      </c>
      <c r="M248" s="15">
        <f t="shared" si="60"/>
        <v>0.271400442884024</v>
      </c>
      <c r="N248" s="15">
        <f t="shared" si="61"/>
        <v>0.4402</v>
      </c>
      <c r="O248" s="15">
        <f t="shared" si="62"/>
        <v>0.5598</v>
      </c>
      <c r="P248" s="15">
        <f t="shared" si="63"/>
        <v>1.65515574083593</v>
      </c>
      <c r="Q248" s="15">
        <f t="shared" si="64"/>
        <v>0.484816796863209</v>
      </c>
      <c r="R248" s="7">
        <f t="shared" si="65"/>
        <v>0.170648120316325</v>
      </c>
    </row>
    <row r="249" spans="1:18">
      <c r="A249" s="6">
        <v>2007</v>
      </c>
      <c r="B249" s="19" t="s">
        <v>49</v>
      </c>
      <c r="C249" s="6">
        <v>0.3915</v>
      </c>
      <c r="D249" s="6">
        <v>2095</v>
      </c>
      <c r="E249" s="6">
        <v>820.1925</v>
      </c>
      <c r="F249" s="6">
        <f t="shared" si="55"/>
        <v>1274.8075</v>
      </c>
      <c r="G249" s="15">
        <v>10313.44</v>
      </c>
      <c r="H249" s="15">
        <v>3182.97</v>
      </c>
      <c r="I249" s="15">
        <f t="shared" si="56"/>
        <v>8459006.1372</v>
      </c>
      <c r="J249" s="15">
        <f t="shared" si="57"/>
        <v>4057674.028275</v>
      </c>
      <c r="K249" s="15">
        <f t="shared" si="58"/>
        <v>12516680.165475</v>
      </c>
      <c r="L249" s="15">
        <f t="shared" si="59"/>
        <v>0.675818669596802</v>
      </c>
      <c r="M249" s="15">
        <f t="shared" si="60"/>
        <v>0.324181330403197</v>
      </c>
      <c r="N249" s="15">
        <f t="shared" si="61"/>
        <v>0.3915</v>
      </c>
      <c r="O249" s="15">
        <f t="shared" si="62"/>
        <v>0.6085</v>
      </c>
      <c r="P249" s="15">
        <f t="shared" si="63"/>
        <v>1.72622904111572</v>
      </c>
      <c r="Q249" s="15">
        <f t="shared" si="64"/>
        <v>0.532754856866389</v>
      </c>
      <c r="R249" s="7">
        <f t="shared" si="65"/>
        <v>0.16482095737885</v>
      </c>
    </row>
    <row r="250" spans="1:18">
      <c r="A250" s="6">
        <v>2008</v>
      </c>
      <c r="B250" s="19" t="s">
        <v>19</v>
      </c>
      <c r="C250" s="6">
        <v>0.849</v>
      </c>
      <c r="D250" s="6">
        <v>1771</v>
      </c>
      <c r="E250" s="6">
        <v>1530.6</v>
      </c>
      <c r="F250" s="6">
        <f t="shared" ref="F250:F313" si="66">D250-E250</f>
        <v>240.4</v>
      </c>
      <c r="G250" s="6">
        <v>24724.89</v>
      </c>
      <c r="H250" s="15">
        <v>10661.92</v>
      </c>
      <c r="I250" s="15">
        <f t="shared" si="56"/>
        <v>37843916.634</v>
      </c>
      <c r="J250" s="15">
        <f t="shared" si="57"/>
        <v>2563125.568</v>
      </c>
      <c r="K250" s="15">
        <f t="shared" si="58"/>
        <v>40407042.202</v>
      </c>
      <c r="L250" s="15">
        <f t="shared" si="59"/>
        <v>0.93656735488862</v>
      </c>
      <c r="M250" s="15">
        <f t="shared" si="60"/>
        <v>0.0634326451113795</v>
      </c>
      <c r="N250" s="15">
        <f t="shared" si="61"/>
        <v>0.849</v>
      </c>
      <c r="O250" s="15">
        <f t="shared" si="62"/>
        <v>0.135742518351214</v>
      </c>
      <c r="P250" s="15">
        <f t="shared" si="63"/>
        <v>1.10314176076398</v>
      </c>
      <c r="Q250" s="15">
        <f t="shared" si="64"/>
        <v>0.467301225009372</v>
      </c>
      <c r="R250" s="7">
        <f t="shared" si="65"/>
        <v>0.0436771990754096</v>
      </c>
    </row>
    <row r="251" spans="1:18">
      <c r="A251" s="6">
        <v>2008</v>
      </c>
      <c r="B251" s="19" t="s">
        <v>20</v>
      </c>
      <c r="C251" s="6">
        <v>0.7723</v>
      </c>
      <c r="D251" s="6">
        <v>1176</v>
      </c>
      <c r="E251" s="6">
        <v>908.2248</v>
      </c>
      <c r="F251" s="6">
        <f t="shared" si="66"/>
        <v>267.7752</v>
      </c>
      <c r="G251" s="6">
        <v>19422.53</v>
      </c>
      <c r="H251" s="15">
        <v>7910.78</v>
      </c>
      <c r="I251" s="15">
        <f t="shared" si="56"/>
        <v>17640023.424744</v>
      </c>
      <c r="J251" s="15">
        <f t="shared" si="57"/>
        <v>2118310.696656</v>
      </c>
      <c r="K251" s="15">
        <f t="shared" si="58"/>
        <v>19758334.1214</v>
      </c>
      <c r="L251" s="15">
        <f t="shared" si="59"/>
        <v>0.892789003180097</v>
      </c>
      <c r="M251" s="15">
        <f t="shared" si="60"/>
        <v>0.107210996819903</v>
      </c>
      <c r="N251" s="15">
        <f t="shared" si="61"/>
        <v>0.7723</v>
      </c>
      <c r="O251" s="15">
        <f t="shared" si="62"/>
        <v>0.2277</v>
      </c>
      <c r="P251" s="15">
        <f t="shared" si="63"/>
        <v>1.15601321142056</v>
      </c>
      <c r="Q251" s="15">
        <f t="shared" si="64"/>
        <v>0.470843200790089</v>
      </c>
      <c r="R251" s="7">
        <f t="shared" si="65"/>
        <v>0.0486794938157075</v>
      </c>
    </row>
    <row r="252" spans="1:18">
      <c r="A252" s="6">
        <v>2008</v>
      </c>
      <c r="B252" s="19" t="s">
        <v>21</v>
      </c>
      <c r="C252" s="6">
        <v>0.419</v>
      </c>
      <c r="D252" s="6">
        <v>6989</v>
      </c>
      <c r="E252" s="6">
        <v>2928.391</v>
      </c>
      <c r="F252" s="6">
        <f t="shared" si="66"/>
        <v>4060.609</v>
      </c>
      <c r="G252" s="6">
        <v>13441.09</v>
      </c>
      <c r="H252" s="15">
        <v>4795.46</v>
      </c>
      <c r="I252" s="15">
        <f t="shared" si="56"/>
        <v>39360766.98619</v>
      </c>
      <c r="J252" s="15">
        <f t="shared" si="57"/>
        <v>19472488.03514</v>
      </c>
      <c r="K252" s="15">
        <f t="shared" si="58"/>
        <v>58833255.02133</v>
      </c>
      <c r="L252" s="15">
        <f t="shared" si="59"/>
        <v>0.669022425699883</v>
      </c>
      <c r="M252" s="15">
        <f t="shared" si="60"/>
        <v>0.330977574300117</v>
      </c>
      <c r="N252" s="15">
        <f t="shared" si="61"/>
        <v>0.419</v>
      </c>
      <c r="O252" s="15">
        <f t="shared" si="62"/>
        <v>0.581</v>
      </c>
      <c r="P252" s="15">
        <f t="shared" si="63"/>
        <v>1.59671223317394</v>
      </c>
      <c r="Q252" s="15">
        <f t="shared" si="64"/>
        <v>0.569668802581958</v>
      </c>
      <c r="R252" s="7">
        <f t="shared" si="65"/>
        <v>0.126825684369852</v>
      </c>
    </row>
    <row r="253" spans="1:18">
      <c r="A253" s="6">
        <v>2008</v>
      </c>
      <c r="B253" s="19" t="s">
        <v>22</v>
      </c>
      <c r="C253" s="6">
        <v>0.4511</v>
      </c>
      <c r="D253" s="6">
        <v>3411</v>
      </c>
      <c r="E253" s="6">
        <v>1538.7021</v>
      </c>
      <c r="F253" s="6">
        <f t="shared" si="66"/>
        <v>1872.2979</v>
      </c>
      <c r="G253" s="6">
        <v>13119.05</v>
      </c>
      <c r="H253" s="15">
        <v>4097.24</v>
      </c>
      <c r="I253" s="15">
        <f t="shared" si="56"/>
        <v>20186309.785005</v>
      </c>
      <c r="J253" s="15">
        <f t="shared" si="57"/>
        <v>7671253.847796</v>
      </c>
      <c r="K253" s="15">
        <f t="shared" si="58"/>
        <v>27857563.632801</v>
      </c>
      <c r="L253" s="15">
        <f t="shared" si="59"/>
        <v>0.724625816208728</v>
      </c>
      <c r="M253" s="15">
        <f t="shared" si="60"/>
        <v>0.275374183791272</v>
      </c>
      <c r="N253" s="15">
        <f t="shared" si="61"/>
        <v>0.4511</v>
      </c>
      <c r="O253" s="15">
        <f t="shared" si="62"/>
        <v>0.5489</v>
      </c>
      <c r="P253" s="15">
        <f t="shared" si="63"/>
        <v>1.60635295102799</v>
      </c>
      <c r="Q253" s="15">
        <f t="shared" si="64"/>
        <v>0.501683701569087</v>
      </c>
      <c r="R253" s="7">
        <f t="shared" si="65"/>
        <v>0.153499160656928</v>
      </c>
    </row>
    <row r="254" spans="1:18">
      <c r="A254" s="6">
        <v>2008</v>
      </c>
      <c r="B254" s="19" t="s">
        <v>23</v>
      </c>
      <c r="C254" s="6">
        <v>0.5171</v>
      </c>
      <c r="D254" s="6">
        <v>2444.32650249699</v>
      </c>
      <c r="E254" s="6">
        <v>1263.96123444119</v>
      </c>
      <c r="F254" s="6">
        <f t="shared" si="66"/>
        <v>1180.3652680558</v>
      </c>
      <c r="G254" s="6">
        <v>14432.55</v>
      </c>
      <c r="H254" s="15">
        <v>4656.18</v>
      </c>
      <c r="I254" s="15">
        <f t="shared" si="56"/>
        <v>18242183.7141342</v>
      </c>
      <c r="J254" s="15">
        <f t="shared" si="57"/>
        <v>5495993.15381606</v>
      </c>
      <c r="K254" s="15">
        <f t="shared" si="58"/>
        <v>23738176.8679503</v>
      </c>
      <c r="L254" s="15">
        <f t="shared" si="59"/>
        <v>0.768474504828701</v>
      </c>
      <c r="M254" s="15">
        <f t="shared" si="60"/>
        <v>0.231525495171299</v>
      </c>
      <c r="N254" s="15">
        <f t="shared" si="61"/>
        <v>0.5171</v>
      </c>
      <c r="O254" s="15">
        <f t="shared" si="62"/>
        <v>0.482900000000001</v>
      </c>
      <c r="P254" s="15">
        <f t="shared" si="63"/>
        <v>1.48612358311487</v>
      </c>
      <c r="Q254" s="15">
        <f t="shared" si="64"/>
        <v>0.479448115906602</v>
      </c>
      <c r="R254" s="7">
        <f t="shared" si="65"/>
        <v>0.134248467621288</v>
      </c>
    </row>
    <row r="255" spans="1:18">
      <c r="A255" s="6">
        <v>2008</v>
      </c>
      <c r="B255" s="19" t="s">
        <v>24</v>
      </c>
      <c r="C255" s="6">
        <v>0.6005</v>
      </c>
      <c r="D255" s="6">
        <v>4315</v>
      </c>
      <c r="E255" s="6">
        <v>2591.1575</v>
      </c>
      <c r="F255" s="6">
        <f t="shared" si="66"/>
        <v>1723.8425</v>
      </c>
      <c r="G255" s="6">
        <v>14392.69</v>
      </c>
      <c r="H255" s="15">
        <v>5576.48</v>
      </c>
      <c r="I255" s="15">
        <f t="shared" si="56"/>
        <v>37293726.638675</v>
      </c>
      <c r="J255" s="15">
        <f t="shared" si="57"/>
        <v>9612973.2244</v>
      </c>
      <c r="K255" s="15">
        <f t="shared" si="58"/>
        <v>46906699.863075</v>
      </c>
      <c r="L255" s="15">
        <f t="shared" si="59"/>
        <v>0.795061830133837</v>
      </c>
      <c r="M255" s="15">
        <f t="shared" si="60"/>
        <v>0.204938169866163</v>
      </c>
      <c r="N255" s="15">
        <f t="shared" si="61"/>
        <v>0.6005</v>
      </c>
      <c r="O255" s="15">
        <f t="shared" si="62"/>
        <v>0.3995</v>
      </c>
      <c r="P255" s="15">
        <f t="shared" si="63"/>
        <v>1.32399971712546</v>
      </c>
      <c r="Q255" s="15">
        <f t="shared" si="64"/>
        <v>0.512986657987893</v>
      </c>
      <c r="R255" s="7">
        <f t="shared" si="65"/>
        <v>0.0863425182931663</v>
      </c>
    </row>
    <row r="256" spans="1:18">
      <c r="A256" s="6">
        <v>2008</v>
      </c>
      <c r="B256" s="19" t="s">
        <v>25</v>
      </c>
      <c r="C256" s="6">
        <v>0.5321</v>
      </c>
      <c r="D256" s="6">
        <v>2734</v>
      </c>
      <c r="E256" s="6">
        <v>1454.7614</v>
      </c>
      <c r="F256" s="6">
        <f t="shared" si="66"/>
        <v>1279.2386</v>
      </c>
      <c r="G256" s="6">
        <v>12829.45</v>
      </c>
      <c r="H256" s="15">
        <v>4932.74</v>
      </c>
      <c r="I256" s="15">
        <f t="shared" si="56"/>
        <v>18663788.64323</v>
      </c>
      <c r="J256" s="15">
        <f t="shared" si="57"/>
        <v>6310151.411764</v>
      </c>
      <c r="K256" s="15">
        <f t="shared" si="58"/>
        <v>24973940.054994</v>
      </c>
      <c r="L256" s="15">
        <f t="shared" si="59"/>
        <v>0.747330561462521</v>
      </c>
      <c r="M256" s="15">
        <f t="shared" si="60"/>
        <v>0.252669438537479</v>
      </c>
      <c r="N256" s="15">
        <f t="shared" si="61"/>
        <v>0.5321</v>
      </c>
      <c r="O256" s="15">
        <f t="shared" si="62"/>
        <v>0.4679</v>
      </c>
      <c r="P256" s="15">
        <f t="shared" si="63"/>
        <v>1.40449269209269</v>
      </c>
      <c r="Q256" s="15">
        <f t="shared" si="64"/>
        <v>0.540007348872578</v>
      </c>
      <c r="R256" s="7">
        <f t="shared" si="65"/>
        <v>0.098162411289308</v>
      </c>
    </row>
    <row r="257" spans="1:18">
      <c r="A257" s="6">
        <v>2008</v>
      </c>
      <c r="B257" s="19" t="s">
        <v>26</v>
      </c>
      <c r="C257" s="6">
        <v>0.554</v>
      </c>
      <c r="D257" s="6">
        <v>3825</v>
      </c>
      <c r="E257" s="6">
        <v>2119.05</v>
      </c>
      <c r="F257" s="6">
        <f t="shared" si="66"/>
        <v>1705.95</v>
      </c>
      <c r="G257" s="6">
        <v>11581.28</v>
      </c>
      <c r="H257" s="15">
        <v>4855.59</v>
      </c>
      <c r="I257" s="15">
        <f t="shared" si="56"/>
        <v>24541311.384</v>
      </c>
      <c r="J257" s="15">
        <f t="shared" si="57"/>
        <v>8283393.7605</v>
      </c>
      <c r="K257" s="15">
        <f t="shared" si="58"/>
        <v>32824705.1445</v>
      </c>
      <c r="L257" s="15">
        <f t="shared" si="59"/>
        <v>0.747647580563631</v>
      </c>
      <c r="M257" s="15">
        <f t="shared" si="60"/>
        <v>0.252352419436369</v>
      </c>
      <c r="N257" s="15">
        <f t="shared" si="61"/>
        <v>0.554</v>
      </c>
      <c r="O257" s="15">
        <f t="shared" si="62"/>
        <v>0.446</v>
      </c>
      <c r="P257" s="15">
        <f t="shared" si="63"/>
        <v>1.34954436924843</v>
      </c>
      <c r="Q257" s="15">
        <f t="shared" si="64"/>
        <v>0.565812599633114</v>
      </c>
      <c r="R257" s="7">
        <f t="shared" si="65"/>
        <v>0.080407322834887</v>
      </c>
    </row>
    <row r="258" spans="1:18">
      <c r="A258" s="6">
        <v>2008</v>
      </c>
      <c r="B258" s="19" t="s">
        <v>27</v>
      </c>
      <c r="C258" s="6">
        <v>0.886</v>
      </c>
      <c r="D258" s="6">
        <v>2140.65</v>
      </c>
      <c r="E258" s="6">
        <v>1896.6159</v>
      </c>
      <c r="F258" s="6">
        <f t="shared" si="66"/>
        <v>244.0341</v>
      </c>
      <c r="G258" s="6">
        <v>26674.9</v>
      </c>
      <c r="H258" s="15">
        <v>11440.26</v>
      </c>
      <c r="I258" s="15">
        <f t="shared" si="56"/>
        <v>50592039.47091</v>
      </c>
      <c r="J258" s="15">
        <f t="shared" si="57"/>
        <v>2791813.552866</v>
      </c>
      <c r="K258" s="15">
        <f t="shared" si="58"/>
        <v>53383853.023776</v>
      </c>
      <c r="L258" s="15">
        <f t="shared" si="59"/>
        <v>0.947703033881376</v>
      </c>
      <c r="M258" s="15">
        <f t="shared" si="60"/>
        <v>0.0522969661186237</v>
      </c>
      <c r="N258" s="15">
        <f t="shared" si="61"/>
        <v>0.886</v>
      </c>
      <c r="O258" s="15">
        <f t="shared" si="62"/>
        <v>0.114</v>
      </c>
      <c r="P258" s="15">
        <f t="shared" si="63"/>
        <v>1.06964225043045</v>
      </c>
      <c r="Q258" s="15">
        <f t="shared" si="64"/>
        <v>0.458745316830032</v>
      </c>
      <c r="R258" s="7">
        <f t="shared" si="65"/>
        <v>0.0230504548715786</v>
      </c>
    </row>
    <row r="259" spans="1:18">
      <c r="A259" s="6">
        <v>2008</v>
      </c>
      <c r="B259" s="19" t="s">
        <v>28</v>
      </c>
      <c r="C259" s="6">
        <v>0.543</v>
      </c>
      <c r="D259" s="6">
        <v>7762</v>
      </c>
      <c r="E259" s="6">
        <v>4214.766</v>
      </c>
      <c r="F259" s="6">
        <f t="shared" si="66"/>
        <v>3547.234</v>
      </c>
      <c r="G259" s="6">
        <v>18679.52</v>
      </c>
      <c r="H259" s="15">
        <v>7356.47</v>
      </c>
      <c r="I259" s="15">
        <f t="shared" si="56"/>
        <v>78729805.79232</v>
      </c>
      <c r="J259" s="15">
        <f t="shared" si="57"/>
        <v>26095120.50398</v>
      </c>
      <c r="K259" s="15">
        <f t="shared" si="58"/>
        <v>104824926.2963</v>
      </c>
      <c r="L259" s="15">
        <f t="shared" si="59"/>
        <v>0.75105996802498</v>
      </c>
      <c r="M259" s="15">
        <f t="shared" si="60"/>
        <v>0.24894003197502</v>
      </c>
      <c r="N259" s="15">
        <f t="shared" si="61"/>
        <v>0.543</v>
      </c>
      <c r="O259" s="15">
        <f t="shared" si="62"/>
        <v>0.457</v>
      </c>
      <c r="P259" s="15">
        <f t="shared" si="63"/>
        <v>1.38316752859112</v>
      </c>
      <c r="Q259" s="15">
        <f t="shared" si="64"/>
        <v>0.54472654699129</v>
      </c>
      <c r="R259" s="7">
        <f t="shared" si="65"/>
        <v>0.0924020235315012</v>
      </c>
    </row>
    <row r="260" spans="1:18">
      <c r="A260" s="6">
        <v>2008</v>
      </c>
      <c r="B260" s="19" t="s">
        <v>29</v>
      </c>
      <c r="C260" s="6">
        <v>0.576</v>
      </c>
      <c r="D260" s="6">
        <v>5212.4</v>
      </c>
      <c r="E260" s="6">
        <v>3002.3424</v>
      </c>
      <c r="F260" s="6">
        <f t="shared" si="66"/>
        <v>2210.0576</v>
      </c>
      <c r="G260" s="6">
        <v>22726.66</v>
      </c>
      <c r="H260" s="15">
        <v>9257.93</v>
      </c>
      <c r="I260" s="15">
        <f t="shared" si="56"/>
        <v>68233214.928384</v>
      </c>
      <c r="J260" s="15">
        <f t="shared" si="57"/>
        <v>20460558.556768</v>
      </c>
      <c r="K260" s="15">
        <f t="shared" si="58"/>
        <v>88693773.485152</v>
      </c>
      <c r="L260" s="15">
        <f t="shared" si="59"/>
        <v>0.769312345694783</v>
      </c>
      <c r="M260" s="15">
        <f t="shared" si="60"/>
        <v>0.230687654305217</v>
      </c>
      <c r="N260" s="15">
        <f t="shared" si="61"/>
        <v>0.576</v>
      </c>
      <c r="O260" s="15">
        <f t="shared" si="62"/>
        <v>0.424</v>
      </c>
      <c r="P260" s="15">
        <f t="shared" si="63"/>
        <v>1.33561171127566</v>
      </c>
      <c r="Q260" s="15">
        <f t="shared" si="64"/>
        <v>0.54407465638023</v>
      </c>
      <c r="R260" s="7">
        <f t="shared" si="65"/>
        <v>0.0822184572853027</v>
      </c>
    </row>
    <row r="261" spans="1:18">
      <c r="A261" s="6">
        <v>2008</v>
      </c>
      <c r="B261" s="19" t="s">
        <v>30</v>
      </c>
      <c r="C261" s="6">
        <v>0.405</v>
      </c>
      <c r="D261" s="6">
        <v>6135</v>
      </c>
      <c r="E261" s="6">
        <v>2484.675</v>
      </c>
      <c r="F261" s="6">
        <f t="shared" si="66"/>
        <v>3650.325</v>
      </c>
      <c r="G261" s="6">
        <v>12990.35</v>
      </c>
      <c r="H261" s="15">
        <v>4202.49</v>
      </c>
      <c r="I261" s="15">
        <f t="shared" si="56"/>
        <v>32276797.88625</v>
      </c>
      <c r="J261" s="15">
        <f t="shared" si="57"/>
        <v>15340454.30925</v>
      </c>
      <c r="K261" s="15">
        <f t="shared" si="58"/>
        <v>47617252.1955</v>
      </c>
      <c r="L261" s="15">
        <f t="shared" si="59"/>
        <v>0.677838312755482</v>
      </c>
      <c r="M261" s="15">
        <f t="shared" si="60"/>
        <v>0.322161687244518</v>
      </c>
      <c r="N261" s="15">
        <f t="shared" si="61"/>
        <v>0.405</v>
      </c>
      <c r="O261" s="15">
        <f t="shared" si="62"/>
        <v>0.595</v>
      </c>
      <c r="P261" s="15">
        <f t="shared" si="63"/>
        <v>1.67367484630983</v>
      </c>
      <c r="Q261" s="15">
        <f t="shared" si="64"/>
        <v>0.541448213856332</v>
      </c>
      <c r="R261" s="7">
        <f t="shared" si="65"/>
        <v>0.151452726105696</v>
      </c>
    </row>
    <row r="262" spans="1:18">
      <c r="A262" s="6">
        <v>2008</v>
      </c>
      <c r="B262" s="19" t="s">
        <v>31</v>
      </c>
      <c r="C262" s="6">
        <v>0.499</v>
      </c>
      <c r="D262" s="6">
        <v>3638.75833333333</v>
      </c>
      <c r="E262" s="6">
        <v>1815.74040833333</v>
      </c>
      <c r="F262" s="6">
        <f t="shared" si="66"/>
        <v>1823.017925</v>
      </c>
      <c r="G262" s="6">
        <v>17961.45</v>
      </c>
      <c r="H262" s="15">
        <v>6196.07</v>
      </c>
      <c r="I262" s="15">
        <f t="shared" si="56"/>
        <v>32613330.5572587</v>
      </c>
      <c r="J262" s="15">
        <f t="shared" si="57"/>
        <v>11295546.6745548</v>
      </c>
      <c r="K262" s="15">
        <f t="shared" si="58"/>
        <v>43908877.2318134</v>
      </c>
      <c r="L262" s="15">
        <f t="shared" si="59"/>
        <v>0.742750273141333</v>
      </c>
      <c r="M262" s="15">
        <f t="shared" si="60"/>
        <v>0.257249726858667</v>
      </c>
      <c r="N262" s="15">
        <f t="shared" si="61"/>
        <v>0.499</v>
      </c>
      <c r="O262" s="15">
        <f t="shared" si="62"/>
        <v>0.501</v>
      </c>
      <c r="P262" s="15">
        <f t="shared" si="63"/>
        <v>1.48847750128524</v>
      </c>
      <c r="Q262" s="15">
        <f t="shared" si="64"/>
        <v>0.513472508699934</v>
      </c>
      <c r="R262" s="7">
        <f t="shared" si="65"/>
        <v>0.123959667257308</v>
      </c>
    </row>
    <row r="263" spans="1:18">
      <c r="A263" s="6">
        <v>2008</v>
      </c>
      <c r="B263" s="19" t="s">
        <v>32</v>
      </c>
      <c r="C263" s="6">
        <v>0.4136</v>
      </c>
      <c r="D263" s="6">
        <v>4400</v>
      </c>
      <c r="E263" s="6">
        <v>1819.84</v>
      </c>
      <c r="F263" s="6">
        <f t="shared" si="66"/>
        <v>2580.16</v>
      </c>
      <c r="G263" s="6">
        <v>12866.44</v>
      </c>
      <c r="H263" s="15">
        <v>4697.19</v>
      </c>
      <c r="I263" s="15">
        <f t="shared" si="56"/>
        <v>23414862.1696</v>
      </c>
      <c r="J263" s="15">
        <f t="shared" si="57"/>
        <v>12119501.7504</v>
      </c>
      <c r="K263" s="15">
        <f t="shared" si="58"/>
        <v>35534363.92</v>
      </c>
      <c r="L263" s="15">
        <f t="shared" si="59"/>
        <v>0.658935733936728</v>
      </c>
      <c r="M263" s="15">
        <f t="shared" si="60"/>
        <v>0.341064266063272</v>
      </c>
      <c r="N263" s="15">
        <f t="shared" si="61"/>
        <v>0.4136</v>
      </c>
      <c r="O263" s="15">
        <f t="shared" si="62"/>
        <v>0.5864</v>
      </c>
      <c r="P263" s="15">
        <f t="shared" si="63"/>
        <v>1.59317150371549</v>
      </c>
      <c r="Q263" s="15">
        <f t="shared" si="64"/>
        <v>0.581623918934638</v>
      </c>
      <c r="R263" s="7">
        <f t="shared" si="65"/>
        <v>0.122050579264434</v>
      </c>
    </row>
    <row r="264" spans="1:18">
      <c r="A264" s="6">
        <v>2008</v>
      </c>
      <c r="B264" s="19" t="s">
        <v>33</v>
      </c>
      <c r="C264" s="6">
        <v>0.476</v>
      </c>
      <c r="D264" s="6">
        <v>9417</v>
      </c>
      <c r="E264" s="6">
        <v>4482.492</v>
      </c>
      <c r="F264" s="6">
        <f t="shared" si="66"/>
        <v>4934.508</v>
      </c>
      <c r="G264" s="6">
        <v>16305.41</v>
      </c>
      <c r="H264" s="15">
        <v>5641.43</v>
      </c>
      <c r="I264" s="15">
        <f t="shared" si="56"/>
        <v>73088869.88172</v>
      </c>
      <c r="J264" s="15">
        <f t="shared" si="57"/>
        <v>27837681.46644</v>
      </c>
      <c r="K264" s="15">
        <f t="shared" si="58"/>
        <v>100926551.34816</v>
      </c>
      <c r="L264" s="15">
        <f t="shared" si="59"/>
        <v>0.724178810287393</v>
      </c>
      <c r="M264" s="15">
        <f t="shared" si="60"/>
        <v>0.275821189712607</v>
      </c>
      <c r="N264" s="15">
        <f t="shared" si="61"/>
        <v>0.476</v>
      </c>
      <c r="O264" s="15">
        <f t="shared" si="62"/>
        <v>0.524</v>
      </c>
      <c r="P264" s="15">
        <f t="shared" si="63"/>
        <v>1.52138405522562</v>
      </c>
      <c r="Q264" s="15">
        <f t="shared" si="64"/>
        <v>0.526376316245433</v>
      </c>
      <c r="R264" s="7">
        <f t="shared" si="65"/>
        <v>0.126875077639334</v>
      </c>
    </row>
    <row r="265" spans="1:18">
      <c r="A265" s="6">
        <v>2008</v>
      </c>
      <c r="B265" s="19" t="s">
        <v>34</v>
      </c>
      <c r="C265" s="6">
        <v>0.3603</v>
      </c>
      <c r="D265" s="6">
        <v>9429</v>
      </c>
      <c r="E265" s="6">
        <v>3397.2687</v>
      </c>
      <c r="F265" s="6">
        <f t="shared" si="66"/>
        <v>6031.7313</v>
      </c>
      <c r="G265" s="6">
        <v>13231.11</v>
      </c>
      <c r="H265" s="15">
        <v>4454.24</v>
      </c>
      <c r="I265" s="15">
        <f t="shared" si="56"/>
        <v>44949635.869257</v>
      </c>
      <c r="J265" s="15">
        <f t="shared" si="57"/>
        <v>26866778.825712</v>
      </c>
      <c r="K265" s="15">
        <f t="shared" si="58"/>
        <v>71816414.694969</v>
      </c>
      <c r="L265" s="15">
        <f t="shared" si="59"/>
        <v>0.625896406276682</v>
      </c>
      <c r="M265" s="15">
        <f t="shared" si="60"/>
        <v>0.374103593723318</v>
      </c>
      <c r="N265" s="15">
        <f t="shared" si="61"/>
        <v>0.3603</v>
      </c>
      <c r="O265" s="15">
        <f t="shared" si="62"/>
        <v>0.6397</v>
      </c>
      <c r="P265" s="15">
        <f t="shared" si="63"/>
        <v>1.73715350062915</v>
      </c>
      <c r="Q265" s="15">
        <f t="shared" si="64"/>
        <v>0.584810995346753</v>
      </c>
      <c r="R265" s="7">
        <f t="shared" si="65"/>
        <v>0.144955876175297</v>
      </c>
    </row>
    <row r="266" spans="1:18">
      <c r="A266" s="6">
        <v>2008</v>
      </c>
      <c r="B266" s="19" t="s">
        <v>35</v>
      </c>
      <c r="C266" s="6">
        <v>0.452</v>
      </c>
      <c r="D266" s="6">
        <v>5711</v>
      </c>
      <c r="E266" s="6">
        <v>2581.372</v>
      </c>
      <c r="F266" s="6">
        <f t="shared" si="66"/>
        <v>3129.628</v>
      </c>
      <c r="G266" s="6">
        <v>13152.86</v>
      </c>
      <c r="H266" s="15">
        <v>4656.38</v>
      </c>
      <c r="I266" s="15">
        <f t="shared" si="56"/>
        <v>33952424.52392</v>
      </c>
      <c r="J266" s="15">
        <f t="shared" si="57"/>
        <v>14572737.22664</v>
      </c>
      <c r="K266" s="15">
        <f t="shared" si="58"/>
        <v>48525161.75056</v>
      </c>
      <c r="L266" s="15">
        <f t="shared" si="59"/>
        <v>0.699686993285049</v>
      </c>
      <c r="M266" s="15">
        <f t="shared" si="60"/>
        <v>0.300313006714951</v>
      </c>
      <c r="N266" s="15">
        <f t="shared" si="61"/>
        <v>0.452</v>
      </c>
      <c r="O266" s="15">
        <f t="shared" si="62"/>
        <v>0.548</v>
      </c>
      <c r="P266" s="15">
        <f t="shared" si="63"/>
        <v>1.54798007363949</v>
      </c>
      <c r="Q266" s="15">
        <f t="shared" si="64"/>
        <v>0.548016435611224</v>
      </c>
      <c r="R266" s="7">
        <f t="shared" si="65"/>
        <v>0.125105605327837</v>
      </c>
    </row>
    <row r="267" spans="1:18">
      <c r="A267" s="6">
        <v>2008</v>
      </c>
      <c r="B267" s="19" t="s">
        <v>36</v>
      </c>
      <c r="C267" s="6">
        <v>0.4215</v>
      </c>
      <c r="D267" s="6">
        <v>6380</v>
      </c>
      <c r="E267" s="6">
        <v>2689.17</v>
      </c>
      <c r="F267" s="6">
        <f t="shared" si="66"/>
        <v>3690.83</v>
      </c>
      <c r="G267" s="6">
        <v>13821.16</v>
      </c>
      <c r="H267" s="15">
        <v>4512.46</v>
      </c>
      <c r="I267" s="15">
        <f t="shared" si="56"/>
        <v>37167448.8372</v>
      </c>
      <c r="J267" s="15">
        <f t="shared" si="57"/>
        <v>16654722.7418</v>
      </c>
      <c r="K267" s="15">
        <f t="shared" si="58"/>
        <v>53822171.579</v>
      </c>
      <c r="L267" s="15">
        <f t="shared" si="59"/>
        <v>0.690560186384263</v>
      </c>
      <c r="M267" s="15">
        <f t="shared" si="60"/>
        <v>0.309439813615737</v>
      </c>
      <c r="N267" s="15">
        <f t="shared" si="61"/>
        <v>0.4215</v>
      </c>
      <c r="O267" s="15">
        <f t="shared" si="62"/>
        <v>0.5785</v>
      </c>
      <c r="P267" s="15">
        <f t="shared" si="63"/>
        <v>1.63833970672423</v>
      </c>
      <c r="Q267" s="15">
        <f t="shared" si="64"/>
        <v>0.53490028282755</v>
      </c>
      <c r="R267" s="7">
        <f t="shared" si="65"/>
        <v>0.147309333910897</v>
      </c>
    </row>
    <row r="268" spans="1:18">
      <c r="A268" s="6">
        <v>2008</v>
      </c>
      <c r="B268" s="19" t="s">
        <v>37</v>
      </c>
      <c r="C268" s="6">
        <v>0.6337</v>
      </c>
      <c r="D268" s="6">
        <v>9893</v>
      </c>
      <c r="E268" s="6">
        <v>6269.1941</v>
      </c>
      <c r="F268" s="6">
        <f t="shared" si="66"/>
        <v>3623.8059</v>
      </c>
      <c r="G268" s="6">
        <v>19732.86</v>
      </c>
      <c r="H268" s="15">
        <v>6399.79</v>
      </c>
      <c r="I268" s="15">
        <f t="shared" si="56"/>
        <v>123709129.488126</v>
      </c>
      <c r="J268" s="15">
        <f t="shared" si="57"/>
        <v>23191596.760761</v>
      </c>
      <c r="K268" s="15">
        <f t="shared" si="58"/>
        <v>146900726.248887</v>
      </c>
      <c r="L268" s="15">
        <f t="shared" si="59"/>
        <v>0.842127419292206</v>
      </c>
      <c r="M268" s="15">
        <f t="shared" si="60"/>
        <v>0.157872580707794</v>
      </c>
      <c r="N268" s="15">
        <f t="shared" si="61"/>
        <v>0.6337</v>
      </c>
      <c r="O268" s="15">
        <f t="shared" si="62"/>
        <v>0.3663</v>
      </c>
      <c r="P268" s="15">
        <f t="shared" si="63"/>
        <v>1.32890550622093</v>
      </c>
      <c r="Q268" s="15">
        <f t="shared" si="64"/>
        <v>0.430992576324855</v>
      </c>
      <c r="R268" s="7">
        <f t="shared" si="65"/>
        <v>0.10658797839113</v>
      </c>
    </row>
    <row r="269" spans="1:18">
      <c r="A269" s="6">
        <v>2008</v>
      </c>
      <c r="B269" s="19" t="s">
        <v>38</v>
      </c>
      <c r="C269" s="6">
        <v>0.3816</v>
      </c>
      <c r="D269" s="6">
        <v>4816</v>
      </c>
      <c r="E269" s="6">
        <v>1837.7856</v>
      </c>
      <c r="F269" s="6">
        <f t="shared" si="66"/>
        <v>2978.2144</v>
      </c>
      <c r="G269" s="6">
        <v>14146.04</v>
      </c>
      <c r="H269" s="15">
        <v>3690.34</v>
      </c>
      <c r="I269" s="15">
        <f t="shared" si="56"/>
        <v>25997388.609024</v>
      </c>
      <c r="J269" s="15">
        <f t="shared" si="57"/>
        <v>10990623.728896</v>
      </c>
      <c r="K269" s="15">
        <f t="shared" si="58"/>
        <v>36988012.33792</v>
      </c>
      <c r="L269" s="15">
        <f t="shared" si="59"/>
        <v>0.702859844738712</v>
      </c>
      <c r="M269" s="15">
        <f t="shared" si="60"/>
        <v>0.297140155261288</v>
      </c>
      <c r="N269" s="15">
        <f t="shared" si="61"/>
        <v>0.3816</v>
      </c>
      <c r="O269" s="15">
        <f t="shared" si="62"/>
        <v>0.6184</v>
      </c>
      <c r="P269" s="15">
        <f t="shared" si="63"/>
        <v>1.84187590340333</v>
      </c>
      <c r="Q269" s="15">
        <f t="shared" si="64"/>
        <v>0.480498310577763</v>
      </c>
      <c r="R269" s="7">
        <f t="shared" si="65"/>
        <v>0.211512545038517</v>
      </c>
    </row>
    <row r="270" spans="1:18">
      <c r="A270" s="6">
        <v>2008</v>
      </c>
      <c r="B270" s="19" t="s">
        <v>39</v>
      </c>
      <c r="C270" s="6">
        <v>0.48</v>
      </c>
      <c r="D270" s="6">
        <v>854</v>
      </c>
      <c r="E270" s="6">
        <v>409.92</v>
      </c>
      <c r="F270" s="6">
        <f t="shared" si="66"/>
        <v>444.08</v>
      </c>
      <c r="G270" s="6">
        <v>12607.84</v>
      </c>
      <c r="H270" s="15">
        <v>4389.97</v>
      </c>
      <c r="I270" s="15">
        <f t="shared" si="56"/>
        <v>5168205.7728</v>
      </c>
      <c r="J270" s="15">
        <f t="shared" si="57"/>
        <v>1949497.8776</v>
      </c>
      <c r="K270" s="15">
        <f t="shared" si="58"/>
        <v>7117703.6504</v>
      </c>
      <c r="L270" s="15">
        <f t="shared" si="59"/>
        <v>0.726105781674341</v>
      </c>
      <c r="M270" s="15">
        <f t="shared" si="60"/>
        <v>0.273894218325659</v>
      </c>
      <c r="N270" s="15">
        <f t="shared" si="61"/>
        <v>0.48</v>
      </c>
      <c r="O270" s="15">
        <f t="shared" si="62"/>
        <v>0.52</v>
      </c>
      <c r="P270" s="15">
        <f t="shared" si="63"/>
        <v>1.51272037848821</v>
      </c>
      <c r="Q270" s="15">
        <f t="shared" si="64"/>
        <v>0.526719650626268</v>
      </c>
      <c r="R270" s="7">
        <f t="shared" si="65"/>
        <v>0.12495217726925</v>
      </c>
    </row>
    <row r="271" spans="1:18">
      <c r="A271" s="6">
        <v>2008</v>
      </c>
      <c r="B271" s="19" t="s">
        <v>40</v>
      </c>
      <c r="C271" s="6">
        <v>0.4999</v>
      </c>
      <c r="D271" s="6">
        <v>2839</v>
      </c>
      <c r="E271" s="6">
        <v>1419.2161</v>
      </c>
      <c r="F271" s="6">
        <f t="shared" si="66"/>
        <v>1419.7839</v>
      </c>
      <c r="G271" s="6">
        <v>14367.55</v>
      </c>
      <c r="H271" s="15">
        <v>4126.21</v>
      </c>
      <c r="I271" s="15">
        <f t="shared" si="56"/>
        <v>20390658.277555</v>
      </c>
      <c r="J271" s="15">
        <f t="shared" si="57"/>
        <v>5858326.526019</v>
      </c>
      <c r="K271" s="15">
        <f t="shared" si="58"/>
        <v>26248984.803574</v>
      </c>
      <c r="L271" s="15">
        <f t="shared" si="59"/>
        <v>0.776817024739892</v>
      </c>
      <c r="M271" s="15">
        <f t="shared" si="60"/>
        <v>0.223182975260108</v>
      </c>
      <c r="N271" s="15">
        <f t="shared" si="61"/>
        <v>0.4999</v>
      </c>
      <c r="O271" s="15">
        <f t="shared" si="62"/>
        <v>0.5001</v>
      </c>
      <c r="P271" s="15">
        <f t="shared" si="63"/>
        <v>1.55394483844747</v>
      </c>
      <c r="Q271" s="15">
        <f t="shared" si="64"/>
        <v>0.446276695181179</v>
      </c>
      <c r="R271" s="7">
        <f t="shared" si="65"/>
        <v>0.162350799985218</v>
      </c>
    </row>
    <row r="272" spans="1:18">
      <c r="A272" s="6">
        <v>2008</v>
      </c>
      <c r="B272" s="19" t="s">
        <v>41</v>
      </c>
      <c r="C272" s="6">
        <v>0.374</v>
      </c>
      <c r="D272" s="6">
        <v>8138</v>
      </c>
      <c r="E272" s="6">
        <v>3043.612</v>
      </c>
      <c r="F272" s="6">
        <f t="shared" si="66"/>
        <v>5094.388</v>
      </c>
      <c r="G272" s="6">
        <v>12633.38</v>
      </c>
      <c r="H272" s="15">
        <v>4121.21</v>
      </c>
      <c r="I272" s="15">
        <f t="shared" si="56"/>
        <v>38451106.96856</v>
      </c>
      <c r="J272" s="15">
        <f t="shared" si="57"/>
        <v>20995042.76948</v>
      </c>
      <c r="K272" s="15">
        <f t="shared" si="58"/>
        <v>59446149.73804</v>
      </c>
      <c r="L272" s="15">
        <f t="shared" si="59"/>
        <v>0.646822496292891</v>
      </c>
      <c r="M272" s="15">
        <f t="shared" si="60"/>
        <v>0.353177503707109</v>
      </c>
      <c r="N272" s="15">
        <f t="shared" si="61"/>
        <v>0.374</v>
      </c>
      <c r="O272" s="15">
        <f t="shared" si="62"/>
        <v>0.626</v>
      </c>
      <c r="P272" s="15">
        <f t="shared" si="63"/>
        <v>1.72947191522163</v>
      </c>
      <c r="Q272" s="15">
        <f t="shared" si="64"/>
        <v>0.564181315826053</v>
      </c>
      <c r="R272" s="7">
        <f t="shared" si="65"/>
        <v>0.152188186856431</v>
      </c>
    </row>
    <row r="273" spans="1:18">
      <c r="A273" s="6">
        <v>2008</v>
      </c>
      <c r="B273" s="19" t="s">
        <v>42</v>
      </c>
      <c r="C273" s="6">
        <v>0.2911</v>
      </c>
      <c r="D273" s="6">
        <v>3596</v>
      </c>
      <c r="E273" s="6">
        <v>1046.7956</v>
      </c>
      <c r="F273" s="6">
        <f t="shared" si="66"/>
        <v>2549.2044</v>
      </c>
      <c r="G273" s="6">
        <v>11758.76</v>
      </c>
      <c r="H273" s="15">
        <v>2796.93</v>
      </c>
      <c r="I273" s="15">
        <f t="shared" si="56"/>
        <v>12309018.229456</v>
      </c>
      <c r="J273" s="15">
        <f t="shared" si="57"/>
        <v>7129946.262492</v>
      </c>
      <c r="K273" s="15">
        <f t="shared" si="58"/>
        <v>19438964.491948</v>
      </c>
      <c r="L273" s="15">
        <f t="shared" si="59"/>
        <v>0.633213679388871</v>
      </c>
      <c r="M273" s="15">
        <f t="shared" si="60"/>
        <v>0.366786320611129</v>
      </c>
      <c r="N273" s="15">
        <f t="shared" si="61"/>
        <v>0.2911</v>
      </c>
      <c r="O273" s="15">
        <f t="shared" si="62"/>
        <v>0.7089</v>
      </c>
      <c r="P273" s="15">
        <f t="shared" si="63"/>
        <v>2.17524451868386</v>
      </c>
      <c r="Q273" s="15">
        <f t="shared" si="64"/>
        <v>0.517402060390929</v>
      </c>
      <c r="R273" s="7">
        <f t="shared" si="65"/>
        <v>0.250408008965549</v>
      </c>
    </row>
    <row r="274" spans="1:18">
      <c r="A274" s="6">
        <v>2008</v>
      </c>
      <c r="B274" s="19" t="s">
        <v>43</v>
      </c>
      <c r="C274" s="6">
        <v>0.33</v>
      </c>
      <c r="D274" s="6">
        <v>4543</v>
      </c>
      <c r="E274" s="6">
        <v>1499.19</v>
      </c>
      <c r="F274" s="6">
        <f t="shared" si="66"/>
        <v>3043.81</v>
      </c>
      <c r="G274" s="6">
        <v>13250.22</v>
      </c>
      <c r="H274" s="15">
        <v>3102.6</v>
      </c>
      <c r="I274" s="15">
        <f t="shared" si="56"/>
        <v>19864597.3218</v>
      </c>
      <c r="J274" s="15">
        <f t="shared" si="57"/>
        <v>9443724.906</v>
      </c>
      <c r="K274" s="15">
        <f t="shared" si="58"/>
        <v>29308322.2278</v>
      </c>
      <c r="L274" s="15">
        <f t="shared" si="59"/>
        <v>0.677780091518092</v>
      </c>
      <c r="M274" s="15">
        <f t="shared" si="60"/>
        <v>0.322219908481908</v>
      </c>
      <c r="N274" s="15">
        <f t="shared" si="61"/>
        <v>0.33</v>
      </c>
      <c r="O274" s="15">
        <f t="shared" si="62"/>
        <v>0.67</v>
      </c>
      <c r="P274" s="15">
        <f t="shared" si="63"/>
        <v>2.05387906520634</v>
      </c>
      <c r="Q274" s="15">
        <f t="shared" si="64"/>
        <v>0.480925236540162</v>
      </c>
      <c r="R274" s="7">
        <f t="shared" si="65"/>
        <v>0.251939847699391</v>
      </c>
    </row>
    <row r="275" spans="1:18">
      <c r="A275" s="6">
        <v>2008</v>
      </c>
      <c r="B275" s="19" t="s">
        <v>44</v>
      </c>
      <c r="C275" s="6">
        <v>0.2261</v>
      </c>
      <c r="D275" s="6">
        <v>292</v>
      </c>
      <c r="E275" s="6">
        <v>66.0212</v>
      </c>
      <c r="F275" s="6">
        <f t="shared" si="66"/>
        <v>225.9788</v>
      </c>
      <c r="G275" s="6">
        <v>12481.51</v>
      </c>
      <c r="H275" s="15">
        <v>3175.82</v>
      </c>
      <c r="I275" s="15">
        <f t="shared" si="56"/>
        <v>824044.268012</v>
      </c>
      <c r="J275" s="15">
        <f t="shared" si="57"/>
        <v>717667.992616</v>
      </c>
      <c r="K275" s="15">
        <f t="shared" si="58"/>
        <v>1541712.260628</v>
      </c>
      <c r="L275" s="15">
        <f t="shared" si="59"/>
        <v>0.534499393340969</v>
      </c>
      <c r="M275" s="15">
        <f t="shared" si="60"/>
        <v>0.465500606659031</v>
      </c>
      <c r="N275" s="15">
        <f t="shared" si="61"/>
        <v>0.2261</v>
      </c>
      <c r="O275" s="15">
        <f t="shared" si="62"/>
        <v>0.7739</v>
      </c>
      <c r="P275" s="15">
        <f t="shared" si="63"/>
        <v>2.36399554772653</v>
      </c>
      <c r="Q275" s="15">
        <f t="shared" si="64"/>
        <v>0.601499685565358</v>
      </c>
      <c r="R275" s="7">
        <f t="shared" si="65"/>
        <v>0.22323069025216</v>
      </c>
    </row>
    <row r="276" spans="1:18">
      <c r="A276" s="6">
        <v>2008</v>
      </c>
      <c r="B276" s="19" t="s">
        <v>45</v>
      </c>
      <c r="C276" s="6">
        <v>0.421</v>
      </c>
      <c r="D276" s="6">
        <v>3717.59720167046</v>
      </c>
      <c r="E276" s="6">
        <v>1565.10842190326</v>
      </c>
      <c r="F276" s="6">
        <f t="shared" si="66"/>
        <v>2152.4887797672</v>
      </c>
      <c r="G276" s="6">
        <v>12857.89</v>
      </c>
      <c r="H276" s="15">
        <v>3136.46</v>
      </c>
      <c r="I276" s="15">
        <f t="shared" si="56"/>
        <v>20123991.9269057</v>
      </c>
      <c r="J276" s="15">
        <f t="shared" si="57"/>
        <v>6751194.95818863</v>
      </c>
      <c r="K276" s="15">
        <f t="shared" si="58"/>
        <v>26875186.8850943</v>
      </c>
      <c r="L276" s="15">
        <f t="shared" si="59"/>
        <v>0.748794492590747</v>
      </c>
      <c r="M276" s="15">
        <f t="shared" si="60"/>
        <v>0.251205507409253</v>
      </c>
      <c r="N276" s="15">
        <f t="shared" si="61"/>
        <v>0.421</v>
      </c>
      <c r="O276" s="15">
        <f t="shared" si="62"/>
        <v>0.579000000000001</v>
      </c>
      <c r="P276" s="15">
        <f t="shared" si="63"/>
        <v>1.77860924605878</v>
      </c>
      <c r="Q276" s="15">
        <f t="shared" si="64"/>
        <v>0.433860979981438</v>
      </c>
      <c r="R276" s="7">
        <f t="shared" si="65"/>
        <v>0.22141521702489</v>
      </c>
    </row>
    <row r="277" spans="1:18">
      <c r="A277" s="6">
        <v>2008</v>
      </c>
      <c r="B277" s="19" t="s">
        <v>46</v>
      </c>
      <c r="C277" s="6">
        <v>0.3215</v>
      </c>
      <c r="D277" s="6">
        <v>2550.88</v>
      </c>
      <c r="E277" s="6">
        <v>820.10792</v>
      </c>
      <c r="F277" s="6">
        <f t="shared" si="66"/>
        <v>1730.77208</v>
      </c>
      <c r="G277" s="6">
        <v>10969.41</v>
      </c>
      <c r="H277" s="15">
        <v>2723.79</v>
      </c>
      <c r="I277" s="15">
        <f t="shared" si="56"/>
        <v>8996100.0187272</v>
      </c>
      <c r="J277" s="15">
        <f t="shared" si="57"/>
        <v>4714259.6837832</v>
      </c>
      <c r="K277" s="15">
        <f t="shared" si="58"/>
        <v>13710359.7025104</v>
      </c>
      <c r="L277" s="15">
        <f t="shared" si="59"/>
        <v>0.656153464527994</v>
      </c>
      <c r="M277" s="15">
        <f t="shared" si="60"/>
        <v>0.343846535472006</v>
      </c>
      <c r="N277" s="15">
        <f t="shared" si="61"/>
        <v>0.3215</v>
      </c>
      <c r="O277" s="15">
        <f t="shared" si="62"/>
        <v>0.6785</v>
      </c>
      <c r="P277" s="15">
        <f t="shared" si="63"/>
        <v>2.04091279790978</v>
      </c>
      <c r="Q277" s="15">
        <f t="shared" si="64"/>
        <v>0.506774554859257</v>
      </c>
      <c r="R277" s="7">
        <f t="shared" si="65"/>
        <v>0.234389295286572</v>
      </c>
    </row>
    <row r="278" spans="1:18">
      <c r="A278" s="6">
        <v>2008</v>
      </c>
      <c r="B278" s="19" t="s">
        <v>47</v>
      </c>
      <c r="C278" s="6">
        <v>0.4086</v>
      </c>
      <c r="D278" s="6">
        <v>554</v>
      </c>
      <c r="E278" s="6">
        <v>226.3644</v>
      </c>
      <c r="F278" s="6">
        <f t="shared" si="66"/>
        <v>327.6356</v>
      </c>
      <c r="G278" s="6">
        <v>11640.43</v>
      </c>
      <c r="H278" s="15">
        <v>3061.24</v>
      </c>
      <c r="I278" s="15">
        <f t="shared" si="56"/>
        <v>2634978.952692</v>
      </c>
      <c r="J278" s="15">
        <f t="shared" si="57"/>
        <v>1002971.204144</v>
      </c>
      <c r="K278" s="15">
        <f t="shared" si="58"/>
        <v>3637950.156836</v>
      </c>
      <c r="L278" s="15">
        <f t="shared" si="59"/>
        <v>0.724303203478658</v>
      </c>
      <c r="M278" s="15">
        <f t="shared" si="60"/>
        <v>0.275696796521342</v>
      </c>
      <c r="N278" s="15">
        <f t="shared" si="61"/>
        <v>0.4086</v>
      </c>
      <c r="O278" s="15">
        <f t="shared" si="62"/>
        <v>0.5914</v>
      </c>
      <c r="P278" s="15">
        <f t="shared" si="63"/>
        <v>1.77264611717733</v>
      </c>
      <c r="Q278" s="15">
        <f t="shared" si="64"/>
        <v>0.46617652438509</v>
      </c>
      <c r="R278" s="7">
        <f t="shared" si="65"/>
        <v>0.204235037262707</v>
      </c>
    </row>
    <row r="279" spans="1:18">
      <c r="A279" s="6">
        <v>2008</v>
      </c>
      <c r="B279" s="19" t="s">
        <v>48</v>
      </c>
      <c r="C279" s="6">
        <v>0.4498</v>
      </c>
      <c r="D279" s="6">
        <v>618</v>
      </c>
      <c r="E279" s="6">
        <v>277.9764</v>
      </c>
      <c r="F279" s="6">
        <f t="shared" si="66"/>
        <v>340.0236</v>
      </c>
      <c r="G279" s="6">
        <v>12931.53</v>
      </c>
      <c r="H279" s="15">
        <v>3681.42</v>
      </c>
      <c r="I279" s="15">
        <f t="shared" si="56"/>
        <v>3594660.155892</v>
      </c>
      <c r="J279" s="15">
        <f t="shared" si="57"/>
        <v>1251769.681512</v>
      </c>
      <c r="K279" s="15">
        <f t="shared" si="58"/>
        <v>4846429.837404</v>
      </c>
      <c r="L279" s="15">
        <f t="shared" si="59"/>
        <v>0.741713029279608</v>
      </c>
      <c r="M279" s="15">
        <f t="shared" si="60"/>
        <v>0.258286970720392</v>
      </c>
      <c r="N279" s="15">
        <f t="shared" si="61"/>
        <v>0.4498</v>
      </c>
      <c r="O279" s="15">
        <f t="shared" si="62"/>
        <v>0.5502</v>
      </c>
      <c r="P279" s="15">
        <f t="shared" si="63"/>
        <v>1.64898405798045</v>
      </c>
      <c r="Q279" s="15">
        <f t="shared" si="64"/>
        <v>0.469441967866942</v>
      </c>
      <c r="R279" s="7">
        <f t="shared" si="65"/>
        <v>0.175655382720212</v>
      </c>
    </row>
    <row r="280" spans="1:18">
      <c r="A280" s="6">
        <v>2008</v>
      </c>
      <c r="B280" s="19" t="s">
        <v>49</v>
      </c>
      <c r="C280" s="6">
        <v>0.3964</v>
      </c>
      <c r="D280" s="6">
        <v>2131</v>
      </c>
      <c r="E280" s="6">
        <v>844.7284</v>
      </c>
      <c r="F280" s="6">
        <f t="shared" si="66"/>
        <v>1286.2716</v>
      </c>
      <c r="G280" s="6">
        <v>11432.1</v>
      </c>
      <c r="H280" s="15">
        <v>3502.9</v>
      </c>
      <c r="I280" s="15">
        <f t="shared" si="56"/>
        <v>9657019.54164</v>
      </c>
      <c r="J280" s="15">
        <f t="shared" si="57"/>
        <v>4505680.78764</v>
      </c>
      <c r="K280" s="15">
        <f t="shared" si="58"/>
        <v>14162700.32928</v>
      </c>
      <c r="L280" s="15">
        <f t="shared" si="59"/>
        <v>0.681862873400989</v>
      </c>
      <c r="M280" s="15">
        <f t="shared" si="60"/>
        <v>0.318137126599011</v>
      </c>
      <c r="N280" s="15">
        <f t="shared" si="61"/>
        <v>0.3964</v>
      </c>
      <c r="O280" s="15">
        <f t="shared" si="62"/>
        <v>0.6036</v>
      </c>
      <c r="P280" s="15">
        <f t="shared" si="63"/>
        <v>1.72013842936677</v>
      </c>
      <c r="Q280" s="15">
        <f t="shared" si="64"/>
        <v>0.527066147447002</v>
      </c>
      <c r="R280" s="7">
        <f t="shared" si="65"/>
        <v>0.166101362599238</v>
      </c>
    </row>
    <row r="281" spans="1:18">
      <c r="A281" s="6">
        <v>2009</v>
      </c>
      <c r="B281" s="19" t="s">
        <v>19</v>
      </c>
      <c r="C281" s="6">
        <v>0.85</v>
      </c>
      <c r="D281" s="6">
        <v>1860</v>
      </c>
      <c r="E281" s="6">
        <v>1581.1</v>
      </c>
      <c r="F281" s="6">
        <f t="shared" si="66"/>
        <v>278.9</v>
      </c>
      <c r="G281" s="15">
        <v>26738.48</v>
      </c>
      <c r="H281" s="15">
        <v>11668.59</v>
      </c>
      <c r="I281" s="15">
        <f t="shared" si="56"/>
        <v>42276210.728</v>
      </c>
      <c r="J281" s="15">
        <f t="shared" si="57"/>
        <v>3254369.751</v>
      </c>
      <c r="K281" s="15">
        <f t="shared" si="58"/>
        <v>45530580.479</v>
      </c>
      <c r="L281" s="15">
        <f t="shared" si="59"/>
        <v>0.928523429379491</v>
      </c>
      <c r="M281" s="15">
        <f t="shared" si="60"/>
        <v>0.0714765706205088</v>
      </c>
      <c r="N281" s="15">
        <f t="shared" si="61"/>
        <v>0.85</v>
      </c>
      <c r="O281" s="15">
        <f t="shared" si="62"/>
        <v>0.14994623655914</v>
      </c>
      <c r="P281" s="15">
        <f t="shared" si="63"/>
        <v>1.09238050515234</v>
      </c>
      <c r="Q281" s="15">
        <f t="shared" si="64"/>
        <v>0.476681324324655</v>
      </c>
      <c r="R281" s="7">
        <f t="shared" si="65"/>
        <v>0.0290861490905266</v>
      </c>
    </row>
    <row r="282" spans="1:18">
      <c r="A282" s="6">
        <v>2009</v>
      </c>
      <c r="B282" s="19" t="s">
        <v>20</v>
      </c>
      <c r="C282" s="6">
        <v>0.7801</v>
      </c>
      <c r="D282" s="6">
        <v>1228.16</v>
      </c>
      <c r="E282" s="6">
        <v>958.087616</v>
      </c>
      <c r="F282" s="6">
        <f t="shared" si="66"/>
        <v>270.072384</v>
      </c>
      <c r="G282" s="15">
        <v>21402.01</v>
      </c>
      <c r="H282" s="15">
        <v>8687.56</v>
      </c>
      <c r="I282" s="15">
        <f t="shared" si="56"/>
        <v>20505000.7385082</v>
      </c>
      <c r="J282" s="15">
        <f t="shared" si="57"/>
        <v>2346270.04034304</v>
      </c>
      <c r="K282" s="15">
        <f t="shared" si="58"/>
        <v>22851270.7788512</v>
      </c>
      <c r="L282" s="15">
        <f t="shared" si="59"/>
        <v>0.897324307998026</v>
      </c>
      <c r="M282" s="15">
        <f t="shared" si="60"/>
        <v>0.102675692001974</v>
      </c>
      <c r="N282" s="15">
        <f t="shared" si="61"/>
        <v>0.7801</v>
      </c>
      <c r="O282" s="15">
        <f t="shared" si="62"/>
        <v>0.2199</v>
      </c>
      <c r="P282" s="15">
        <f t="shared" si="63"/>
        <v>1.1502683091886</v>
      </c>
      <c r="Q282" s="15">
        <f t="shared" si="64"/>
        <v>0.466919927248632</v>
      </c>
      <c r="R282" s="7">
        <f t="shared" si="65"/>
        <v>0.0474235705044103</v>
      </c>
    </row>
    <row r="283" spans="1:18">
      <c r="A283" s="6">
        <v>2009</v>
      </c>
      <c r="B283" s="19" t="s">
        <v>21</v>
      </c>
      <c r="C283" s="6">
        <v>0.43</v>
      </c>
      <c r="D283" s="6">
        <v>7034.4</v>
      </c>
      <c r="E283" s="6">
        <v>3024.792</v>
      </c>
      <c r="F283" s="6">
        <f t="shared" si="66"/>
        <v>4009.608</v>
      </c>
      <c r="G283" s="15">
        <v>14718.25</v>
      </c>
      <c r="H283" s="15">
        <v>5149.67</v>
      </c>
      <c r="I283" s="15">
        <f t="shared" si="56"/>
        <v>44519644.854</v>
      </c>
      <c r="J283" s="15">
        <f t="shared" si="57"/>
        <v>20648158.02936</v>
      </c>
      <c r="K283" s="15">
        <f t="shared" si="58"/>
        <v>65167802.88336</v>
      </c>
      <c r="L283" s="15">
        <f t="shared" si="59"/>
        <v>0.683153994522158</v>
      </c>
      <c r="M283" s="15">
        <f t="shared" si="60"/>
        <v>0.316846005477842</v>
      </c>
      <c r="N283" s="15">
        <f t="shared" si="61"/>
        <v>0.43</v>
      </c>
      <c r="O283" s="15">
        <f t="shared" si="62"/>
        <v>0.57</v>
      </c>
      <c r="P283" s="15">
        <f t="shared" si="63"/>
        <v>1.58873021981897</v>
      </c>
      <c r="Q283" s="15">
        <f t="shared" si="64"/>
        <v>0.555870185048845</v>
      </c>
      <c r="R283" s="7">
        <f t="shared" si="65"/>
        <v>0.130197490923021</v>
      </c>
    </row>
    <row r="284" spans="1:18">
      <c r="A284" s="6">
        <v>2009</v>
      </c>
      <c r="B284" s="19" t="s">
        <v>22</v>
      </c>
      <c r="C284" s="6">
        <v>0.4599</v>
      </c>
      <c r="D284" s="6">
        <v>3427.36</v>
      </c>
      <c r="E284" s="6">
        <v>1576.242864</v>
      </c>
      <c r="F284" s="6">
        <f t="shared" si="66"/>
        <v>1851.117136</v>
      </c>
      <c r="G284" s="15">
        <v>13996.55</v>
      </c>
      <c r="H284" s="15">
        <v>4244.1</v>
      </c>
      <c r="I284" s="15">
        <f t="shared" si="56"/>
        <v>22061962.0581192</v>
      </c>
      <c r="J284" s="15">
        <f t="shared" si="57"/>
        <v>7856326.2368976</v>
      </c>
      <c r="K284" s="15">
        <f t="shared" si="58"/>
        <v>29918288.2950168</v>
      </c>
      <c r="L284" s="15">
        <f t="shared" si="59"/>
        <v>0.73740722866802</v>
      </c>
      <c r="M284" s="15">
        <f t="shared" si="60"/>
        <v>0.26259277133198</v>
      </c>
      <c r="N284" s="15">
        <f t="shared" si="61"/>
        <v>0.4599</v>
      </c>
      <c r="O284" s="15">
        <f t="shared" si="62"/>
        <v>0.5401</v>
      </c>
      <c r="P284" s="15">
        <f t="shared" si="63"/>
        <v>1.60340775966084</v>
      </c>
      <c r="Q284" s="15">
        <f t="shared" si="64"/>
        <v>0.486192874156601</v>
      </c>
      <c r="R284" s="7">
        <f t="shared" si="65"/>
        <v>0.158784226367996</v>
      </c>
    </row>
    <row r="285" spans="1:18">
      <c r="A285" s="6">
        <v>2009</v>
      </c>
      <c r="B285" s="19" t="s">
        <v>23</v>
      </c>
      <c r="C285" s="6">
        <v>0.534</v>
      </c>
      <c r="D285" s="6">
        <v>2458.22352333391</v>
      </c>
      <c r="E285" s="6">
        <v>1293.38538</v>
      </c>
      <c r="F285" s="6">
        <f t="shared" si="66"/>
        <v>1164.83814333391</v>
      </c>
      <c r="G285" s="15">
        <v>15849.19</v>
      </c>
      <c r="H285" s="15">
        <v>4937.8</v>
      </c>
      <c r="I285" s="15">
        <f t="shared" si="56"/>
        <v>20499110.6308422</v>
      </c>
      <c r="J285" s="15">
        <f t="shared" si="57"/>
        <v>5751737.78415418</v>
      </c>
      <c r="K285" s="15">
        <f t="shared" si="58"/>
        <v>26250848.4149964</v>
      </c>
      <c r="L285" s="15">
        <f t="shared" si="59"/>
        <v>0.780893261306237</v>
      </c>
      <c r="M285" s="15">
        <f t="shared" si="60"/>
        <v>0.219106738693762</v>
      </c>
      <c r="N285" s="15">
        <f t="shared" si="61"/>
        <v>0.534</v>
      </c>
      <c r="O285" s="15">
        <f t="shared" si="62"/>
        <v>0.473853631403756</v>
      </c>
      <c r="P285" s="15">
        <f t="shared" si="63"/>
        <v>1.46234693128509</v>
      </c>
      <c r="Q285" s="15">
        <f t="shared" si="64"/>
        <v>0.462393288080699</v>
      </c>
      <c r="R285" s="7">
        <f t="shared" si="65"/>
        <v>0.127767053295592</v>
      </c>
    </row>
    <row r="286" spans="1:18">
      <c r="A286" s="6">
        <v>2009</v>
      </c>
      <c r="B286" s="19" t="s">
        <v>24</v>
      </c>
      <c r="C286" s="6">
        <v>0.6035</v>
      </c>
      <c r="D286" s="6">
        <v>4341</v>
      </c>
      <c r="E286" s="6">
        <v>2606.5165</v>
      </c>
      <c r="F286" s="6">
        <f t="shared" si="66"/>
        <v>1734.4835</v>
      </c>
      <c r="G286" s="15">
        <v>15761.38</v>
      </c>
      <c r="H286" s="15">
        <v>5958</v>
      </c>
      <c r="I286" s="15">
        <f t="shared" si="56"/>
        <v>41082297.03277</v>
      </c>
      <c r="J286" s="15">
        <f t="shared" si="57"/>
        <v>10334052.693</v>
      </c>
      <c r="K286" s="15">
        <f t="shared" si="58"/>
        <v>51416349.72577</v>
      </c>
      <c r="L286" s="15">
        <f t="shared" si="59"/>
        <v>0.799012322965033</v>
      </c>
      <c r="M286" s="15">
        <f t="shared" si="60"/>
        <v>0.200987677034967</v>
      </c>
      <c r="N286" s="15">
        <f t="shared" si="61"/>
        <v>0.6035</v>
      </c>
      <c r="O286" s="15">
        <f t="shared" si="62"/>
        <v>0.399558511863626</v>
      </c>
      <c r="P286" s="15">
        <f t="shared" si="63"/>
        <v>1.3239640811351</v>
      </c>
      <c r="Q286" s="15">
        <f t="shared" si="64"/>
        <v>0.503024390839575</v>
      </c>
      <c r="R286" s="7">
        <f t="shared" si="65"/>
        <v>0.0861251171755384</v>
      </c>
    </row>
    <row r="287" spans="1:18">
      <c r="A287" s="6">
        <v>2009</v>
      </c>
      <c r="B287" s="19" t="s">
        <v>25</v>
      </c>
      <c r="C287" s="6">
        <v>0.5332</v>
      </c>
      <c r="D287" s="6">
        <v>2739.55</v>
      </c>
      <c r="E287" s="6">
        <v>1460.72806</v>
      </c>
      <c r="F287" s="6">
        <f t="shared" si="66"/>
        <v>1278.82194</v>
      </c>
      <c r="G287" s="15">
        <v>14006.27</v>
      </c>
      <c r="H287" s="15">
        <v>5265.91</v>
      </c>
      <c r="I287" s="15">
        <f t="shared" si="56"/>
        <v>20459351.6049362</v>
      </c>
      <c r="J287" s="15">
        <f t="shared" si="57"/>
        <v>6734161.2420654</v>
      </c>
      <c r="K287" s="15">
        <f t="shared" si="58"/>
        <v>27193512.8470016</v>
      </c>
      <c r="L287" s="15">
        <f t="shared" si="59"/>
        <v>0.752361481212313</v>
      </c>
      <c r="M287" s="15">
        <f t="shared" si="60"/>
        <v>0.247638518787687</v>
      </c>
      <c r="N287" s="15">
        <f t="shared" si="61"/>
        <v>0.5332</v>
      </c>
      <c r="O287" s="15">
        <f t="shared" si="62"/>
        <v>0.4668</v>
      </c>
      <c r="P287" s="15">
        <f t="shared" si="63"/>
        <v>1.41103053490681</v>
      </c>
      <c r="Q287" s="15">
        <f t="shared" si="64"/>
        <v>0.530502396717409</v>
      </c>
      <c r="R287" s="7">
        <f t="shared" si="65"/>
        <v>0.102067655797279</v>
      </c>
    </row>
    <row r="288" spans="1:18">
      <c r="A288" s="6">
        <v>2009</v>
      </c>
      <c r="B288" s="19" t="s">
        <v>26</v>
      </c>
      <c r="C288" s="6">
        <v>0.555</v>
      </c>
      <c r="D288" s="6">
        <v>3826</v>
      </c>
      <c r="E288" s="6">
        <v>2123.43</v>
      </c>
      <c r="F288" s="6">
        <f t="shared" si="66"/>
        <v>1702.57</v>
      </c>
      <c r="G288" s="15">
        <v>12565.98</v>
      </c>
      <c r="H288" s="15">
        <v>5206.76</v>
      </c>
      <c r="I288" s="15">
        <f t="shared" ref="I288:I351" si="67">E288*G288</f>
        <v>26682978.9114</v>
      </c>
      <c r="J288" s="15">
        <f t="shared" ref="J288:J351" si="68">F288*H288</f>
        <v>8864873.3732</v>
      </c>
      <c r="K288" s="15">
        <f t="shared" ref="K288:K351" si="69">I288+J288</f>
        <v>35547852.2846</v>
      </c>
      <c r="L288" s="15">
        <f t="shared" ref="L288:L351" si="70">I288/K288</f>
        <v>0.750621407385547</v>
      </c>
      <c r="M288" s="15">
        <f t="shared" ref="M288:M351" si="71">J288/K288</f>
        <v>0.249378592614453</v>
      </c>
      <c r="N288" s="15">
        <f t="shared" ref="N288:N351" si="72">C288</f>
        <v>0.555</v>
      </c>
      <c r="O288" s="15">
        <f t="shared" ref="O288:O351" si="73">F288/D288</f>
        <v>0.445</v>
      </c>
      <c r="P288" s="15">
        <f t="shared" ref="P288:P351" si="74">(L288/N288)</f>
        <v>1.35247100429828</v>
      </c>
      <c r="Q288" s="15">
        <f t="shared" ref="Q288:Q351" si="75">M288/O288</f>
        <v>0.560401331717871</v>
      </c>
      <c r="R288" s="7">
        <f t="shared" ref="R288:R351" si="76">L288*LN(P288)+M288*LN(Q288)</f>
        <v>0.0822219295389192</v>
      </c>
    </row>
    <row r="289" spans="1:18">
      <c r="A289" s="6">
        <v>2009</v>
      </c>
      <c r="B289" s="19" t="s">
        <v>27</v>
      </c>
      <c r="C289" s="6">
        <v>0.886</v>
      </c>
      <c r="D289" s="6">
        <v>2210.28</v>
      </c>
      <c r="E289" s="6">
        <f>C289*D289</f>
        <v>1958.30808</v>
      </c>
      <c r="F289" s="6">
        <f t="shared" si="66"/>
        <v>251.97192</v>
      </c>
      <c r="G289" s="15">
        <v>28837.78</v>
      </c>
      <c r="H289" s="15">
        <v>12482.94</v>
      </c>
      <c r="I289" s="15">
        <f t="shared" si="67"/>
        <v>56473257.5832624</v>
      </c>
      <c r="J289" s="15">
        <f t="shared" si="68"/>
        <v>3145350.3590448</v>
      </c>
      <c r="K289" s="15">
        <f t="shared" si="69"/>
        <v>59618607.9423072</v>
      </c>
      <c r="L289" s="15">
        <f t="shared" si="70"/>
        <v>0.947242136849479</v>
      </c>
      <c r="M289" s="15">
        <f t="shared" si="71"/>
        <v>0.0527578631505209</v>
      </c>
      <c r="N289" s="15">
        <f t="shared" si="72"/>
        <v>0.886</v>
      </c>
      <c r="O289" s="15">
        <f t="shared" si="73"/>
        <v>0.114</v>
      </c>
      <c r="P289" s="15">
        <f t="shared" si="74"/>
        <v>1.06912205062018</v>
      </c>
      <c r="Q289" s="15">
        <f t="shared" si="75"/>
        <v>0.462788273250183</v>
      </c>
      <c r="R289" s="7">
        <f t="shared" si="76"/>
        <v>0.0226624037761395</v>
      </c>
    </row>
    <row r="290" spans="1:18">
      <c r="A290" s="6">
        <v>2009</v>
      </c>
      <c r="B290" s="19" t="s">
        <v>28</v>
      </c>
      <c r="C290" s="6">
        <v>0.556</v>
      </c>
      <c r="D290" s="6">
        <v>7810</v>
      </c>
      <c r="E290" s="6">
        <v>4295.1</v>
      </c>
      <c r="F290" s="6">
        <f t="shared" si="66"/>
        <v>3514.9</v>
      </c>
      <c r="G290" s="15">
        <v>20551.72</v>
      </c>
      <c r="H290" s="15">
        <v>8003.54</v>
      </c>
      <c r="I290" s="15">
        <f t="shared" si="67"/>
        <v>88271692.572</v>
      </c>
      <c r="J290" s="15">
        <f t="shared" si="68"/>
        <v>28131642.746</v>
      </c>
      <c r="K290" s="15">
        <f t="shared" si="69"/>
        <v>116403335.318</v>
      </c>
      <c r="L290" s="15">
        <f t="shared" si="70"/>
        <v>0.758326145302042</v>
      </c>
      <c r="M290" s="15">
        <f t="shared" si="71"/>
        <v>0.241673854697958</v>
      </c>
      <c r="N290" s="15">
        <f t="shared" si="72"/>
        <v>0.556</v>
      </c>
      <c r="O290" s="15">
        <f t="shared" si="73"/>
        <v>0.450051216389245</v>
      </c>
      <c r="P290" s="15">
        <f t="shared" si="74"/>
        <v>1.36389594478785</v>
      </c>
      <c r="Q290" s="15">
        <f t="shared" si="75"/>
        <v>0.536991893138084</v>
      </c>
      <c r="R290" s="7">
        <f t="shared" si="76"/>
        <v>0.0850768281501229</v>
      </c>
    </row>
    <row r="291" spans="1:18">
      <c r="A291" s="6">
        <v>2009</v>
      </c>
      <c r="B291" s="19" t="s">
        <v>29</v>
      </c>
      <c r="C291" s="6">
        <v>0.579</v>
      </c>
      <c r="D291" s="6">
        <v>5275.5</v>
      </c>
      <c r="E291" s="6">
        <v>2999.22</v>
      </c>
      <c r="F291" s="6">
        <f t="shared" si="66"/>
        <v>2276.28</v>
      </c>
      <c r="G291" s="15">
        <v>24610.81</v>
      </c>
      <c r="H291" s="15">
        <v>10007.31</v>
      </c>
      <c r="I291" s="15">
        <f t="shared" si="67"/>
        <v>73813233.5682</v>
      </c>
      <c r="J291" s="15">
        <f t="shared" si="68"/>
        <v>22779439.6068</v>
      </c>
      <c r="K291" s="15">
        <f t="shared" si="69"/>
        <v>96592673.175</v>
      </c>
      <c r="L291" s="15">
        <f t="shared" si="70"/>
        <v>0.764170108787343</v>
      </c>
      <c r="M291" s="15">
        <f t="shared" si="71"/>
        <v>0.235829891212657</v>
      </c>
      <c r="N291" s="15">
        <f t="shared" si="72"/>
        <v>0.579</v>
      </c>
      <c r="O291" s="15">
        <f t="shared" si="73"/>
        <v>0.431481376172875</v>
      </c>
      <c r="P291" s="15">
        <f t="shared" si="74"/>
        <v>1.31981020515949</v>
      </c>
      <c r="Q291" s="15">
        <f t="shared" si="75"/>
        <v>0.546558679552767</v>
      </c>
      <c r="R291" s="7">
        <f t="shared" si="76"/>
        <v>0.0695799455950359</v>
      </c>
    </row>
    <row r="292" spans="1:18">
      <c r="A292" s="6">
        <v>2009</v>
      </c>
      <c r="B292" s="19" t="s">
        <v>30</v>
      </c>
      <c r="C292" s="6">
        <v>0.421</v>
      </c>
      <c r="D292" s="6">
        <v>6131</v>
      </c>
      <c r="E292" s="6">
        <v>2581.151</v>
      </c>
      <c r="F292" s="6">
        <f t="shared" si="66"/>
        <v>3549.849</v>
      </c>
      <c r="G292" s="15">
        <v>14085.74</v>
      </c>
      <c r="H292" s="15">
        <v>4504.32</v>
      </c>
      <c r="I292" s="15">
        <f t="shared" si="67"/>
        <v>36357421.88674</v>
      </c>
      <c r="J292" s="15">
        <f t="shared" si="68"/>
        <v>15989655.84768</v>
      </c>
      <c r="K292" s="15">
        <f t="shared" si="69"/>
        <v>52347077.73442</v>
      </c>
      <c r="L292" s="15">
        <f t="shared" si="70"/>
        <v>0.69454539699804</v>
      </c>
      <c r="M292" s="15">
        <f t="shared" si="71"/>
        <v>0.30545460300196</v>
      </c>
      <c r="N292" s="15">
        <f t="shared" si="72"/>
        <v>0.421</v>
      </c>
      <c r="O292" s="15">
        <f t="shared" si="73"/>
        <v>0.579</v>
      </c>
      <c r="P292" s="15">
        <f t="shared" si="74"/>
        <v>1.64975153681245</v>
      </c>
      <c r="Q292" s="15">
        <f t="shared" si="75"/>
        <v>0.52755544559924</v>
      </c>
      <c r="R292" s="7">
        <f t="shared" si="76"/>
        <v>0.152367957559811</v>
      </c>
    </row>
    <row r="293" spans="1:18">
      <c r="A293" s="6">
        <v>2009</v>
      </c>
      <c r="B293" s="19" t="s">
        <v>31</v>
      </c>
      <c r="C293" s="6">
        <v>0.514</v>
      </c>
      <c r="D293" s="6">
        <v>3665.87916666667</v>
      </c>
      <c r="E293" s="6">
        <v>1864.278</v>
      </c>
      <c r="F293" s="6">
        <f t="shared" si="66"/>
        <v>1801.60116666667</v>
      </c>
      <c r="G293" s="15">
        <v>19576.83</v>
      </c>
      <c r="H293" s="15">
        <v>6680.18</v>
      </c>
      <c r="I293" s="15">
        <f t="shared" si="67"/>
        <v>36496653.47874</v>
      </c>
      <c r="J293" s="15">
        <f t="shared" si="68"/>
        <v>12035020.0815434</v>
      </c>
      <c r="K293" s="15">
        <f t="shared" si="69"/>
        <v>48531673.5602834</v>
      </c>
      <c r="L293" s="15">
        <f t="shared" si="70"/>
        <v>0.752017204463512</v>
      </c>
      <c r="M293" s="15">
        <f t="shared" si="71"/>
        <v>0.247982795536488</v>
      </c>
      <c r="N293" s="15">
        <f t="shared" si="72"/>
        <v>0.514</v>
      </c>
      <c r="O293" s="15">
        <f t="shared" si="73"/>
        <v>0.49145132306825</v>
      </c>
      <c r="P293" s="15">
        <f t="shared" si="74"/>
        <v>1.46306849117415</v>
      </c>
      <c r="Q293" s="15">
        <f t="shared" si="75"/>
        <v>0.504592792605118</v>
      </c>
      <c r="R293" s="7">
        <f t="shared" si="76"/>
        <v>0.116548464572611</v>
      </c>
    </row>
    <row r="294" spans="1:18">
      <c r="A294" s="6">
        <v>2009</v>
      </c>
      <c r="B294" s="19" t="s">
        <v>32</v>
      </c>
      <c r="C294" s="6">
        <v>0.4318</v>
      </c>
      <c r="D294" s="6">
        <v>4432.1581</v>
      </c>
      <c r="E294" s="6">
        <v>1913.80586758</v>
      </c>
      <c r="F294" s="6">
        <f t="shared" si="66"/>
        <v>2518.35223242</v>
      </c>
      <c r="G294" s="15">
        <v>14021.54</v>
      </c>
      <c r="H294" s="15">
        <v>5075.01</v>
      </c>
      <c r="I294" s="15">
        <f t="shared" si="67"/>
        <v>26834505.5245077</v>
      </c>
      <c r="J294" s="15">
        <f t="shared" si="68"/>
        <v>12780662.7630538</v>
      </c>
      <c r="K294" s="15">
        <f t="shared" si="69"/>
        <v>39615168.2875615</v>
      </c>
      <c r="L294" s="15">
        <f t="shared" si="70"/>
        <v>0.67737956657711</v>
      </c>
      <c r="M294" s="15">
        <f t="shared" si="71"/>
        <v>0.32262043342289</v>
      </c>
      <c r="N294" s="15">
        <f t="shared" si="72"/>
        <v>0.4318</v>
      </c>
      <c r="O294" s="15">
        <f t="shared" si="73"/>
        <v>0.5682</v>
      </c>
      <c r="P294" s="15">
        <f t="shared" si="74"/>
        <v>1.56873452194792</v>
      </c>
      <c r="Q294" s="15">
        <f t="shared" si="75"/>
        <v>0.567793793422897</v>
      </c>
      <c r="R294" s="7">
        <f t="shared" si="76"/>
        <v>0.122401007932265</v>
      </c>
    </row>
    <row r="295" spans="1:18">
      <c r="A295" s="6">
        <v>2009</v>
      </c>
      <c r="B295" s="19" t="s">
        <v>33</v>
      </c>
      <c r="C295" s="6">
        <v>0.4832</v>
      </c>
      <c r="D295" s="6">
        <v>9470.3</v>
      </c>
      <c r="E295" s="6">
        <v>4576.04896</v>
      </c>
      <c r="F295" s="6">
        <f t="shared" si="66"/>
        <v>4894.25104</v>
      </c>
      <c r="G295" s="15">
        <v>17811.04</v>
      </c>
      <c r="H295" s="15">
        <v>6118.77</v>
      </c>
      <c r="I295" s="15">
        <f t="shared" si="67"/>
        <v>81504191.0685184</v>
      </c>
      <c r="J295" s="15">
        <f t="shared" si="68"/>
        <v>29946796.4360208</v>
      </c>
      <c r="K295" s="15">
        <f t="shared" si="69"/>
        <v>111450987.504539</v>
      </c>
      <c r="L295" s="15">
        <f t="shared" si="70"/>
        <v>0.731300752855141</v>
      </c>
      <c r="M295" s="15">
        <f t="shared" si="71"/>
        <v>0.268699247144859</v>
      </c>
      <c r="N295" s="15">
        <f t="shared" si="72"/>
        <v>0.4832</v>
      </c>
      <c r="O295" s="15">
        <f t="shared" si="73"/>
        <v>0.5168</v>
      </c>
      <c r="P295" s="15">
        <f t="shared" si="74"/>
        <v>1.5134535448161</v>
      </c>
      <c r="Q295" s="15">
        <f t="shared" si="75"/>
        <v>0.519928883794232</v>
      </c>
      <c r="R295" s="7">
        <f t="shared" si="76"/>
        <v>0.127300457803877</v>
      </c>
    </row>
    <row r="296" spans="1:18">
      <c r="A296" s="6">
        <v>2009</v>
      </c>
      <c r="B296" s="19" t="s">
        <v>34</v>
      </c>
      <c r="C296" s="6">
        <v>0.377</v>
      </c>
      <c r="D296" s="6">
        <v>9487</v>
      </c>
      <c r="E296" s="6">
        <v>3577</v>
      </c>
      <c r="F296" s="6">
        <f t="shared" si="66"/>
        <v>5910</v>
      </c>
      <c r="G296" s="15">
        <v>14371.56</v>
      </c>
      <c r="H296" s="15">
        <v>4806.95</v>
      </c>
      <c r="I296" s="15">
        <f t="shared" si="67"/>
        <v>51407070.12</v>
      </c>
      <c r="J296" s="15">
        <f t="shared" si="68"/>
        <v>28409074.5</v>
      </c>
      <c r="K296" s="15">
        <f t="shared" si="69"/>
        <v>79816144.62</v>
      </c>
      <c r="L296" s="15">
        <f t="shared" si="70"/>
        <v>0.644068569895803</v>
      </c>
      <c r="M296" s="15">
        <f t="shared" si="71"/>
        <v>0.355931430104197</v>
      </c>
      <c r="N296" s="15">
        <f t="shared" si="72"/>
        <v>0.377</v>
      </c>
      <c r="O296" s="15">
        <f t="shared" si="73"/>
        <v>0.622957731632761</v>
      </c>
      <c r="P296" s="15">
        <f t="shared" si="74"/>
        <v>1.70840469468383</v>
      </c>
      <c r="Q296" s="15">
        <f t="shared" si="75"/>
        <v>0.571357271979444</v>
      </c>
      <c r="R296" s="7">
        <f t="shared" si="76"/>
        <v>0.145708106953495</v>
      </c>
    </row>
    <row r="297" spans="1:18">
      <c r="A297" s="6">
        <v>2009</v>
      </c>
      <c r="B297" s="19" t="s">
        <v>35</v>
      </c>
      <c r="C297" s="6">
        <v>0.46</v>
      </c>
      <c r="D297" s="6">
        <v>5720</v>
      </c>
      <c r="E297" s="6">
        <v>2631.2</v>
      </c>
      <c r="F297" s="6">
        <f t="shared" si="66"/>
        <v>3088.8</v>
      </c>
      <c r="G297" s="15">
        <v>14367.48</v>
      </c>
      <c r="H297" s="15">
        <v>5035.26</v>
      </c>
      <c r="I297" s="15">
        <f t="shared" si="67"/>
        <v>37803713.376</v>
      </c>
      <c r="J297" s="15">
        <f t="shared" si="68"/>
        <v>15552911.088</v>
      </c>
      <c r="K297" s="15">
        <f t="shared" si="69"/>
        <v>53356624.464</v>
      </c>
      <c r="L297" s="15">
        <f t="shared" si="70"/>
        <v>0.708510213225845</v>
      </c>
      <c r="M297" s="15">
        <f t="shared" si="71"/>
        <v>0.291489786774155</v>
      </c>
      <c r="N297" s="15">
        <f t="shared" si="72"/>
        <v>0.46</v>
      </c>
      <c r="O297" s="15">
        <f t="shared" si="73"/>
        <v>0.54</v>
      </c>
      <c r="P297" s="15">
        <f t="shared" si="74"/>
        <v>1.54023959396923</v>
      </c>
      <c r="Q297" s="15">
        <f t="shared" si="75"/>
        <v>0.53979590143362</v>
      </c>
      <c r="R297" s="7">
        <f t="shared" si="76"/>
        <v>0.126310314938797</v>
      </c>
    </row>
    <row r="298" spans="1:18">
      <c r="A298" s="6">
        <v>2009</v>
      </c>
      <c r="B298" s="19" t="s">
        <v>36</v>
      </c>
      <c r="C298" s="6">
        <v>0.432</v>
      </c>
      <c r="D298" s="6">
        <v>6406</v>
      </c>
      <c r="E298" s="6">
        <v>2767.392</v>
      </c>
      <c r="F298" s="6">
        <f t="shared" si="66"/>
        <v>3638.608</v>
      </c>
      <c r="G298" s="15">
        <v>15084.31</v>
      </c>
      <c r="H298" s="15">
        <v>4909.04</v>
      </c>
      <c r="I298" s="15">
        <f t="shared" si="67"/>
        <v>41744198.81952</v>
      </c>
      <c r="J298" s="15">
        <f t="shared" si="68"/>
        <v>17862072.21632</v>
      </c>
      <c r="K298" s="15">
        <f t="shared" si="69"/>
        <v>59606271.03584</v>
      </c>
      <c r="L298" s="15">
        <f t="shared" si="70"/>
        <v>0.700332332388652</v>
      </c>
      <c r="M298" s="15">
        <f t="shared" si="71"/>
        <v>0.299667667611348</v>
      </c>
      <c r="N298" s="15">
        <f t="shared" si="72"/>
        <v>0.432</v>
      </c>
      <c r="O298" s="15">
        <f t="shared" si="73"/>
        <v>0.568</v>
      </c>
      <c r="P298" s="15">
        <f t="shared" si="74"/>
        <v>1.62113965830707</v>
      </c>
      <c r="Q298" s="15">
        <f t="shared" si="75"/>
        <v>0.527583921850964</v>
      </c>
      <c r="R298" s="7">
        <f t="shared" si="76"/>
        <v>0.146729445070346</v>
      </c>
    </row>
    <row r="299" spans="1:18">
      <c r="A299" s="6">
        <v>2009</v>
      </c>
      <c r="B299" s="19" t="s">
        <v>37</v>
      </c>
      <c r="C299" s="6">
        <v>0.634</v>
      </c>
      <c r="D299" s="6">
        <v>10130</v>
      </c>
      <c r="E299" s="6">
        <v>6110.492</v>
      </c>
      <c r="F299" s="6">
        <f t="shared" si="66"/>
        <v>4019.508</v>
      </c>
      <c r="G299" s="15">
        <v>21574.72</v>
      </c>
      <c r="H299" s="15">
        <v>6906.93</v>
      </c>
      <c r="I299" s="15">
        <f t="shared" si="67"/>
        <v>131832153.96224</v>
      </c>
      <c r="J299" s="15">
        <f t="shared" si="68"/>
        <v>27762460.39044</v>
      </c>
      <c r="K299" s="15">
        <f t="shared" si="69"/>
        <v>159594614.35268</v>
      </c>
      <c r="L299" s="15">
        <f t="shared" si="70"/>
        <v>0.82604387683729</v>
      </c>
      <c r="M299" s="15">
        <f t="shared" si="71"/>
        <v>0.17395612316271</v>
      </c>
      <c r="N299" s="15">
        <f t="shared" si="72"/>
        <v>0.634</v>
      </c>
      <c r="O299" s="15">
        <f t="shared" si="73"/>
        <v>0.396792497532083</v>
      </c>
      <c r="P299" s="15">
        <f t="shared" si="74"/>
        <v>1.30290832308721</v>
      </c>
      <c r="Q299" s="15">
        <f t="shared" si="75"/>
        <v>0.438405776935449</v>
      </c>
      <c r="R299" s="7">
        <f t="shared" si="76"/>
        <v>0.0751243095898446</v>
      </c>
    </row>
    <row r="300" spans="1:18">
      <c r="A300" s="6">
        <v>2009</v>
      </c>
      <c r="B300" s="19" t="s">
        <v>38</v>
      </c>
      <c r="C300" s="6">
        <v>0.392</v>
      </c>
      <c r="D300" s="6">
        <v>4856</v>
      </c>
      <c r="E300" s="6">
        <v>1903.552</v>
      </c>
      <c r="F300" s="6">
        <f t="shared" si="66"/>
        <v>2952.448</v>
      </c>
      <c r="G300" s="15">
        <v>15451.48</v>
      </c>
      <c r="H300" s="15">
        <v>3980.44</v>
      </c>
      <c r="I300" s="15">
        <f t="shared" si="67"/>
        <v>29412695.65696</v>
      </c>
      <c r="J300" s="15">
        <f t="shared" si="68"/>
        <v>11752042.11712</v>
      </c>
      <c r="K300" s="15">
        <f t="shared" si="69"/>
        <v>41164737.77408</v>
      </c>
      <c r="L300" s="15">
        <f t="shared" si="70"/>
        <v>0.71451191596027</v>
      </c>
      <c r="M300" s="15">
        <f t="shared" si="71"/>
        <v>0.28548808403973</v>
      </c>
      <c r="N300" s="15">
        <f t="shared" si="72"/>
        <v>0.392</v>
      </c>
      <c r="O300" s="15">
        <f t="shared" si="73"/>
        <v>0.608</v>
      </c>
      <c r="P300" s="15">
        <f t="shared" si="74"/>
        <v>1.82273447949048</v>
      </c>
      <c r="Q300" s="15">
        <f t="shared" si="75"/>
        <v>0.469552769802187</v>
      </c>
      <c r="R300" s="7">
        <f t="shared" si="76"/>
        <v>0.21312679901305</v>
      </c>
    </row>
    <row r="301" spans="1:18">
      <c r="A301" s="6">
        <v>2009</v>
      </c>
      <c r="B301" s="19" t="s">
        <v>39</v>
      </c>
      <c r="C301" s="6">
        <v>0.4913</v>
      </c>
      <c r="D301" s="6">
        <v>864.07</v>
      </c>
      <c r="E301" s="6">
        <v>424</v>
      </c>
      <c r="F301" s="6">
        <f t="shared" si="66"/>
        <v>440.07</v>
      </c>
      <c r="G301" s="15">
        <v>13750.85</v>
      </c>
      <c r="H301" s="15">
        <v>4744.36</v>
      </c>
      <c r="I301" s="15">
        <f t="shared" si="67"/>
        <v>5830360.4</v>
      </c>
      <c r="J301" s="15">
        <f t="shared" si="68"/>
        <v>2087850.5052</v>
      </c>
      <c r="K301" s="15">
        <f t="shared" si="69"/>
        <v>7918210.9052</v>
      </c>
      <c r="L301" s="15">
        <f t="shared" si="70"/>
        <v>0.73632294842906</v>
      </c>
      <c r="M301" s="15">
        <f t="shared" si="71"/>
        <v>0.26367705157094</v>
      </c>
      <c r="N301" s="15">
        <f t="shared" si="72"/>
        <v>0.4913</v>
      </c>
      <c r="O301" s="15">
        <f t="shared" si="73"/>
        <v>0.509299015126089</v>
      </c>
      <c r="P301" s="15">
        <f t="shared" si="74"/>
        <v>1.49872368904755</v>
      </c>
      <c r="Q301" s="15">
        <f t="shared" si="75"/>
        <v>0.517725429933652</v>
      </c>
      <c r="R301" s="7">
        <f t="shared" si="76"/>
        <v>0.124345177301115</v>
      </c>
    </row>
    <row r="302" spans="1:18">
      <c r="A302" s="6">
        <v>2009</v>
      </c>
      <c r="B302" s="19" t="s">
        <v>40</v>
      </c>
      <c r="C302" s="6">
        <v>0.5159</v>
      </c>
      <c r="D302" s="6">
        <v>2859</v>
      </c>
      <c r="E302" s="6">
        <v>1474.9581</v>
      </c>
      <c r="F302" s="6">
        <f t="shared" si="66"/>
        <v>1384.0419</v>
      </c>
      <c r="G302" s="15">
        <v>15748.67</v>
      </c>
      <c r="H302" s="15">
        <v>4478.35</v>
      </c>
      <c r="I302" s="15">
        <f t="shared" si="67"/>
        <v>23228628.380727</v>
      </c>
      <c r="J302" s="15">
        <f t="shared" si="68"/>
        <v>6198224.042865</v>
      </c>
      <c r="K302" s="15">
        <f t="shared" si="69"/>
        <v>29426852.423592</v>
      </c>
      <c r="L302" s="15">
        <f t="shared" si="70"/>
        <v>0.789368432829881</v>
      </c>
      <c r="M302" s="15">
        <f t="shared" si="71"/>
        <v>0.210631567170119</v>
      </c>
      <c r="N302" s="15">
        <f t="shared" si="72"/>
        <v>0.5159</v>
      </c>
      <c r="O302" s="15">
        <f t="shared" si="73"/>
        <v>0.4841</v>
      </c>
      <c r="P302" s="15">
        <f t="shared" si="74"/>
        <v>1.53008031174623</v>
      </c>
      <c r="Q302" s="15">
        <f t="shared" si="75"/>
        <v>0.435099291820118</v>
      </c>
      <c r="R302" s="7">
        <f t="shared" si="76"/>
        <v>0.160450767991373</v>
      </c>
    </row>
    <row r="303" spans="1:18">
      <c r="A303" s="6">
        <v>2009</v>
      </c>
      <c r="B303" s="19" t="s">
        <v>41</v>
      </c>
      <c r="C303" s="6">
        <v>0.387</v>
      </c>
      <c r="D303" s="6">
        <v>8185</v>
      </c>
      <c r="E303" s="6">
        <v>3167.595</v>
      </c>
      <c r="F303" s="6">
        <f t="shared" si="66"/>
        <v>5017.405</v>
      </c>
      <c r="G303" s="15">
        <v>13839.4</v>
      </c>
      <c r="H303" s="15">
        <v>4462.05</v>
      </c>
      <c r="I303" s="15">
        <f t="shared" si="67"/>
        <v>43837614.243</v>
      </c>
      <c r="J303" s="15">
        <f t="shared" si="68"/>
        <v>22387911.98025</v>
      </c>
      <c r="K303" s="15">
        <f t="shared" si="69"/>
        <v>66225526.22325</v>
      </c>
      <c r="L303" s="15">
        <f t="shared" si="70"/>
        <v>0.661944370139407</v>
      </c>
      <c r="M303" s="15">
        <f t="shared" si="71"/>
        <v>0.338055629860593</v>
      </c>
      <c r="N303" s="15">
        <f t="shared" si="72"/>
        <v>0.387</v>
      </c>
      <c r="O303" s="15">
        <f t="shared" si="73"/>
        <v>0.613</v>
      </c>
      <c r="P303" s="15">
        <f t="shared" si="74"/>
        <v>1.71045056883568</v>
      </c>
      <c r="Q303" s="15">
        <f t="shared" si="75"/>
        <v>0.551477373345176</v>
      </c>
      <c r="R303" s="7">
        <f t="shared" si="76"/>
        <v>0.15410784058893</v>
      </c>
    </row>
    <row r="304" spans="1:18">
      <c r="A304" s="6">
        <v>2009</v>
      </c>
      <c r="B304" s="19" t="s">
        <v>42</v>
      </c>
      <c r="C304" s="6">
        <v>0.2989</v>
      </c>
      <c r="D304" s="6">
        <v>3537</v>
      </c>
      <c r="E304" s="6">
        <v>1135.2222</v>
      </c>
      <c r="F304" s="6">
        <f t="shared" si="66"/>
        <v>2401.7778</v>
      </c>
      <c r="G304" s="15">
        <v>12862.53</v>
      </c>
      <c r="H304" s="15">
        <v>3005.41</v>
      </c>
      <c r="I304" s="15">
        <f t="shared" si="67"/>
        <v>14601829.604166</v>
      </c>
      <c r="J304" s="15">
        <f t="shared" si="68"/>
        <v>7218327.017898</v>
      </c>
      <c r="K304" s="15">
        <f t="shared" si="69"/>
        <v>21820156.622064</v>
      </c>
      <c r="L304" s="15">
        <f t="shared" si="70"/>
        <v>0.669189953907159</v>
      </c>
      <c r="M304" s="15">
        <f t="shared" si="71"/>
        <v>0.330810046092841</v>
      </c>
      <c r="N304" s="15">
        <f t="shared" si="72"/>
        <v>0.2989</v>
      </c>
      <c r="O304" s="15">
        <f t="shared" si="73"/>
        <v>0.679043765903308</v>
      </c>
      <c r="P304" s="15">
        <f t="shared" si="74"/>
        <v>2.23884226800655</v>
      </c>
      <c r="Q304" s="15">
        <f t="shared" si="75"/>
        <v>0.48717043393039</v>
      </c>
      <c r="R304" s="7">
        <f t="shared" si="76"/>
        <v>0.301440440755598</v>
      </c>
    </row>
    <row r="305" spans="1:18">
      <c r="A305" s="6">
        <v>2009</v>
      </c>
      <c r="B305" s="19" t="s">
        <v>43</v>
      </c>
      <c r="C305" s="6">
        <v>0.34</v>
      </c>
      <c r="D305" s="6">
        <v>4571</v>
      </c>
      <c r="E305" s="6">
        <v>1554.14</v>
      </c>
      <c r="F305" s="6">
        <f t="shared" si="66"/>
        <v>3016.86</v>
      </c>
      <c r="G305" s="15">
        <v>14423.93</v>
      </c>
      <c r="H305" s="15">
        <v>3369.34</v>
      </c>
      <c r="I305" s="15">
        <f t="shared" si="67"/>
        <v>22416806.5702</v>
      </c>
      <c r="J305" s="15">
        <f t="shared" si="68"/>
        <v>10164827.0724</v>
      </c>
      <c r="K305" s="15">
        <f t="shared" si="69"/>
        <v>32581633.6426</v>
      </c>
      <c r="L305" s="15">
        <f t="shared" si="70"/>
        <v>0.688019723507368</v>
      </c>
      <c r="M305" s="15">
        <f t="shared" si="71"/>
        <v>0.311980276492632</v>
      </c>
      <c r="N305" s="15">
        <f t="shared" si="72"/>
        <v>0.34</v>
      </c>
      <c r="O305" s="15">
        <f t="shared" si="73"/>
        <v>0.66</v>
      </c>
      <c r="P305" s="15">
        <f t="shared" si="74"/>
        <v>2.02358742208049</v>
      </c>
      <c r="Q305" s="15">
        <f t="shared" si="75"/>
        <v>0.472697388625201</v>
      </c>
      <c r="R305" s="7">
        <f t="shared" si="76"/>
        <v>0.25119898211362</v>
      </c>
    </row>
    <row r="306" spans="1:18">
      <c r="A306" s="6">
        <v>2009</v>
      </c>
      <c r="B306" s="19" t="s">
        <v>44</v>
      </c>
      <c r="C306" s="6">
        <v>0.238</v>
      </c>
      <c r="D306" s="6">
        <v>297</v>
      </c>
      <c r="E306" s="6">
        <v>69.02714</v>
      </c>
      <c r="F306" s="6">
        <f t="shared" si="66"/>
        <v>227.97286</v>
      </c>
      <c r="G306" s="15">
        <v>13544.41</v>
      </c>
      <c r="H306" s="15">
        <v>3531.72</v>
      </c>
      <c r="I306" s="15">
        <f t="shared" si="67"/>
        <v>934931.8852874</v>
      </c>
      <c r="J306" s="15">
        <f t="shared" si="68"/>
        <v>805136.3091192</v>
      </c>
      <c r="K306" s="15">
        <f t="shared" si="69"/>
        <v>1740068.1944066</v>
      </c>
      <c r="L306" s="15">
        <f t="shared" si="70"/>
        <v>0.537296117642235</v>
      </c>
      <c r="M306" s="15">
        <f t="shared" si="71"/>
        <v>0.462703882357765</v>
      </c>
      <c r="N306" s="15">
        <f t="shared" si="72"/>
        <v>0.238</v>
      </c>
      <c r="O306" s="15">
        <f t="shared" si="73"/>
        <v>0.767585387205387</v>
      </c>
      <c r="P306" s="15">
        <f t="shared" si="74"/>
        <v>2.2575467127825</v>
      </c>
      <c r="Q306" s="15">
        <f t="shared" si="75"/>
        <v>0.602804443740611</v>
      </c>
      <c r="R306" s="7">
        <f t="shared" si="76"/>
        <v>0.203305457018095</v>
      </c>
    </row>
    <row r="307" spans="1:18">
      <c r="A307" s="6">
        <v>2009</v>
      </c>
      <c r="B307" s="19" t="s">
        <v>45</v>
      </c>
      <c r="C307" s="6">
        <v>0.435</v>
      </c>
      <c r="D307" s="6">
        <v>3726.66784581231</v>
      </c>
      <c r="E307" s="6">
        <v>1640.82</v>
      </c>
      <c r="F307" s="6">
        <f t="shared" si="66"/>
        <v>2085.84784581231</v>
      </c>
      <c r="G307" s="15">
        <v>14128.76</v>
      </c>
      <c r="H307" s="15">
        <v>3437.55</v>
      </c>
      <c r="I307" s="15">
        <f t="shared" si="67"/>
        <v>23182751.9832</v>
      </c>
      <c r="J307" s="15">
        <f t="shared" si="68"/>
        <v>7170206.26237211</v>
      </c>
      <c r="K307" s="15">
        <f t="shared" si="69"/>
        <v>30352958.2455721</v>
      </c>
      <c r="L307" s="15">
        <f t="shared" si="70"/>
        <v>0.763772407145254</v>
      </c>
      <c r="M307" s="15">
        <f t="shared" si="71"/>
        <v>0.236227592854746</v>
      </c>
      <c r="N307" s="15">
        <f t="shared" si="72"/>
        <v>0.435</v>
      </c>
      <c r="O307" s="15">
        <f t="shared" si="73"/>
        <v>0.559708547182759</v>
      </c>
      <c r="P307" s="15">
        <f t="shared" si="74"/>
        <v>1.75579863711553</v>
      </c>
      <c r="Q307" s="15">
        <f t="shared" si="75"/>
        <v>0.42205464619716</v>
      </c>
      <c r="R307" s="7">
        <f t="shared" si="76"/>
        <v>0.226170919440994</v>
      </c>
    </row>
    <row r="308" spans="1:18">
      <c r="A308" s="6">
        <v>2009</v>
      </c>
      <c r="B308" s="19" t="s">
        <v>46</v>
      </c>
      <c r="C308" s="6">
        <v>0.3265</v>
      </c>
      <c r="D308" s="6">
        <v>2554.91</v>
      </c>
      <c r="E308" s="6">
        <v>860.47769</v>
      </c>
      <c r="F308" s="6">
        <f t="shared" si="66"/>
        <v>1694.43231</v>
      </c>
      <c r="G308" s="15">
        <v>11929.78</v>
      </c>
      <c r="H308" s="15">
        <v>2980.1</v>
      </c>
      <c r="I308" s="15">
        <f t="shared" si="67"/>
        <v>10265309.5366082</v>
      </c>
      <c r="J308" s="15">
        <f t="shared" si="68"/>
        <v>5049577.727031</v>
      </c>
      <c r="K308" s="15">
        <f t="shared" si="69"/>
        <v>15314887.2636392</v>
      </c>
      <c r="L308" s="15">
        <f t="shared" si="70"/>
        <v>0.670283062480011</v>
      </c>
      <c r="M308" s="15">
        <f t="shared" si="71"/>
        <v>0.329716937519989</v>
      </c>
      <c r="N308" s="15">
        <f t="shared" si="72"/>
        <v>0.3265</v>
      </c>
      <c r="O308" s="15">
        <f t="shared" si="73"/>
        <v>0.663206261668708</v>
      </c>
      <c r="P308" s="15">
        <f t="shared" si="74"/>
        <v>2.05293434143954</v>
      </c>
      <c r="Q308" s="15">
        <f t="shared" si="75"/>
        <v>0.497155947669101</v>
      </c>
      <c r="R308" s="7">
        <f t="shared" si="76"/>
        <v>0.251691418448008</v>
      </c>
    </row>
    <row r="309" spans="1:18">
      <c r="A309" s="6">
        <v>2009</v>
      </c>
      <c r="B309" s="19" t="s">
        <v>47</v>
      </c>
      <c r="C309" s="6">
        <v>0.419</v>
      </c>
      <c r="D309" s="6">
        <v>557.3</v>
      </c>
      <c r="E309" s="6">
        <v>233</v>
      </c>
      <c r="F309" s="6">
        <f t="shared" si="66"/>
        <v>324.3</v>
      </c>
      <c r="G309" s="15">
        <v>12691.85</v>
      </c>
      <c r="H309" s="15">
        <v>3346.15</v>
      </c>
      <c r="I309" s="15">
        <f t="shared" si="67"/>
        <v>2957201.05</v>
      </c>
      <c r="J309" s="15">
        <f t="shared" si="68"/>
        <v>1085156.445</v>
      </c>
      <c r="K309" s="15">
        <f t="shared" si="69"/>
        <v>4042357.495</v>
      </c>
      <c r="L309" s="15">
        <f t="shared" si="70"/>
        <v>0.731553568346631</v>
      </c>
      <c r="M309" s="15">
        <f t="shared" si="71"/>
        <v>0.268446431653369</v>
      </c>
      <c r="N309" s="15">
        <f t="shared" si="72"/>
        <v>0.419</v>
      </c>
      <c r="O309" s="15">
        <f t="shared" si="73"/>
        <v>0.581912793827382</v>
      </c>
      <c r="P309" s="15">
        <f t="shared" si="74"/>
        <v>1.74595123710413</v>
      </c>
      <c r="Q309" s="15">
        <f t="shared" si="75"/>
        <v>0.461317287574537</v>
      </c>
      <c r="R309" s="7">
        <f t="shared" si="76"/>
        <v>0.200005719240249</v>
      </c>
    </row>
    <row r="310" spans="1:18">
      <c r="A310" s="6">
        <v>2009</v>
      </c>
      <c r="B310" s="19" t="s">
        <v>48</v>
      </c>
      <c r="C310" s="6">
        <v>0.461</v>
      </c>
      <c r="D310" s="6">
        <v>625.2</v>
      </c>
      <c r="E310" s="6">
        <v>288</v>
      </c>
      <c r="F310" s="6">
        <f t="shared" si="66"/>
        <v>337.2</v>
      </c>
      <c r="G310" s="15">
        <v>14024.7</v>
      </c>
      <c r="H310" s="15">
        <v>4048.33</v>
      </c>
      <c r="I310" s="15">
        <f t="shared" si="67"/>
        <v>4039113.6</v>
      </c>
      <c r="J310" s="15">
        <f t="shared" si="68"/>
        <v>1365096.876</v>
      </c>
      <c r="K310" s="15">
        <f t="shared" si="69"/>
        <v>5404210.476</v>
      </c>
      <c r="L310" s="15">
        <f t="shared" si="70"/>
        <v>0.747401237967624</v>
      </c>
      <c r="M310" s="15">
        <f t="shared" si="71"/>
        <v>0.252598762032377</v>
      </c>
      <c r="N310" s="15">
        <f t="shared" si="72"/>
        <v>0.461</v>
      </c>
      <c r="O310" s="15">
        <f t="shared" si="73"/>
        <v>0.539347408829175</v>
      </c>
      <c r="P310" s="15">
        <f t="shared" si="74"/>
        <v>1.62126081988639</v>
      </c>
      <c r="Q310" s="15">
        <f t="shared" si="75"/>
        <v>0.468341476935474</v>
      </c>
      <c r="R310" s="7">
        <f t="shared" si="76"/>
        <v>0.169536655192454</v>
      </c>
    </row>
    <row r="311" spans="1:18">
      <c r="A311" s="6">
        <v>2009</v>
      </c>
      <c r="B311" s="19" t="s">
        <v>49</v>
      </c>
      <c r="C311" s="6">
        <v>0.3985</v>
      </c>
      <c r="D311" s="6">
        <v>2158.63</v>
      </c>
      <c r="E311" s="6">
        <v>860.214055</v>
      </c>
      <c r="F311" s="6">
        <f t="shared" si="66"/>
        <v>1298.415945</v>
      </c>
      <c r="G311" s="15">
        <v>12257.52</v>
      </c>
      <c r="H311" s="15">
        <v>3883.1</v>
      </c>
      <c r="I311" s="15">
        <f t="shared" si="67"/>
        <v>10544090.9834436</v>
      </c>
      <c r="J311" s="15">
        <f t="shared" si="68"/>
        <v>5041878.9560295</v>
      </c>
      <c r="K311" s="15">
        <f t="shared" si="69"/>
        <v>15585969.9394731</v>
      </c>
      <c r="L311" s="15">
        <f t="shared" si="70"/>
        <v>0.676511697660829</v>
      </c>
      <c r="M311" s="15">
        <f t="shared" si="71"/>
        <v>0.323488302339171</v>
      </c>
      <c r="N311" s="15">
        <f t="shared" si="72"/>
        <v>0.3985</v>
      </c>
      <c r="O311" s="15">
        <f t="shared" si="73"/>
        <v>0.6015</v>
      </c>
      <c r="P311" s="15">
        <f t="shared" si="74"/>
        <v>1.69764541445628</v>
      </c>
      <c r="Q311" s="15">
        <f t="shared" si="75"/>
        <v>0.537802663905521</v>
      </c>
      <c r="R311" s="7">
        <f t="shared" si="76"/>
        <v>0.157390553625793</v>
      </c>
    </row>
    <row r="312" s="5" customFormat="1" spans="1:19">
      <c r="A312" s="27">
        <v>2010</v>
      </c>
      <c r="B312" s="28" t="s">
        <v>19</v>
      </c>
      <c r="C312" s="27">
        <v>0.8596</v>
      </c>
      <c r="D312" s="27">
        <v>1961.9</v>
      </c>
      <c r="E312" s="27">
        <v>1686.44924</v>
      </c>
      <c r="F312" s="27">
        <f t="shared" si="66"/>
        <v>275.45076</v>
      </c>
      <c r="G312" s="21">
        <v>29072.93</v>
      </c>
      <c r="H312" s="21">
        <v>13262.29</v>
      </c>
      <c r="I312" s="21">
        <f t="shared" si="67"/>
        <v>49030020.7030732</v>
      </c>
      <c r="J312" s="21">
        <f t="shared" si="68"/>
        <v>3653107.8598404</v>
      </c>
      <c r="K312" s="21">
        <f t="shared" si="69"/>
        <v>52683128.5629136</v>
      </c>
      <c r="L312" s="21">
        <f t="shared" si="70"/>
        <v>0.930658866329893</v>
      </c>
      <c r="M312" s="21">
        <f t="shared" si="71"/>
        <v>0.0693411336701066</v>
      </c>
      <c r="N312" s="21">
        <f t="shared" si="72"/>
        <v>0.8596</v>
      </c>
      <c r="O312" s="21">
        <f t="shared" si="73"/>
        <v>0.1404</v>
      </c>
      <c r="P312" s="21">
        <f t="shared" si="74"/>
        <v>1.08266503761039</v>
      </c>
      <c r="Q312" s="21">
        <f t="shared" si="75"/>
        <v>0.493882718448052</v>
      </c>
      <c r="R312" s="29">
        <f t="shared" si="76"/>
        <v>0.0250009636609797</v>
      </c>
      <c r="S312" s="30"/>
    </row>
    <row r="313" s="5" customFormat="1" spans="1:19">
      <c r="A313" s="27">
        <v>2010</v>
      </c>
      <c r="B313" s="28" t="s">
        <v>20</v>
      </c>
      <c r="C313" s="27">
        <v>0.7955</v>
      </c>
      <c r="D313" s="27">
        <v>1299.29</v>
      </c>
      <c r="E313" s="27">
        <v>1033.585195</v>
      </c>
      <c r="F313" s="27">
        <f t="shared" si="66"/>
        <v>265.704805</v>
      </c>
      <c r="G313" s="21">
        <v>24292.6</v>
      </c>
      <c r="H313" s="21">
        <v>10074.86</v>
      </c>
      <c r="I313" s="21">
        <f t="shared" si="67"/>
        <v>25108471.708057</v>
      </c>
      <c r="J313" s="21">
        <f t="shared" si="68"/>
        <v>2676938.7117023</v>
      </c>
      <c r="K313" s="21">
        <f t="shared" si="69"/>
        <v>27785410.4197593</v>
      </c>
      <c r="L313" s="21">
        <f t="shared" si="70"/>
        <v>0.903656679125437</v>
      </c>
      <c r="M313" s="21">
        <f t="shared" si="71"/>
        <v>0.0963433208745631</v>
      </c>
      <c r="N313" s="21">
        <f t="shared" si="72"/>
        <v>0.7955</v>
      </c>
      <c r="O313" s="21">
        <f t="shared" si="73"/>
        <v>0.2045</v>
      </c>
      <c r="P313" s="21">
        <f t="shared" si="74"/>
        <v>1.13596062743612</v>
      </c>
      <c r="Q313" s="21">
        <f t="shared" si="75"/>
        <v>0.471116483494196</v>
      </c>
      <c r="R313" s="29">
        <f t="shared" si="76"/>
        <v>0.0426841519770286</v>
      </c>
      <c r="S313" s="30"/>
    </row>
    <row r="314" s="5" customFormat="1" spans="1:19">
      <c r="A314" s="27">
        <v>2010</v>
      </c>
      <c r="B314" s="28" t="s">
        <v>21</v>
      </c>
      <c r="C314" s="27">
        <v>0.445</v>
      </c>
      <c r="D314" s="27">
        <v>7193.6</v>
      </c>
      <c r="E314" s="27">
        <v>3201.152</v>
      </c>
      <c r="F314" s="27">
        <f t="shared" ref="F314:F377" si="77">D314-E314</f>
        <v>3992.448</v>
      </c>
      <c r="G314" s="21">
        <v>16263.43</v>
      </c>
      <c r="H314" s="21">
        <v>5957.98</v>
      </c>
      <c r="I314" s="21">
        <f t="shared" si="67"/>
        <v>52061711.47136</v>
      </c>
      <c r="J314" s="21">
        <f t="shared" si="68"/>
        <v>23786925.33504</v>
      </c>
      <c r="K314" s="21">
        <f t="shared" si="69"/>
        <v>75848636.8064</v>
      </c>
      <c r="L314" s="21">
        <f t="shared" si="70"/>
        <v>0.686389547174658</v>
      </c>
      <c r="M314" s="21">
        <f t="shared" si="71"/>
        <v>0.313610452825342</v>
      </c>
      <c r="N314" s="21">
        <f t="shared" si="72"/>
        <v>0.445</v>
      </c>
      <c r="O314" s="21">
        <f t="shared" si="73"/>
        <v>0.555</v>
      </c>
      <c r="P314" s="21">
        <f t="shared" si="74"/>
        <v>1.54244842061721</v>
      </c>
      <c r="Q314" s="21">
        <f t="shared" si="75"/>
        <v>0.56506387896458</v>
      </c>
      <c r="R314" s="29">
        <f t="shared" si="76"/>
        <v>0.118447330932157</v>
      </c>
      <c r="S314" s="30"/>
    </row>
    <row r="315" s="5" customFormat="1" spans="1:19">
      <c r="A315" s="27">
        <v>2010</v>
      </c>
      <c r="B315" s="28" t="s">
        <v>22</v>
      </c>
      <c r="C315" s="27">
        <v>0.4805</v>
      </c>
      <c r="D315" s="27">
        <v>3574.1145</v>
      </c>
      <c r="E315" s="27">
        <v>1717.36201725</v>
      </c>
      <c r="F315" s="27">
        <f t="shared" si="77"/>
        <v>1856.75248275</v>
      </c>
      <c r="G315" s="21">
        <v>15647.66</v>
      </c>
      <c r="H315" s="21">
        <v>4736.25</v>
      </c>
      <c r="I315" s="21">
        <f t="shared" si="67"/>
        <v>26872696.9428421</v>
      </c>
      <c r="J315" s="21">
        <f t="shared" si="68"/>
        <v>8794043.94642469</v>
      </c>
      <c r="K315" s="21">
        <f t="shared" si="69"/>
        <v>35666740.8892668</v>
      </c>
      <c r="L315" s="21">
        <f t="shared" si="70"/>
        <v>0.753438533289957</v>
      </c>
      <c r="M315" s="21">
        <f t="shared" si="71"/>
        <v>0.246561466710043</v>
      </c>
      <c r="N315" s="21">
        <f t="shared" si="72"/>
        <v>0.4805</v>
      </c>
      <c r="O315" s="21">
        <f t="shared" si="73"/>
        <v>0.5195</v>
      </c>
      <c r="P315" s="21">
        <f t="shared" si="74"/>
        <v>1.56803024618097</v>
      </c>
      <c r="Q315" s="21">
        <f t="shared" si="75"/>
        <v>0.474613025428379</v>
      </c>
      <c r="R315" s="29">
        <f t="shared" si="76"/>
        <v>0.15516059356034</v>
      </c>
      <c r="S315" s="30"/>
    </row>
    <row r="316" s="5" customFormat="1" spans="1:19">
      <c r="A316" s="27">
        <v>2010</v>
      </c>
      <c r="B316" s="28" t="s">
        <v>23</v>
      </c>
      <c r="C316" s="27">
        <v>0.555</v>
      </c>
      <c r="D316" s="27">
        <v>2472.1786</v>
      </c>
      <c r="E316" s="27">
        <v>1372.059123</v>
      </c>
      <c r="F316" s="27">
        <f t="shared" si="77"/>
        <v>1100.119477</v>
      </c>
      <c r="G316" s="21">
        <v>17698.15</v>
      </c>
      <c r="H316" s="21">
        <v>5529.59</v>
      </c>
      <c r="I316" s="21">
        <f t="shared" si="67"/>
        <v>24282908.1677225</v>
      </c>
      <c r="J316" s="21">
        <f t="shared" si="68"/>
        <v>6083209.65882443</v>
      </c>
      <c r="K316" s="21">
        <f t="shared" si="69"/>
        <v>30366117.8265469</v>
      </c>
      <c r="L316" s="21">
        <f t="shared" si="70"/>
        <v>0.799671143556378</v>
      </c>
      <c r="M316" s="21">
        <f t="shared" si="71"/>
        <v>0.200328856443622</v>
      </c>
      <c r="N316" s="21">
        <f t="shared" si="72"/>
        <v>0.555</v>
      </c>
      <c r="O316" s="21">
        <f t="shared" si="73"/>
        <v>0.445</v>
      </c>
      <c r="P316" s="21">
        <f t="shared" si="74"/>
        <v>1.44084890730879</v>
      </c>
      <c r="Q316" s="21">
        <f t="shared" si="75"/>
        <v>0.450177205491286</v>
      </c>
      <c r="R316" s="29">
        <f t="shared" si="76"/>
        <v>0.132180596359214</v>
      </c>
      <c r="S316" s="30"/>
    </row>
    <row r="317" s="5" customFormat="1" spans="1:19">
      <c r="A317" s="27">
        <v>2010</v>
      </c>
      <c r="B317" s="28" t="s">
        <v>24</v>
      </c>
      <c r="C317" s="27">
        <v>0.621</v>
      </c>
      <c r="D317" s="27">
        <v>4374.9</v>
      </c>
      <c r="E317" s="27">
        <v>2716.8129</v>
      </c>
      <c r="F317" s="27">
        <f t="shared" si="77"/>
        <v>1658.0871</v>
      </c>
      <c r="G317" s="21">
        <v>17712.58</v>
      </c>
      <c r="H317" s="21">
        <v>6907.93</v>
      </c>
      <c r="I317" s="21">
        <f t="shared" si="67"/>
        <v>48121765.836282</v>
      </c>
      <c r="J317" s="21">
        <f t="shared" si="68"/>
        <v>11453949.620703</v>
      </c>
      <c r="K317" s="21">
        <f t="shared" si="69"/>
        <v>59575715.456985</v>
      </c>
      <c r="L317" s="21">
        <f t="shared" si="70"/>
        <v>0.807741299741956</v>
      </c>
      <c r="M317" s="21">
        <f t="shared" si="71"/>
        <v>0.192258700258044</v>
      </c>
      <c r="N317" s="21">
        <f t="shared" si="72"/>
        <v>0.621</v>
      </c>
      <c r="O317" s="21">
        <f t="shared" si="73"/>
        <v>0.379</v>
      </c>
      <c r="P317" s="21">
        <f t="shared" si="74"/>
        <v>1.30071062760379</v>
      </c>
      <c r="Q317" s="21">
        <f t="shared" si="75"/>
        <v>0.507278892501436</v>
      </c>
      <c r="R317" s="29">
        <f t="shared" si="76"/>
        <v>0.0818789801024317</v>
      </c>
      <c r="S317" s="30"/>
    </row>
    <row r="318" s="5" customFormat="1" spans="1:19">
      <c r="A318" s="27">
        <v>2010</v>
      </c>
      <c r="B318" s="28" t="s">
        <v>25</v>
      </c>
      <c r="C318" s="27">
        <v>0.5335</v>
      </c>
      <c r="D318" s="27">
        <v>2746.6021</v>
      </c>
      <c r="E318" s="27">
        <v>1465.31222035</v>
      </c>
      <c r="F318" s="27">
        <f t="shared" si="77"/>
        <v>1281.28987965</v>
      </c>
      <c r="G318" s="21">
        <v>15411.47</v>
      </c>
      <c r="H318" s="21">
        <v>6237.44</v>
      </c>
      <c r="I318" s="21">
        <f t="shared" si="67"/>
        <v>22582615.3245574</v>
      </c>
      <c r="J318" s="21">
        <f t="shared" si="68"/>
        <v>7991968.7469241</v>
      </c>
      <c r="K318" s="21">
        <f t="shared" si="69"/>
        <v>30574584.0714815</v>
      </c>
      <c r="L318" s="21">
        <f t="shared" si="70"/>
        <v>0.738607441781077</v>
      </c>
      <c r="M318" s="21">
        <f t="shared" si="71"/>
        <v>0.261392558218923</v>
      </c>
      <c r="N318" s="21">
        <f t="shared" si="72"/>
        <v>0.5335</v>
      </c>
      <c r="O318" s="21">
        <f t="shared" si="73"/>
        <v>0.4665</v>
      </c>
      <c r="P318" s="21">
        <f t="shared" si="74"/>
        <v>1.38445631074241</v>
      </c>
      <c r="Q318" s="21">
        <f t="shared" si="75"/>
        <v>0.560327027264573</v>
      </c>
      <c r="R318" s="29">
        <f t="shared" si="76"/>
        <v>0.0888669086259218</v>
      </c>
      <c r="S318" s="30"/>
    </row>
    <row r="319" s="5" customFormat="1" spans="1:19">
      <c r="A319" s="27">
        <v>2010</v>
      </c>
      <c r="B319" s="28" t="s">
        <v>26</v>
      </c>
      <c r="C319" s="27">
        <v>0.5566</v>
      </c>
      <c r="D319" s="27">
        <v>3833.4024</v>
      </c>
      <c r="E319" s="27">
        <v>2133.67177584</v>
      </c>
      <c r="F319" s="27">
        <f t="shared" si="77"/>
        <v>1699.73062416</v>
      </c>
      <c r="G319" s="21">
        <v>13856.51</v>
      </c>
      <c r="H319" s="21">
        <v>6210.72</v>
      </c>
      <c r="I319" s="21">
        <f t="shared" si="67"/>
        <v>29565244.2986447</v>
      </c>
      <c r="J319" s="21">
        <f t="shared" si="68"/>
        <v>10556550.982083</v>
      </c>
      <c r="K319" s="21">
        <f t="shared" si="69"/>
        <v>40121795.2807277</v>
      </c>
      <c r="L319" s="21">
        <f t="shared" si="70"/>
        <v>0.736887372356596</v>
      </c>
      <c r="M319" s="21">
        <f t="shared" si="71"/>
        <v>0.263112627643404</v>
      </c>
      <c r="N319" s="21">
        <f t="shared" si="72"/>
        <v>0.5566</v>
      </c>
      <c r="O319" s="21">
        <f t="shared" si="73"/>
        <v>0.4434</v>
      </c>
      <c r="P319" s="21">
        <f t="shared" si="74"/>
        <v>1.32390832259539</v>
      </c>
      <c r="Q319" s="21">
        <f t="shared" si="75"/>
        <v>0.593397897256211</v>
      </c>
      <c r="R319" s="29">
        <f t="shared" si="76"/>
        <v>0.0694460311081017</v>
      </c>
      <c r="S319" s="30"/>
    </row>
    <row r="320" s="5" customFormat="1" spans="1:19">
      <c r="A320" s="27">
        <v>2010</v>
      </c>
      <c r="B320" s="28" t="s">
        <v>27</v>
      </c>
      <c r="C320" s="27">
        <v>0.893</v>
      </c>
      <c r="D320" s="27">
        <v>2302.6608</v>
      </c>
      <c r="E320" s="27">
        <v>2056.2760944</v>
      </c>
      <c r="F320" s="27">
        <f t="shared" si="77"/>
        <v>246.3847056</v>
      </c>
      <c r="G320" s="21">
        <v>31838.08</v>
      </c>
      <c r="H320" s="21">
        <v>13977.96</v>
      </c>
      <c r="I320" s="21">
        <f t="shared" si="67"/>
        <v>65467882.7955948</v>
      </c>
      <c r="J320" s="21">
        <f t="shared" si="68"/>
        <v>3443955.55948858</v>
      </c>
      <c r="K320" s="21">
        <f t="shared" si="69"/>
        <v>68911838.3550833</v>
      </c>
      <c r="L320" s="21">
        <f t="shared" si="70"/>
        <v>0.950023745677153</v>
      </c>
      <c r="M320" s="21">
        <f t="shared" si="71"/>
        <v>0.0499762543228471</v>
      </c>
      <c r="N320" s="21">
        <f t="shared" si="72"/>
        <v>0.893</v>
      </c>
      <c r="O320" s="21">
        <f t="shared" si="73"/>
        <v>0.107</v>
      </c>
      <c r="P320" s="21">
        <f t="shared" si="74"/>
        <v>1.06385637813791</v>
      </c>
      <c r="Q320" s="21">
        <f t="shared" si="75"/>
        <v>0.467067797409786</v>
      </c>
      <c r="R320" s="29">
        <f t="shared" si="76"/>
        <v>0.0207608831396771</v>
      </c>
      <c r="S320" s="30"/>
    </row>
    <row r="321" s="5" customFormat="1" spans="1:19">
      <c r="A321" s="27">
        <v>2010</v>
      </c>
      <c r="B321" s="28" t="s">
        <v>28</v>
      </c>
      <c r="C321" s="27">
        <v>0.6058</v>
      </c>
      <c r="D321" s="27">
        <v>7869.34</v>
      </c>
      <c r="E321" s="27">
        <v>4767.246172</v>
      </c>
      <c r="F321" s="27">
        <f t="shared" si="77"/>
        <v>3102.093828</v>
      </c>
      <c r="G321" s="21">
        <v>22944.26</v>
      </c>
      <c r="H321" s="21">
        <v>9118.24</v>
      </c>
      <c r="I321" s="21">
        <f t="shared" si="67"/>
        <v>109380935.654373</v>
      </c>
      <c r="J321" s="21">
        <f t="shared" si="68"/>
        <v>28285636.0262227</v>
      </c>
      <c r="K321" s="21">
        <f t="shared" si="69"/>
        <v>137666571.680595</v>
      </c>
      <c r="L321" s="21">
        <f t="shared" si="70"/>
        <v>0.794535189763793</v>
      </c>
      <c r="M321" s="21">
        <f t="shared" si="71"/>
        <v>0.205464810236207</v>
      </c>
      <c r="N321" s="21">
        <f t="shared" si="72"/>
        <v>0.6058</v>
      </c>
      <c r="O321" s="21">
        <f t="shared" si="73"/>
        <v>0.3942</v>
      </c>
      <c r="P321" s="21">
        <f t="shared" si="74"/>
        <v>1.31154702833244</v>
      </c>
      <c r="Q321" s="21">
        <f t="shared" si="75"/>
        <v>0.521219711405903</v>
      </c>
      <c r="R321" s="29">
        <f t="shared" si="76"/>
        <v>0.0816063017900408</v>
      </c>
      <c r="S321" s="30"/>
    </row>
    <row r="322" s="5" customFormat="1" spans="1:19">
      <c r="A322" s="27">
        <v>2010</v>
      </c>
      <c r="B322" s="28" t="s">
        <v>29</v>
      </c>
      <c r="C322" s="27">
        <v>0.6162</v>
      </c>
      <c r="D322" s="27">
        <v>5446.51</v>
      </c>
      <c r="E322" s="27">
        <v>3356.139462</v>
      </c>
      <c r="F322" s="27">
        <f t="shared" si="77"/>
        <v>2090.370538</v>
      </c>
      <c r="G322" s="21">
        <v>27359.02</v>
      </c>
      <c r="H322" s="21">
        <v>11302.55</v>
      </c>
      <c r="I322" s="21">
        <f t="shared" si="67"/>
        <v>91820686.6636472</v>
      </c>
      <c r="J322" s="21">
        <f t="shared" si="68"/>
        <v>23626517.5242719</v>
      </c>
      <c r="K322" s="21">
        <f t="shared" si="69"/>
        <v>115447204.187919</v>
      </c>
      <c r="L322" s="21">
        <f t="shared" si="70"/>
        <v>0.795347858872235</v>
      </c>
      <c r="M322" s="21">
        <f t="shared" si="71"/>
        <v>0.204652141127765</v>
      </c>
      <c r="N322" s="21">
        <f t="shared" si="72"/>
        <v>0.6162</v>
      </c>
      <c r="O322" s="21">
        <f t="shared" si="73"/>
        <v>0.3838</v>
      </c>
      <c r="P322" s="21">
        <f t="shared" si="74"/>
        <v>1.2907300533467</v>
      </c>
      <c r="Q322" s="21">
        <f t="shared" si="75"/>
        <v>0.533226006065046</v>
      </c>
      <c r="R322" s="29">
        <f t="shared" si="76"/>
        <v>0.074291833162282</v>
      </c>
      <c r="S322" s="30"/>
    </row>
    <row r="323" s="5" customFormat="1" spans="1:19">
      <c r="A323" s="27">
        <v>2010</v>
      </c>
      <c r="B323" s="28" t="s">
        <v>30</v>
      </c>
      <c r="C323" s="27">
        <v>0.4301</v>
      </c>
      <c r="D323" s="27">
        <v>5956.7096</v>
      </c>
      <c r="E323" s="27">
        <v>2561.98079896</v>
      </c>
      <c r="F323" s="27">
        <f t="shared" si="77"/>
        <v>3394.72880104</v>
      </c>
      <c r="G323" s="21">
        <v>15788.17</v>
      </c>
      <c r="H323" s="21">
        <v>5285.17</v>
      </c>
      <c r="I323" s="21">
        <f t="shared" si="67"/>
        <v>40448988.3907163</v>
      </c>
      <c r="J323" s="21">
        <f t="shared" si="68"/>
        <v>17941718.8173926</v>
      </c>
      <c r="K323" s="21">
        <f t="shared" si="69"/>
        <v>58390707.2081089</v>
      </c>
      <c r="L323" s="21">
        <f t="shared" si="70"/>
        <v>0.692729893586544</v>
      </c>
      <c r="M323" s="21">
        <f t="shared" si="71"/>
        <v>0.307270106413456</v>
      </c>
      <c r="N323" s="21">
        <f t="shared" si="72"/>
        <v>0.4301</v>
      </c>
      <c r="O323" s="21">
        <f t="shared" si="73"/>
        <v>0.5699</v>
      </c>
      <c r="P323" s="21">
        <f t="shared" si="74"/>
        <v>1.61062518852951</v>
      </c>
      <c r="Q323" s="21">
        <f t="shared" si="75"/>
        <v>0.539164952471409</v>
      </c>
      <c r="R323" s="29">
        <f t="shared" si="76"/>
        <v>0.140359491855247</v>
      </c>
      <c r="S323" s="30"/>
    </row>
    <row r="324" s="5" customFormat="1" spans="1:19">
      <c r="A324" s="27">
        <v>2010</v>
      </c>
      <c r="B324" s="28" t="s">
        <v>31</v>
      </c>
      <c r="C324" s="27">
        <v>0.571</v>
      </c>
      <c r="D324" s="27">
        <v>3693</v>
      </c>
      <c r="E324" s="27">
        <v>2108.703</v>
      </c>
      <c r="F324" s="27">
        <f t="shared" si="77"/>
        <v>1584.297</v>
      </c>
      <c r="G324" s="21">
        <v>21781.31</v>
      </c>
      <c r="H324" s="21">
        <v>7426.86</v>
      </c>
      <c r="I324" s="21">
        <f t="shared" si="67"/>
        <v>45930313.74093</v>
      </c>
      <c r="J324" s="21">
        <f t="shared" si="68"/>
        <v>11766352.01742</v>
      </c>
      <c r="K324" s="21">
        <f t="shared" si="69"/>
        <v>57696665.75835</v>
      </c>
      <c r="L324" s="21">
        <f t="shared" si="70"/>
        <v>0.796065303553227</v>
      </c>
      <c r="M324" s="21">
        <f t="shared" si="71"/>
        <v>0.203934696446772</v>
      </c>
      <c r="N324" s="21">
        <f t="shared" si="72"/>
        <v>0.571</v>
      </c>
      <c r="O324" s="21">
        <f t="shared" si="73"/>
        <v>0.429</v>
      </c>
      <c r="P324" s="21">
        <f t="shared" si="74"/>
        <v>1.39415990114401</v>
      </c>
      <c r="Q324" s="21">
        <f t="shared" si="75"/>
        <v>0.475372252789679</v>
      </c>
      <c r="R324" s="29">
        <f t="shared" si="76"/>
        <v>0.112868658495286</v>
      </c>
      <c r="S324" s="30"/>
    </row>
    <row r="325" s="5" customFormat="1" spans="1:19">
      <c r="A325" s="27">
        <v>2010</v>
      </c>
      <c r="B325" s="28" t="s">
        <v>32</v>
      </c>
      <c r="C325" s="27">
        <v>0.4406</v>
      </c>
      <c r="D325" s="27">
        <v>4462.2489</v>
      </c>
      <c r="E325" s="27">
        <v>1966.06686534</v>
      </c>
      <c r="F325" s="27">
        <f t="shared" si="77"/>
        <v>2496.18203466</v>
      </c>
      <c r="G325" s="21">
        <v>15481.12</v>
      </c>
      <c r="H325" s="21">
        <v>5788.56</v>
      </c>
      <c r="I325" s="21">
        <f t="shared" si="67"/>
        <v>30436917.0703524</v>
      </c>
      <c r="J325" s="21">
        <f t="shared" si="68"/>
        <v>14449299.4785515</v>
      </c>
      <c r="K325" s="21">
        <f t="shared" si="69"/>
        <v>44886216.5489039</v>
      </c>
      <c r="L325" s="21">
        <f t="shared" si="70"/>
        <v>0.678090501060412</v>
      </c>
      <c r="M325" s="21">
        <f t="shared" si="71"/>
        <v>0.321909498939588</v>
      </c>
      <c r="N325" s="21">
        <f t="shared" si="72"/>
        <v>0.4406</v>
      </c>
      <c r="O325" s="21">
        <f t="shared" si="73"/>
        <v>0.5594</v>
      </c>
      <c r="P325" s="21">
        <f t="shared" si="74"/>
        <v>1.53901611679621</v>
      </c>
      <c r="Q325" s="21">
        <f t="shared" si="75"/>
        <v>0.575454949838377</v>
      </c>
      <c r="R325" s="29">
        <f t="shared" si="76"/>
        <v>0.114468829521381</v>
      </c>
      <c r="S325" s="30"/>
    </row>
    <row r="326" s="5" customFormat="1" spans="1:19">
      <c r="A326" s="27">
        <v>2010</v>
      </c>
      <c r="B326" s="28" t="s">
        <v>33</v>
      </c>
      <c r="C326" s="27">
        <v>0.497</v>
      </c>
      <c r="D326" s="27">
        <v>9587.8641</v>
      </c>
      <c r="E326" s="27">
        <v>4765.1684577</v>
      </c>
      <c r="F326" s="27">
        <f t="shared" si="77"/>
        <v>4822.6956423</v>
      </c>
      <c r="G326" s="21">
        <v>19945.83</v>
      </c>
      <c r="H326" s="21">
        <v>6990.28</v>
      </c>
      <c r="I326" s="21">
        <f t="shared" si="67"/>
        <v>95045239.9786464</v>
      </c>
      <c r="J326" s="21">
        <f t="shared" si="68"/>
        <v>33711992.8944568</v>
      </c>
      <c r="K326" s="21">
        <f t="shared" si="69"/>
        <v>128757232.873103</v>
      </c>
      <c r="L326" s="21">
        <f t="shared" si="70"/>
        <v>0.738173987261114</v>
      </c>
      <c r="M326" s="21">
        <f t="shared" si="71"/>
        <v>0.261826012738886</v>
      </c>
      <c r="N326" s="21">
        <f t="shared" si="72"/>
        <v>0.497</v>
      </c>
      <c r="O326" s="21">
        <f t="shared" si="73"/>
        <v>0.503</v>
      </c>
      <c r="P326" s="21">
        <f t="shared" si="74"/>
        <v>1.4852595317125</v>
      </c>
      <c r="Q326" s="21">
        <f t="shared" si="75"/>
        <v>0.52052885236359</v>
      </c>
      <c r="R326" s="29">
        <f t="shared" si="76"/>
        <v>0.121065085967283</v>
      </c>
      <c r="S326" s="30"/>
    </row>
    <row r="327" s="5" customFormat="1" spans="1:19">
      <c r="A327" s="27">
        <v>2010</v>
      </c>
      <c r="B327" s="28" t="s">
        <v>34</v>
      </c>
      <c r="C327" s="27">
        <v>0.385</v>
      </c>
      <c r="D327" s="27">
        <v>9405.4697</v>
      </c>
      <c r="E327" s="27">
        <v>3621.1058345</v>
      </c>
      <c r="F327" s="27">
        <f t="shared" si="77"/>
        <v>5784.3638655</v>
      </c>
      <c r="G327" s="21">
        <v>15930.26</v>
      </c>
      <c r="H327" s="21">
        <v>5523.73</v>
      </c>
      <c r="I327" s="21">
        <f t="shared" si="67"/>
        <v>57685157.431102</v>
      </c>
      <c r="J327" s="21">
        <f t="shared" si="68"/>
        <v>31951264.2147783</v>
      </c>
      <c r="K327" s="21">
        <f t="shared" si="69"/>
        <v>89636421.6458803</v>
      </c>
      <c r="L327" s="21">
        <f t="shared" si="70"/>
        <v>0.643545964596783</v>
      </c>
      <c r="M327" s="21">
        <f t="shared" si="71"/>
        <v>0.356454035403217</v>
      </c>
      <c r="N327" s="21">
        <f t="shared" si="72"/>
        <v>0.385</v>
      </c>
      <c r="O327" s="21">
        <f t="shared" si="73"/>
        <v>0.615</v>
      </c>
      <c r="P327" s="21">
        <f t="shared" si="74"/>
        <v>1.67154795999164</v>
      </c>
      <c r="Q327" s="21">
        <f t="shared" si="75"/>
        <v>0.579600057566207</v>
      </c>
      <c r="R327" s="29">
        <f t="shared" si="76"/>
        <v>0.136205736401837</v>
      </c>
      <c r="S327" s="30"/>
    </row>
    <row r="328" s="5" customFormat="1" spans="1:19">
      <c r="A328" s="27">
        <v>2010</v>
      </c>
      <c r="B328" s="28" t="s">
        <v>35</v>
      </c>
      <c r="C328" s="27">
        <v>0.497</v>
      </c>
      <c r="D328" s="27">
        <v>5727.9143</v>
      </c>
      <c r="E328" s="27">
        <v>2846.7734071</v>
      </c>
      <c r="F328" s="27">
        <f t="shared" si="77"/>
        <v>2881.1408929</v>
      </c>
      <c r="G328" s="21">
        <v>16058.37</v>
      </c>
      <c r="H328" s="21">
        <v>5832.27</v>
      </c>
      <c r="I328" s="21">
        <f t="shared" si="67"/>
        <v>45714540.6773724</v>
      </c>
      <c r="J328" s="21">
        <f t="shared" si="68"/>
        <v>16803591.5954339</v>
      </c>
      <c r="K328" s="21">
        <f t="shared" si="69"/>
        <v>62518132.2728063</v>
      </c>
      <c r="L328" s="21">
        <f t="shared" si="70"/>
        <v>0.731220511801134</v>
      </c>
      <c r="M328" s="21">
        <f t="shared" si="71"/>
        <v>0.268779488198866</v>
      </c>
      <c r="N328" s="21">
        <f t="shared" si="72"/>
        <v>0.497</v>
      </c>
      <c r="O328" s="21">
        <f t="shared" si="73"/>
        <v>0.503</v>
      </c>
      <c r="P328" s="21">
        <f t="shared" si="74"/>
        <v>1.47126863541476</v>
      </c>
      <c r="Q328" s="21">
        <f t="shared" si="75"/>
        <v>0.534352859242278</v>
      </c>
      <c r="R328" s="29">
        <f t="shared" si="76"/>
        <v>0.11389875129897</v>
      </c>
      <c r="S328" s="30"/>
    </row>
    <row r="329" s="5" customFormat="1" spans="1:19">
      <c r="A329" s="27">
        <v>2010</v>
      </c>
      <c r="B329" s="28" t="s">
        <v>36</v>
      </c>
      <c r="C329" s="27">
        <v>0.433</v>
      </c>
      <c r="D329" s="27">
        <v>6570.1</v>
      </c>
      <c r="E329" s="27">
        <v>2844.8533</v>
      </c>
      <c r="F329" s="27">
        <f t="shared" si="77"/>
        <v>3725.2467</v>
      </c>
      <c r="G329" s="21">
        <v>16565.7</v>
      </c>
      <c r="H329" s="21">
        <v>5621.96</v>
      </c>
      <c r="I329" s="21">
        <f t="shared" si="67"/>
        <v>47126986.31181</v>
      </c>
      <c r="J329" s="21">
        <f t="shared" si="68"/>
        <v>20943187.937532</v>
      </c>
      <c r="K329" s="21">
        <f t="shared" si="69"/>
        <v>68070174.249342</v>
      </c>
      <c r="L329" s="21">
        <f t="shared" si="70"/>
        <v>0.692329450181561</v>
      </c>
      <c r="M329" s="21">
        <f t="shared" si="71"/>
        <v>0.307670549818439</v>
      </c>
      <c r="N329" s="21">
        <f t="shared" si="72"/>
        <v>0.433</v>
      </c>
      <c r="O329" s="21">
        <f t="shared" si="73"/>
        <v>0.567</v>
      </c>
      <c r="P329" s="21">
        <f t="shared" si="74"/>
        <v>1.59891327986504</v>
      </c>
      <c r="Q329" s="21">
        <f t="shared" si="75"/>
        <v>0.542628835658623</v>
      </c>
      <c r="R329" s="29">
        <f t="shared" si="76"/>
        <v>0.136838808031563</v>
      </c>
      <c r="S329" s="30"/>
    </row>
    <row r="330" s="5" customFormat="1" spans="1:19">
      <c r="A330" s="27">
        <v>2010</v>
      </c>
      <c r="B330" s="28" t="s">
        <v>37</v>
      </c>
      <c r="C330" s="27">
        <v>0.6618</v>
      </c>
      <c r="D330" s="27">
        <v>10440.9641</v>
      </c>
      <c r="E330" s="27">
        <v>6909.83004138</v>
      </c>
      <c r="F330" s="27">
        <f t="shared" si="77"/>
        <v>3531.13405862</v>
      </c>
      <c r="G330" s="21">
        <v>23897.8</v>
      </c>
      <c r="H330" s="21">
        <v>7890.25</v>
      </c>
      <c r="I330" s="21">
        <f t="shared" si="67"/>
        <v>165129736.362891</v>
      </c>
      <c r="J330" s="21">
        <f t="shared" si="68"/>
        <v>27861530.5060265</v>
      </c>
      <c r="K330" s="21">
        <f t="shared" si="69"/>
        <v>192991266.868917</v>
      </c>
      <c r="L330" s="21">
        <f t="shared" si="70"/>
        <v>0.855633205802258</v>
      </c>
      <c r="M330" s="21">
        <f t="shared" si="71"/>
        <v>0.144366794197742</v>
      </c>
      <c r="N330" s="21">
        <f t="shared" si="72"/>
        <v>0.6618</v>
      </c>
      <c r="O330" s="21">
        <f t="shared" si="73"/>
        <v>0.3382</v>
      </c>
      <c r="P330" s="21">
        <f t="shared" si="74"/>
        <v>1.2928878903026</v>
      </c>
      <c r="Q330" s="21">
        <f t="shared" si="75"/>
        <v>0.426868108213311</v>
      </c>
      <c r="R330" s="29">
        <f t="shared" si="76"/>
        <v>0.0968970886273783</v>
      </c>
      <c r="S330" s="30"/>
    </row>
    <row r="331" s="5" customFormat="1" spans="1:19">
      <c r="A331" s="27">
        <v>2010</v>
      </c>
      <c r="B331" s="28" t="s">
        <v>38</v>
      </c>
      <c r="C331" s="27">
        <v>0.4</v>
      </c>
      <c r="D331" s="27">
        <v>4610</v>
      </c>
      <c r="E331" s="27">
        <v>1844</v>
      </c>
      <c r="F331" s="27">
        <f t="shared" si="77"/>
        <v>2766</v>
      </c>
      <c r="G331" s="21">
        <v>17063.89</v>
      </c>
      <c r="H331" s="21">
        <v>4543.41</v>
      </c>
      <c r="I331" s="21">
        <f t="shared" si="67"/>
        <v>31465813.16</v>
      </c>
      <c r="J331" s="21">
        <f t="shared" si="68"/>
        <v>12567072.06</v>
      </c>
      <c r="K331" s="21">
        <f t="shared" si="69"/>
        <v>44032885.22</v>
      </c>
      <c r="L331" s="21">
        <f t="shared" si="70"/>
        <v>0.714598032874485</v>
      </c>
      <c r="M331" s="21">
        <f t="shared" si="71"/>
        <v>0.285401967125515</v>
      </c>
      <c r="N331" s="21">
        <f t="shared" si="72"/>
        <v>0.4</v>
      </c>
      <c r="O331" s="21">
        <f t="shared" si="73"/>
        <v>0.6</v>
      </c>
      <c r="P331" s="21">
        <f t="shared" si="74"/>
        <v>1.78649508218621</v>
      </c>
      <c r="Q331" s="21">
        <f t="shared" si="75"/>
        <v>0.475669945209191</v>
      </c>
      <c r="R331" s="29">
        <f t="shared" si="76"/>
        <v>0.202587017494741</v>
      </c>
      <c r="S331" s="30"/>
    </row>
    <row r="332" s="5" customFormat="1" spans="1:19">
      <c r="A332" s="27">
        <v>2010</v>
      </c>
      <c r="B332" s="28" t="s">
        <v>39</v>
      </c>
      <c r="C332" s="27">
        <v>0.498</v>
      </c>
      <c r="D332" s="27">
        <v>868.5512</v>
      </c>
      <c r="E332" s="27">
        <v>432.5384976</v>
      </c>
      <c r="F332" s="27">
        <f t="shared" si="77"/>
        <v>436.0127024</v>
      </c>
      <c r="G332" s="21">
        <v>15581.05</v>
      </c>
      <c r="H332" s="21">
        <v>5275.37</v>
      </c>
      <c r="I332" s="21">
        <f t="shared" si="67"/>
        <v>6739403.95803048</v>
      </c>
      <c r="J332" s="21">
        <f t="shared" si="68"/>
        <v>2300128.32985989</v>
      </c>
      <c r="K332" s="21">
        <f t="shared" si="69"/>
        <v>9039532.28789037</v>
      </c>
      <c r="L332" s="21">
        <f t="shared" si="70"/>
        <v>0.745547860596592</v>
      </c>
      <c r="M332" s="21">
        <f t="shared" si="71"/>
        <v>0.254452139403408</v>
      </c>
      <c r="N332" s="21">
        <f t="shared" si="72"/>
        <v>0.498</v>
      </c>
      <c r="O332" s="21">
        <f t="shared" si="73"/>
        <v>0.502</v>
      </c>
      <c r="P332" s="21">
        <f t="shared" si="74"/>
        <v>1.49708405742288</v>
      </c>
      <c r="Q332" s="21">
        <f t="shared" si="75"/>
        <v>0.506876771719936</v>
      </c>
      <c r="R332" s="29">
        <f t="shared" si="76"/>
        <v>0.127945904731395</v>
      </c>
      <c r="S332" s="30"/>
    </row>
    <row r="333" s="5" customFormat="1" spans="1:19">
      <c r="A333" s="27">
        <v>2010</v>
      </c>
      <c r="B333" s="28" t="s">
        <v>40</v>
      </c>
      <c r="C333" s="27">
        <v>0.5302</v>
      </c>
      <c r="D333" s="27">
        <v>2884.62</v>
      </c>
      <c r="E333" s="27">
        <v>1529.425524</v>
      </c>
      <c r="F333" s="27">
        <f t="shared" si="77"/>
        <v>1355.194476</v>
      </c>
      <c r="G333" s="21">
        <v>17532.43</v>
      </c>
      <c r="H333" s="21">
        <v>5276.66</v>
      </c>
      <c r="I333" s="21">
        <f t="shared" si="67"/>
        <v>26814545.9397433</v>
      </c>
      <c r="J333" s="21">
        <f t="shared" si="68"/>
        <v>7150900.48373016</v>
      </c>
      <c r="K333" s="21">
        <f t="shared" si="69"/>
        <v>33965446.4234735</v>
      </c>
      <c r="L333" s="21">
        <f t="shared" si="70"/>
        <v>0.789465435119729</v>
      </c>
      <c r="M333" s="21">
        <f t="shared" si="71"/>
        <v>0.210534564880271</v>
      </c>
      <c r="N333" s="21">
        <f t="shared" si="72"/>
        <v>0.5302</v>
      </c>
      <c r="O333" s="21">
        <f t="shared" si="73"/>
        <v>0.4698</v>
      </c>
      <c r="P333" s="21">
        <f t="shared" si="74"/>
        <v>1.48899553964491</v>
      </c>
      <c r="Q333" s="21">
        <f t="shared" si="75"/>
        <v>0.448136579140637</v>
      </c>
      <c r="R333" s="29">
        <f t="shared" si="76"/>
        <v>0.145300487298427</v>
      </c>
      <c r="S333" s="30"/>
    </row>
    <row r="334" s="5" customFormat="1" spans="1:19">
      <c r="A334" s="27">
        <v>2010</v>
      </c>
      <c r="B334" s="28" t="s">
        <v>41</v>
      </c>
      <c r="C334" s="27">
        <v>0.4018</v>
      </c>
      <c r="D334" s="27">
        <v>8044.92</v>
      </c>
      <c r="E334" s="27">
        <v>3232.448856</v>
      </c>
      <c r="F334" s="27">
        <f t="shared" si="77"/>
        <v>4812.471144</v>
      </c>
      <c r="G334" s="21">
        <v>15461.16</v>
      </c>
      <c r="H334" s="21">
        <v>5086.89</v>
      </c>
      <c r="I334" s="21">
        <f t="shared" si="67"/>
        <v>49977408.954433</v>
      </c>
      <c r="J334" s="21">
        <f t="shared" si="68"/>
        <v>24480511.3377022</v>
      </c>
      <c r="K334" s="21">
        <f t="shared" si="69"/>
        <v>74457920.2921351</v>
      </c>
      <c r="L334" s="21">
        <f t="shared" si="70"/>
        <v>0.671216826340931</v>
      </c>
      <c r="M334" s="21">
        <f t="shared" si="71"/>
        <v>0.328783173659069</v>
      </c>
      <c r="N334" s="21">
        <f t="shared" si="72"/>
        <v>0.4018</v>
      </c>
      <c r="O334" s="21">
        <f t="shared" si="73"/>
        <v>0.5982</v>
      </c>
      <c r="P334" s="21">
        <f t="shared" si="74"/>
        <v>1.67052470468126</v>
      </c>
      <c r="Q334" s="21">
        <f t="shared" si="75"/>
        <v>0.54962081855411</v>
      </c>
      <c r="R334" s="29">
        <f t="shared" si="76"/>
        <v>0.147641211888979</v>
      </c>
      <c r="S334" s="30"/>
    </row>
    <row r="335" s="5" customFormat="1" spans="1:19">
      <c r="A335" s="27">
        <v>2010</v>
      </c>
      <c r="B335" s="28" t="s">
        <v>42</v>
      </c>
      <c r="C335" s="27">
        <v>0.3381</v>
      </c>
      <c r="D335" s="27">
        <v>3478.9408</v>
      </c>
      <c r="E335" s="27">
        <v>1176.22988448</v>
      </c>
      <c r="F335" s="27">
        <f t="shared" si="77"/>
        <v>2302.71091552</v>
      </c>
      <c r="G335" s="21">
        <v>14142.74</v>
      </c>
      <c r="H335" s="21">
        <v>3471.93</v>
      </c>
      <c r="I335" s="21">
        <f t="shared" si="67"/>
        <v>16635113.4364307</v>
      </c>
      <c r="J335" s="21">
        <f t="shared" si="68"/>
        <v>7994851.10892135</v>
      </c>
      <c r="K335" s="21">
        <f t="shared" si="69"/>
        <v>24629964.545352</v>
      </c>
      <c r="L335" s="21">
        <f t="shared" si="70"/>
        <v>0.675401436563169</v>
      </c>
      <c r="M335" s="21">
        <f t="shared" si="71"/>
        <v>0.324598563436831</v>
      </c>
      <c r="N335" s="21">
        <f t="shared" si="72"/>
        <v>0.3381</v>
      </c>
      <c r="O335" s="21">
        <f t="shared" si="73"/>
        <v>0.6619</v>
      </c>
      <c r="P335" s="21">
        <f t="shared" si="74"/>
        <v>1.99763808507296</v>
      </c>
      <c r="Q335" s="21">
        <f t="shared" si="75"/>
        <v>0.490404235438633</v>
      </c>
      <c r="R335" s="29">
        <f t="shared" si="76"/>
        <v>0.236069834723109</v>
      </c>
      <c r="S335" s="30"/>
    </row>
    <row r="336" s="5" customFormat="1" spans="1:19">
      <c r="A336" s="27">
        <v>2010</v>
      </c>
      <c r="B336" s="28" t="s">
        <v>43</v>
      </c>
      <c r="C336" s="27">
        <v>0.347</v>
      </c>
      <c r="D336" s="27">
        <v>4601.6</v>
      </c>
      <c r="E336" s="27">
        <v>1596.7552</v>
      </c>
      <c r="F336" s="27">
        <f t="shared" si="77"/>
        <v>3004.8448</v>
      </c>
      <c r="G336" s="21">
        <v>16064.54</v>
      </c>
      <c r="H336" s="21">
        <v>3952.03</v>
      </c>
      <c r="I336" s="21">
        <f t="shared" si="67"/>
        <v>25651137.780608</v>
      </c>
      <c r="J336" s="21">
        <f t="shared" si="68"/>
        <v>11875236.794944</v>
      </c>
      <c r="K336" s="21">
        <f t="shared" si="69"/>
        <v>37526374.575552</v>
      </c>
      <c r="L336" s="21">
        <f t="shared" si="70"/>
        <v>0.683549585344688</v>
      </c>
      <c r="M336" s="21">
        <f t="shared" si="71"/>
        <v>0.316450414655312</v>
      </c>
      <c r="N336" s="21">
        <f t="shared" si="72"/>
        <v>0.347</v>
      </c>
      <c r="O336" s="21">
        <f t="shared" si="73"/>
        <v>0.653</v>
      </c>
      <c r="P336" s="21">
        <f t="shared" si="74"/>
        <v>1.9698835312527</v>
      </c>
      <c r="Q336" s="21">
        <f t="shared" si="75"/>
        <v>0.484610129640601</v>
      </c>
      <c r="R336" s="29">
        <f t="shared" si="76"/>
        <v>0.234189108999683</v>
      </c>
      <c r="S336" s="30"/>
    </row>
    <row r="337" s="5" customFormat="1" spans="1:19">
      <c r="A337" s="27">
        <v>2010</v>
      </c>
      <c r="B337" s="28" t="s">
        <v>44</v>
      </c>
      <c r="C337" s="27">
        <v>0.2267</v>
      </c>
      <c r="D337" s="27">
        <v>300.7218</v>
      </c>
      <c r="E337" s="27">
        <v>68.17363206</v>
      </c>
      <c r="F337" s="27">
        <f t="shared" si="77"/>
        <v>232.54816794</v>
      </c>
      <c r="G337" s="21">
        <v>14980.47</v>
      </c>
      <c r="H337" s="21">
        <v>4138.71</v>
      </c>
      <c r="I337" s="21">
        <f t="shared" si="67"/>
        <v>1021273.04986587</v>
      </c>
      <c r="J337" s="21">
        <f t="shared" si="68"/>
        <v>962449.428134957</v>
      </c>
      <c r="K337" s="21">
        <f t="shared" si="69"/>
        <v>1983722.47800083</v>
      </c>
      <c r="L337" s="21">
        <f t="shared" si="70"/>
        <v>0.514826575386239</v>
      </c>
      <c r="M337" s="21">
        <f t="shared" si="71"/>
        <v>0.485173424613761</v>
      </c>
      <c r="N337" s="21">
        <f t="shared" si="72"/>
        <v>0.2267</v>
      </c>
      <c r="O337" s="21">
        <f t="shared" si="73"/>
        <v>0.7733</v>
      </c>
      <c r="P337" s="21">
        <f t="shared" si="74"/>
        <v>2.27095975027013</v>
      </c>
      <c r="Q337" s="21">
        <f t="shared" si="75"/>
        <v>0.627406471762267</v>
      </c>
      <c r="R337" s="29">
        <f t="shared" si="76"/>
        <v>0.196093296845793</v>
      </c>
      <c r="S337" s="30"/>
    </row>
    <row r="338" s="5" customFormat="1" spans="1:19">
      <c r="A338" s="27">
        <v>2010</v>
      </c>
      <c r="B338" s="28" t="s">
        <v>45</v>
      </c>
      <c r="C338" s="27">
        <v>0.4576</v>
      </c>
      <c r="D338" s="27">
        <v>3735.2267</v>
      </c>
      <c r="E338" s="27">
        <v>1709.23973792</v>
      </c>
      <c r="F338" s="27">
        <f t="shared" si="77"/>
        <v>2025.98696208</v>
      </c>
      <c r="G338" s="21">
        <v>15695.21</v>
      </c>
      <c r="H338" s="21">
        <v>4104.98</v>
      </c>
      <c r="I338" s="21">
        <f t="shared" si="67"/>
        <v>26826876.6269994</v>
      </c>
      <c r="J338" s="21">
        <f t="shared" si="68"/>
        <v>8316635.95959916</v>
      </c>
      <c r="K338" s="21">
        <f t="shared" si="69"/>
        <v>35143512.5865985</v>
      </c>
      <c r="L338" s="21">
        <f t="shared" si="70"/>
        <v>0.763352170927542</v>
      </c>
      <c r="M338" s="21">
        <f t="shared" si="71"/>
        <v>0.236647829072458</v>
      </c>
      <c r="N338" s="21">
        <f t="shared" si="72"/>
        <v>0.4576</v>
      </c>
      <c r="O338" s="21">
        <f t="shared" si="73"/>
        <v>0.5424</v>
      </c>
      <c r="P338" s="21">
        <f t="shared" si="74"/>
        <v>1.6681647091948</v>
      </c>
      <c r="Q338" s="21">
        <f t="shared" si="75"/>
        <v>0.436297619971347</v>
      </c>
      <c r="R338" s="29">
        <f t="shared" si="76"/>
        <v>0.194342697499686</v>
      </c>
      <c r="S338" s="30"/>
    </row>
    <row r="339" s="5" customFormat="1" spans="1:19">
      <c r="A339" s="27">
        <v>2010</v>
      </c>
      <c r="B339" s="28" t="s">
        <v>46</v>
      </c>
      <c r="C339" s="27">
        <v>0.3612</v>
      </c>
      <c r="D339" s="27">
        <v>2559.98</v>
      </c>
      <c r="E339" s="27">
        <v>924.664776</v>
      </c>
      <c r="F339" s="27">
        <f t="shared" si="77"/>
        <v>1635.315224</v>
      </c>
      <c r="G339" s="21">
        <v>13188.55</v>
      </c>
      <c r="H339" s="21">
        <v>3424.65</v>
      </c>
      <c r="I339" s="21">
        <f t="shared" si="67"/>
        <v>12194987.6315148</v>
      </c>
      <c r="J339" s="21">
        <f t="shared" si="68"/>
        <v>5600382.2818716</v>
      </c>
      <c r="K339" s="21">
        <f t="shared" si="69"/>
        <v>17795369.9133864</v>
      </c>
      <c r="L339" s="21">
        <f t="shared" si="70"/>
        <v>0.68528992040459</v>
      </c>
      <c r="M339" s="21">
        <f t="shared" si="71"/>
        <v>0.31471007959541</v>
      </c>
      <c r="N339" s="21">
        <f t="shared" si="72"/>
        <v>0.3612</v>
      </c>
      <c r="O339" s="21">
        <f t="shared" si="73"/>
        <v>0.6388</v>
      </c>
      <c r="P339" s="21">
        <f t="shared" si="74"/>
        <v>1.89725891584881</v>
      </c>
      <c r="Q339" s="21">
        <f t="shared" si="75"/>
        <v>0.492658233555745</v>
      </c>
      <c r="R339" s="29">
        <f t="shared" si="76"/>
        <v>0.2160709108046</v>
      </c>
      <c r="S339" s="30"/>
    </row>
    <row r="340" s="5" customFormat="1" spans="1:19">
      <c r="A340" s="27">
        <v>2010</v>
      </c>
      <c r="B340" s="28" t="s">
        <v>47</v>
      </c>
      <c r="C340" s="27">
        <v>0.4472</v>
      </c>
      <c r="D340" s="27">
        <v>563.47</v>
      </c>
      <c r="E340" s="27">
        <v>251.983784</v>
      </c>
      <c r="F340" s="27">
        <f t="shared" si="77"/>
        <v>311.486216</v>
      </c>
      <c r="G340" s="21">
        <v>13854.99</v>
      </c>
      <c r="H340" s="21">
        <v>3862.68</v>
      </c>
      <c r="I340" s="21">
        <f t="shared" si="67"/>
        <v>3491232.80748216</v>
      </c>
      <c r="J340" s="21">
        <f t="shared" si="68"/>
        <v>1203171.57681888</v>
      </c>
      <c r="K340" s="21">
        <f t="shared" si="69"/>
        <v>4694404.38430104</v>
      </c>
      <c r="L340" s="21">
        <f t="shared" si="70"/>
        <v>0.743700908928402</v>
      </c>
      <c r="M340" s="21">
        <f t="shared" si="71"/>
        <v>0.256299091071598</v>
      </c>
      <c r="N340" s="21">
        <f t="shared" si="72"/>
        <v>0.4472</v>
      </c>
      <c r="O340" s="21">
        <f t="shared" si="73"/>
        <v>0.5528</v>
      </c>
      <c r="P340" s="21">
        <f t="shared" si="74"/>
        <v>1.66301634375761</v>
      </c>
      <c r="Q340" s="21">
        <f t="shared" si="75"/>
        <v>0.463638008450792</v>
      </c>
      <c r="R340" s="29">
        <f t="shared" si="76"/>
        <v>0.181266245084951</v>
      </c>
      <c r="S340" s="30"/>
    </row>
    <row r="341" s="5" customFormat="1" spans="1:19">
      <c r="A341" s="27">
        <v>2010</v>
      </c>
      <c r="B341" s="28" t="s">
        <v>48</v>
      </c>
      <c r="C341" s="27">
        <v>0.479</v>
      </c>
      <c r="D341" s="27">
        <v>632.96</v>
      </c>
      <c r="E341" s="27">
        <v>303.18784</v>
      </c>
      <c r="F341" s="27">
        <f t="shared" si="77"/>
        <v>329.77216</v>
      </c>
      <c r="G341" s="21">
        <v>15344.49</v>
      </c>
      <c r="H341" s="21">
        <v>4674.89</v>
      </c>
      <c r="I341" s="21">
        <f t="shared" si="67"/>
        <v>4652262.7790016</v>
      </c>
      <c r="J341" s="21">
        <f t="shared" si="68"/>
        <v>1541648.5730624</v>
      </c>
      <c r="K341" s="21">
        <f t="shared" si="69"/>
        <v>6193911.352064</v>
      </c>
      <c r="L341" s="21">
        <f t="shared" si="70"/>
        <v>0.751102577122181</v>
      </c>
      <c r="M341" s="21">
        <f t="shared" si="71"/>
        <v>0.24889742287782</v>
      </c>
      <c r="N341" s="21">
        <f t="shared" si="72"/>
        <v>0.479</v>
      </c>
      <c r="O341" s="21">
        <f t="shared" si="73"/>
        <v>0.521</v>
      </c>
      <c r="P341" s="21">
        <f t="shared" si="74"/>
        <v>1.56806383532814</v>
      </c>
      <c r="Q341" s="21">
        <f t="shared" si="75"/>
        <v>0.477730178268368</v>
      </c>
      <c r="R341" s="29">
        <f t="shared" si="76"/>
        <v>0.154014396625775</v>
      </c>
      <c r="S341" s="30"/>
    </row>
    <row r="342" s="5" customFormat="1" spans="1:19">
      <c r="A342" s="27">
        <v>2010</v>
      </c>
      <c r="B342" s="28" t="s">
        <v>49</v>
      </c>
      <c r="C342" s="27">
        <v>0.4301</v>
      </c>
      <c r="D342" s="27">
        <v>2185.11</v>
      </c>
      <c r="E342" s="27">
        <v>939.815811</v>
      </c>
      <c r="F342" s="27">
        <f t="shared" si="77"/>
        <v>1245.294189</v>
      </c>
      <c r="G342" s="21">
        <v>13643.77</v>
      </c>
      <c r="H342" s="21">
        <v>4642.67</v>
      </c>
      <c r="I342" s="21">
        <f t="shared" si="67"/>
        <v>12822630.7676475</v>
      </c>
      <c r="J342" s="21">
        <f t="shared" si="68"/>
        <v>5781489.97244463</v>
      </c>
      <c r="K342" s="21">
        <f t="shared" si="69"/>
        <v>18604120.7400921</v>
      </c>
      <c r="L342" s="21">
        <f t="shared" si="70"/>
        <v>0.689236054032618</v>
      </c>
      <c r="M342" s="21">
        <f t="shared" si="71"/>
        <v>0.310763945967382</v>
      </c>
      <c r="N342" s="21">
        <f t="shared" si="72"/>
        <v>0.4301</v>
      </c>
      <c r="O342" s="21">
        <f t="shared" si="73"/>
        <v>0.5699</v>
      </c>
      <c r="P342" s="21">
        <f t="shared" si="74"/>
        <v>1.60250186940855</v>
      </c>
      <c r="Q342" s="21">
        <f t="shared" si="75"/>
        <v>0.545295571095599</v>
      </c>
      <c r="R342" s="29">
        <f t="shared" si="76"/>
        <v>0.136564601299876</v>
      </c>
      <c r="S342" s="30"/>
    </row>
    <row r="343" spans="1:18">
      <c r="A343" s="27">
        <v>2011</v>
      </c>
      <c r="B343" s="28" t="s">
        <v>19</v>
      </c>
      <c r="C343" s="27">
        <v>0.862</v>
      </c>
      <c r="D343" s="27">
        <v>2023.8</v>
      </c>
      <c r="E343" s="27">
        <f>C343*D343</f>
        <v>1744.5156</v>
      </c>
      <c r="F343" s="27">
        <f t="shared" si="77"/>
        <v>279.2844</v>
      </c>
      <c r="G343" s="21">
        <v>32903.03</v>
      </c>
      <c r="H343" s="21">
        <v>14735.68</v>
      </c>
      <c r="I343" s="21">
        <f t="shared" si="67"/>
        <v>57399849.122268</v>
      </c>
      <c r="J343" s="21">
        <f t="shared" si="68"/>
        <v>4115445.547392</v>
      </c>
      <c r="K343" s="21">
        <f t="shared" si="69"/>
        <v>61515294.66966</v>
      </c>
      <c r="L343" s="21">
        <f t="shared" si="70"/>
        <v>0.933098824129964</v>
      </c>
      <c r="M343" s="21">
        <f t="shared" si="71"/>
        <v>0.0669011758700358</v>
      </c>
      <c r="N343" s="21">
        <f t="shared" si="72"/>
        <v>0.862</v>
      </c>
      <c r="O343" s="21">
        <f t="shared" si="73"/>
        <v>0.138</v>
      </c>
      <c r="P343" s="21">
        <f t="shared" si="74"/>
        <v>1.08248123448952</v>
      </c>
      <c r="Q343" s="21">
        <f t="shared" si="75"/>
        <v>0.484791129493013</v>
      </c>
      <c r="R343" s="29">
        <f t="shared" si="76"/>
        <v>0.0255145999982616</v>
      </c>
    </row>
    <row r="344" spans="1:18">
      <c r="A344" s="27">
        <v>2011</v>
      </c>
      <c r="B344" s="28" t="s">
        <v>20</v>
      </c>
      <c r="C344" s="27">
        <v>0.805</v>
      </c>
      <c r="D344" s="27">
        <v>1355</v>
      </c>
      <c r="E344" s="27">
        <f t="shared" ref="E344:E407" si="78">C344*D344</f>
        <v>1090.775</v>
      </c>
      <c r="F344" s="27">
        <f t="shared" si="77"/>
        <v>264.225</v>
      </c>
      <c r="G344" s="21">
        <v>26920.86</v>
      </c>
      <c r="H344" s="21">
        <v>12321.22</v>
      </c>
      <c r="I344" s="21">
        <f t="shared" si="67"/>
        <v>29364601.0665</v>
      </c>
      <c r="J344" s="21">
        <f t="shared" si="68"/>
        <v>3255574.3545</v>
      </c>
      <c r="K344" s="21">
        <f t="shared" si="69"/>
        <v>32620175.421</v>
      </c>
      <c r="L344" s="21">
        <f t="shared" si="70"/>
        <v>0.90019752154968</v>
      </c>
      <c r="M344" s="21">
        <f t="shared" si="71"/>
        <v>0.0998024784503196</v>
      </c>
      <c r="N344" s="21">
        <f t="shared" si="72"/>
        <v>0.805</v>
      </c>
      <c r="O344" s="21">
        <f t="shared" si="73"/>
        <v>0.195</v>
      </c>
      <c r="P344" s="21">
        <f t="shared" si="74"/>
        <v>1.11825779074494</v>
      </c>
      <c r="Q344" s="21">
        <f t="shared" si="75"/>
        <v>0.511807581796511</v>
      </c>
      <c r="R344" s="29">
        <f t="shared" si="76"/>
        <v>0.0337684616457473</v>
      </c>
    </row>
    <row r="345" spans="1:18">
      <c r="A345" s="27">
        <v>2011</v>
      </c>
      <c r="B345" s="28" t="s">
        <v>21</v>
      </c>
      <c r="C345" s="27">
        <v>0.456</v>
      </c>
      <c r="D345" s="27">
        <v>7240.51</v>
      </c>
      <c r="E345" s="27">
        <f t="shared" si="78"/>
        <v>3301.67256</v>
      </c>
      <c r="F345" s="27">
        <f t="shared" si="77"/>
        <v>3938.83744</v>
      </c>
      <c r="G345" s="21">
        <v>18292.23</v>
      </c>
      <c r="H345" s="21">
        <v>7119.69</v>
      </c>
      <c r="I345" s="21">
        <f t="shared" si="67"/>
        <v>60394953.8522088</v>
      </c>
      <c r="J345" s="21">
        <f t="shared" si="68"/>
        <v>28043301.5331936</v>
      </c>
      <c r="K345" s="21">
        <f t="shared" si="69"/>
        <v>88438255.3854024</v>
      </c>
      <c r="L345" s="21">
        <f t="shared" si="70"/>
        <v>0.682905305956291</v>
      </c>
      <c r="M345" s="21">
        <f t="shared" si="71"/>
        <v>0.317094694043709</v>
      </c>
      <c r="N345" s="21">
        <f t="shared" si="72"/>
        <v>0.456</v>
      </c>
      <c r="O345" s="21">
        <f t="shared" si="73"/>
        <v>0.544</v>
      </c>
      <c r="P345" s="21">
        <f t="shared" si="74"/>
        <v>1.4975993551673</v>
      </c>
      <c r="Q345" s="21">
        <f t="shared" si="75"/>
        <v>0.582894658168583</v>
      </c>
      <c r="R345" s="29">
        <f t="shared" si="76"/>
        <v>0.104648976094252</v>
      </c>
    </row>
    <row r="346" spans="1:18">
      <c r="A346" s="27">
        <v>2011</v>
      </c>
      <c r="B346" s="28" t="s">
        <v>22</v>
      </c>
      <c r="C346" s="27">
        <v>0.4968</v>
      </c>
      <c r="D346" s="27">
        <v>3593</v>
      </c>
      <c r="E346" s="27">
        <f t="shared" si="78"/>
        <v>1785.0024</v>
      </c>
      <c r="F346" s="27">
        <f t="shared" si="77"/>
        <v>1807.9976</v>
      </c>
      <c r="G346" s="21">
        <v>18123.87</v>
      </c>
      <c r="H346" s="21">
        <v>5601.4</v>
      </c>
      <c r="I346" s="21">
        <f t="shared" si="67"/>
        <v>32351151.447288</v>
      </c>
      <c r="J346" s="21">
        <f t="shared" si="68"/>
        <v>10127317.75664</v>
      </c>
      <c r="K346" s="21">
        <f t="shared" si="69"/>
        <v>42478469.203928</v>
      </c>
      <c r="L346" s="21">
        <f t="shared" si="70"/>
        <v>0.761589389956088</v>
      </c>
      <c r="M346" s="21">
        <f t="shared" si="71"/>
        <v>0.238410610043912</v>
      </c>
      <c r="N346" s="21">
        <f t="shared" si="72"/>
        <v>0.4968</v>
      </c>
      <c r="O346" s="21">
        <f t="shared" si="73"/>
        <v>0.5032</v>
      </c>
      <c r="P346" s="21">
        <f t="shared" si="74"/>
        <v>1.53298991537055</v>
      </c>
      <c r="Q346" s="21">
        <f t="shared" si="75"/>
        <v>0.473788970675501</v>
      </c>
      <c r="R346" s="29">
        <f t="shared" si="76"/>
        <v>0.147275115317527</v>
      </c>
    </row>
    <row r="347" spans="1:18">
      <c r="A347" s="6">
        <v>2011</v>
      </c>
      <c r="B347" s="19" t="s">
        <v>23</v>
      </c>
      <c r="C347" s="6">
        <v>0.5662</v>
      </c>
      <c r="D347" s="6">
        <v>2481.71</v>
      </c>
      <c r="E347" s="6">
        <f t="shared" si="78"/>
        <v>1405.144202</v>
      </c>
      <c r="F347" s="6">
        <f t="shared" si="77"/>
        <v>1076.565798</v>
      </c>
      <c r="G347" s="15">
        <v>20407.57</v>
      </c>
      <c r="H347" s="15">
        <v>6641.56</v>
      </c>
      <c r="I347" s="15">
        <f t="shared" si="67"/>
        <v>28675578.6624091</v>
      </c>
      <c r="J347" s="15">
        <f t="shared" si="68"/>
        <v>7150076.34136488</v>
      </c>
      <c r="K347" s="15">
        <f t="shared" si="69"/>
        <v>35825655.003774</v>
      </c>
      <c r="L347" s="15">
        <f t="shared" si="70"/>
        <v>0.800420220073809</v>
      </c>
      <c r="M347" s="15">
        <f t="shared" si="71"/>
        <v>0.199579779926191</v>
      </c>
      <c r="N347" s="15">
        <f t="shared" si="72"/>
        <v>0.5662</v>
      </c>
      <c r="O347" s="15">
        <f t="shared" si="73"/>
        <v>0.4338</v>
      </c>
      <c r="P347" s="15">
        <f t="shared" si="74"/>
        <v>1.41367046992902</v>
      </c>
      <c r="Q347" s="15">
        <f t="shared" si="75"/>
        <v>0.460073259396477</v>
      </c>
      <c r="R347" s="7">
        <f t="shared" si="76"/>
        <v>0.122149407055052</v>
      </c>
    </row>
    <row r="348" spans="1:18">
      <c r="A348" s="6">
        <v>2011</v>
      </c>
      <c r="B348" s="19" t="s">
        <v>24</v>
      </c>
      <c r="C348" s="6">
        <v>0.6405</v>
      </c>
      <c r="D348" s="6">
        <v>4383</v>
      </c>
      <c r="E348" s="6">
        <f t="shared" si="78"/>
        <v>2807.3115</v>
      </c>
      <c r="F348" s="6">
        <f t="shared" si="77"/>
        <v>1575.6885</v>
      </c>
      <c r="G348" s="15">
        <v>20466.84</v>
      </c>
      <c r="H348" s="15">
        <v>8296.54</v>
      </c>
      <c r="I348" s="15">
        <f t="shared" si="67"/>
        <v>57456795.30066</v>
      </c>
      <c r="J348" s="15">
        <f t="shared" si="68"/>
        <v>13072762.66779</v>
      </c>
      <c r="K348" s="15">
        <f t="shared" si="69"/>
        <v>70529557.96845</v>
      </c>
      <c r="L348" s="15">
        <f t="shared" si="70"/>
        <v>0.81464845315438</v>
      </c>
      <c r="M348" s="15">
        <f t="shared" si="71"/>
        <v>0.18535154684562</v>
      </c>
      <c r="N348" s="15">
        <f t="shared" si="72"/>
        <v>0.6405</v>
      </c>
      <c r="O348" s="15">
        <f t="shared" si="73"/>
        <v>0.3595</v>
      </c>
      <c r="P348" s="15">
        <f t="shared" si="74"/>
        <v>1.271894540444</v>
      </c>
      <c r="Q348" s="15">
        <f t="shared" si="75"/>
        <v>0.515581493311876</v>
      </c>
      <c r="R348" s="7">
        <f t="shared" si="76"/>
        <v>0.0731411384735584</v>
      </c>
    </row>
    <row r="349" spans="1:18">
      <c r="A349" s="6">
        <v>2011</v>
      </c>
      <c r="B349" s="19" t="s">
        <v>25</v>
      </c>
      <c r="C349" s="6">
        <v>0.534</v>
      </c>
      <c r="D349" s="6">
        <v>2749.41</v>
      </c>
      <c r="E349" s="6">
        <f t="shared" si="78"/>
        <v>1468.18494</v>
      </c>
      <c r="F349" s="6">
        <f t="shared" si="77"/>
        <v>1281.22506</v>
      </c>
      <c r="G349" s="15">
        <v>17796.57</v>
      </c>
      <c r="H349" s="15">
        <v>7509.95</v>
      </c>
      <c r="I349" s="15">
        <f t="shared" si="67"/>
        <v>26128656.0576558</v>
      </c>
      <c r="J349" s="15">
        <f t="shared" si="68"/>
        <v>9621936.139347</v>
      </c>
      <c r="K349" s="15">
        <f t="shared" si="69"/>
        <v>35750592.1970028</v>
      </c>
      <c r="L349" s="15">
        <f t="shared" si="70"/>
        <v>0.730859391466146</v>
      </c>
      <c r="M349" s="15">
        <f t="shared" si="71"/>
        <v>0.269140608533854</v>
      </c>
      <c r="N349" s="15">
        <f t="shared" si="72"/>
        <v>0.534</v>
      </c>
      <c r="O349" s="15">
        <f t="shared" si="73"/>
        <v>0.466</v>
      </c>
      <c r="P349" s="15">
        <f t="shared" si="74"/>
        <v>1.36865054581675</v>
      </c>
      <c r="Q349" s="15">
        <f t="shared" si="75"/>
        <v>0.57755495393531</v>
      </c>
      <c r="R349" s="7">
        <f t="shared" si="76"/>
        <v>0.0816169422698803</v>
      </c>
    </row>
    <row r="350" spans="1:18">
      <c r="A350" s="6">
        <v>2011</v>
      </c>
      <c r="B350" s="19" t="s">
        <v>26</v>
      </c>
      <c r="C350" s="6">
        <v>0.565</v>
      </c>
      <c r="D350" s="6">
        <v>3834</v>
      </c>
      <c r="E350" s="6">
        <f t="shared" si="78"/>
        <v>2166.21</v>
      </c>
      <c r="F350" s="6">
        <f t="shared" si="77"/>
        <v>1667.79</v>
      </c>
      <c r="G350" s="15">
        <v>15696.18</v>
      </c>
      <c r="H350" s="15">
        <v>7590.68</v>
      </c>
      <c r="I350" s="15">
        <f t="shared" si="67"/>
        <v>34001222.0778</v>
      </c>
      <c r="J350" s="15">
        <f t="shared" si="68"/>
        <v>12659660.1972</v>
      </c>
      <c r="K350" s="15">
        <f t="shared" si="69"/>
        <v>46660882.275</v>
      </c>
      <c r="L350" s="15">
        <f t="shared" si="70"/>
        <v>0.728687937733599</v>
      </c>
      <c r="M350" s="15">
        <f t="shared" si="71"/>
        <v>0.271312062266401</v>
      </c>
      <c r="N350" s="15">
        <f t="shared" si="72"/>
        <v>0.565</v>
      </c>
      <c r="O350" s="15">
        <f t="shared" si="73"/>
        <v>0.435</v>
      </c>
      <c r="P350" s="15">
        <f t="shared" si="74"/>
        <v>1.28971316413026</v>
      </c>
      <c r="Q350" s="15">
        <f t="shared" si="75"/>
        <v>0.623705890267588</v>
      </c>
      <c r="R350" s="7">
        <f t="shared" si="76"/>
        <v>0.0573126602673048</v>
      </c>
    </row>
    <row r="351" spans="1:18">
      <c r="A351" s="6">
        <v>2011</v>
      </c>
      <c r="B351" s="19" t="s">
        <v>27</v>
      </c>
      <c r="C351" s="6">
        <v>0.893</v>
      </c>
      <c r="D351" s="6">
        <v>2347.46</v>
      </c>
      <c r="E351" s="6">
        <f t="shared" si="78"/>
        <v>2096.28178</v>
      </c>
      <c r="F351" s="6">
        <f t="shared" si="77"/>
        <v>251.17822</v>
      </c>
      <c r="G351" s="15">
        <v>36230.48</v>
      </c>
      <c r="H351" s="15">
        <v>16053.79</v>
      </c>
      <c r="I351" s="15">
        <f t="shared" si="67"/>
        <v>75949295.1046544</v>
      </c>
      <c r="J351" s="15">
        <f t="shared" si="68"/>
        <v>4032362.3964538</v>
      </c>
      <c r="K351" s="15">
        <f t="shared" si="69"/>
        <v>79981657.5011082</v>
      </c>
      <c r="L351" s="15">
        <f t="shared" si="70"/>
        <v>0.949583910581024</v>
      </c>
      <c r="M351" s="15">
        <f t="shared" si="71"/>
        <v>0.0504160894189762</v>
      </c>
      <c r="N351" s="15">
        <f t="shared" si="72"/>
        <v>0.893</v>
      </c>
      <c r="O351" s="15">
        <f t="shared" si="73"/>
        <v>0.107</v>
      </c>
      <c r="P351" s="15">
        <f t="shared" si="74"/>
        <v>1.06336384163608</v>
      </c>
      <c r="Q351" s="15">
        <f t="shared" si="75"/>
        <v>0.471178405784824</v>
      </c>
      <c r="R351" s="7">
        <f t="shared" si="76"/>
        <v>0.0204008507803427</v>
      </c>
    </row>
    <row r="352" spans="1:18">
      <c r="A352" s="6">
        <v>2011</v>
      </c>
      <c r="B352" s="19" t="s">
        <v>28</v>
      </c>
      <c r="C352" s="6">
        <v>0.619</v>
      </c>
      <c r="D352" s="6">
        <v>7898.8</v>
      </c>
      <c r="E352" s="6">
        <f t="shared" si="78"/>
        <v>4889.3572</v>
      </c>
      <c r="F352" s="6">
        <f t="shared" si="77"/>
        <v>3009.4428</v>
      </c>
      <c r="G352" s="15">
        <v>26340.73</v>
      </c>
      <c r="H352" s="15">
        <v>10804.95</v>
      </c>
      <c r="I352" s="15">
        <f t="shared" ref="I352:I415" si="79">E352*G352</f>
        <v>128789237.878756</v>
      </c>
      <c r="J352" s="15">
        <f t="shared" ref="J352:J415" si="80">F352*H352</f>
        <v>32516878.98186</v>
      </c>
      <c r="K352" s="15">
        <f t="shared" ref="K352:K415" si="81">I352+J352</f>
        <v>161306116.860616</v>
      </c>
      <c r="L352" s="15">
        <f t="shared" ref="L352:L415" si="82">I352/K352</f>
        <v>0.798415090421167</v>
      </c>
      <c r="M352" s="15">
        <f t="shared" ref="M352:M415" si="83">J352/K352</f>
        <v>0.201584909578833</v>
      </c>
      <c r="N352" s="15">
        <f t="shared" ref="N352:N415" si="84">C352</f>
        <v>0.619</v>
      </c>
      <c r="O352" s="15">
        <f t="shared" ref="O352:O415" si="85">F352/D352</f>
        <v>0.381</v>
      </c>
      <c r="P352" s="15">
        <f t="shared" ref="P352:P415" si="86">(L352/N352)</f>
        <v>1.28984667273209</v>
      </c>
      <c r="Q352" s="15">
        <f t="shared" ref="Q352:Q415" si="87">M352/O352</f>
        <v>0.52909425086308</v>
      </c>
      <c r="R352" s="7">
        <f t="shared" ref="R352:R415" si="88">L352*LN(P352)+M352*LN(Q352)</f>
        <v>0.0748886113469313</v>
      </c>
    </row>
    <row r="353" spans="1:18">
      <c r="A353" s="6">
        <v>2011</v>
      </c>
      <c r="B353" s="19" t="s">
        <v>29</v>
      </c>
      <c r="C353" s="6">
        <v>0.623</v>
      </c>
      <c r="D353" s="6">
        <v>5463</v>
      </c>
      <c r="E353" s="6">
        <f t="shared" si="78"/>
        <v>3403.449</v>
      </c>
      <c r="F353" s="6">
        <f t="shared" si="77"/>
        <v>2059.551</v>
      </c>
      <c r="G353" s="15">
        <v>30970.68</v>
      </c>
      <c r="H353" s="15">
        <v>13070.69</v>
      </c>
      <c r="I353" s="15">
        <f t="shared" si="79"/>
        <v>105407129.87532</v>
      </c>
      <c r="J353" s="15">
        <f t="shared" si="80"/>
        <v>26919752.66019</v>
      </c>
      <c r="K353" s="15">
        <f t="shared" si="81"/>
        <v>132326882.53551</v>
      </c>
      <c r="L353" s="15">
        <f t="shared" si="82"/>
        <v>0.796566259671643</v>
      </c>
      <c r="M353" s="15">
        <f t="shared" si="83"/>
        <v>0.203433740328357</v>
      </c>
      <c r="N353" s="15">
        <f t="shared" si="84"/>
        <v>0.623</v>
      </c>
      <c r="O353" s="15">
        <f t="shared" si="85"/>
        <v>0.377</v>
      </c>
      <c r="P353" s="15">
        <f t="shared" si="86"/>
        <v>1.27859752756283</v>
      </c>
      <c r="Q353" s="15">
        <f t="shared" si="87"/>
        <v>0.539612043311293</v>
      </c>
      <c r="R353" s="7">
        <f t="shared" si="88"/>
        <v>0.0702678892560664</v>
      </c>
    </row>
    <row r="354" spans="1:18">
      <c r="A354" s="6">
        <v>2011</v>
      </c>
      <c r="B354" s="19" t="s">
        <v>30</v>
      </c>
      <c r="C354" s="6">
        <v>0.448</v>
      </c>
      <c r="D354" s="6">
        <v>5968</v>
      </c>
      <c r="E354" s="6">
        <f t="shared" si="78"/>
        <v>2673.664</v>
      </c>
      <c r="F354" s="6">
        <f t="shared" si="77"/>
        <v>3294.336</v>
      </c>
      <c r="G354" s="15">
        <v>18606.13</v>
      </c>
      <c r="H354" s="15">
        <v>6232.21</v>
      </c>
      <c r="I354" s="15">
        <f t="shared" si="79"/>
        <v>49746539.96032</v>
      </c>
      <c r="J354" s="15">
        <f t="shared" si="80"/>
        <v>20530993.76256</v>
      </c>
      <c r="K354" s="15">
        <f t="shared" si="81"/>
        <v>70277533.72288</v>
      </c>
      <c r="L354" s="15">
        <f t="shared" si="82"/>
        <v>0.70785836276614</v>
      </c>
      <c r="M354" s="15">
        <f t="shared" si="83"/>
        <v>0.29214163723386</v>
      </c>
      <c r="N354" s="15">
        <f t="shared" si="84"/>
        <v>0.448</v>
      </c>
      <c r="O354" s="15">
        <f t="shared" si="85"/>
        <v>0.552</v>
      </c>
      <c r="P354" s="15">
        <f t="shared" si="86"/>
        <v>1.58004098831728</v>
      </c>
      <c r="Q354" s="15">
        <f t="shared" si="87"/>
        <v>0.529242096438153</v>
      </c>
      <c r="R354" s="7">
        <f t="shared" si="88"/>
        <v>0.137917924871494</v>
      </c>
    </row>
    <row r="355" spans="1:18">
      <c r="A355" s="6">
        <v>2011</v>
      </c>
      <c r="B355" s="19" t="s">
        <v>31</v>
      </c>
      <c r="C355" s="6">
        <v>0.581</v>
      </c>
      <c r="D355" s="6">
        <v>3720</v>
      </c>
      <c r="E355" s="6">
        <f t="shared" si="78"/>
        <v>2161.32</v>
      </c>
      <c r="F355" s="6">
        <f t="shared" si="77"/>
        <v>1558.68</v>
      </c>
      <c r="G355" s="15">
        <v>24907.4</v>
      </c>
      <c r="H355" s="15">
        <v>8778.55</v>
      </c>
      <c r="I355" s="15">
        <f t="shared" si="79"/>
        <v>53832861.768</v>
      </c>
      <c r="J355" s="15">
        <f t="shared" si="80"/>
        <v>13682950.314</v>
      </c>
      <c r="K355" s="15">
        <f t="shared" si="81"/>
        <v>67515812.082</v>
      </c>
      <c r="L355" s="15">
        <f t="shared" si="82"/>
        <v>0.797337099383747</v>
      </c>
      <c r="M355" s="15">
        <f t="shared" si="83"/>
        <v>0.202662900616253</v>
      </c>
      <c r="N355" s="15">
        <f t="shared" si="84"/>
        <v>0.581</v>
      </c>
      <c r="O355" s="15">
        <f t="shared" si="85"/>
        <v>0.419</v>
      </c>
      <c r="P355" s="15">
        <f t="shared" si="86"/>
        <v>1.37235301098752</v>
      </c>
      <c r="Q355" s="15">
        <f t="shared" si="87"/>
        <v>0.483682340372919</v>
      </c>
      <c r="R355" s="7">
        <f t="shared" si="88"/>
        <v>0.10517903665485</v>
      </c>
    </row>
    <row r="356" spans="1:18">
      <c r="A356" s="6">
        <v>2011</v>
      </c>
      <c r="B356" s="19" t="s">
        <v>32</v>
      </c>
      <c r="C356" s="6">
        <v>0.457</v>
      </c>
      <c r="D356" s="6">
        <v>4488.4367</v>
      </c>
      <c r="E356" s="6">
        <f t="shared" si="78"/>
        <v>2051.2155719</v>
      </c>
      <c r="F356" s="6">
        <f t="shared" si="77"/>
        <v>2437.2211281</v>
      </c>
      <c r="G356" s="15">
        <v>17494.87</v>
      </c>
      <c r="H356" s="15">
        <v>6891.63</v>
      </c>
      <c r="I356" s="15">
        <f t="shared" si="79"/>
        <v>35885749.7723662</v>
      </c>
      <c r="J356" s="15">
        <f t="shared" si="80"/>
        <v>16796426.2430478</v>
      </c>
      <c r="K356" s="15">
        <f t="shared" si="81"/>
        <v>52682176.015414</v>
      </c>
      <c r="L356" s="15">
        <f t="shared" si="82"/>
        <v>0.681174402550619</v>
      </c>
      <c r="M356" s="15">
        <f t="shared" si="83"/>
        <v>0.318825597449381</v>
      </c>
      <c r="N356" s="15">
        <f t="shared" si="84"/>
        <v>0.457</v>
      </c>
      <c r="O356" s="15">
        <f t="shared" si="85"/>
        <v>0.543</v>
      </c>
      <c r="P356" s="15">
        <f t="shared" si="86"/>
        <v>1.49053479770376</v>
      </c>
      <c r="Q356" s="15">
        <f t="shared" si="87"/>
        <v>0.5871557964077</v>
      </c>
      <c r="R356" s="7">
        <f t="shared" si="88"/>
        <v>0.10211703342551</v>
      </c>
    </row>
    <row r="357" spans="1:18">
      <c r="A357" s="6">
        <v>2011</v>
      </c>
      <c r="B357" s="19" t="s">
        <v>33</v>
      </c>
      <c r="C357" s="6">
        <v>0.5095</v>
      </c>
      <c r="D357" s="6">
        <v>9637</v>
      </c>
      <c r="E357" s="6">
        <f t="shared" si="78"/>
        <v>4910.0515</v>
      </c>
      <c r="F357" s="6">
        <f t="shared" si="77"/>
        <v>4726.9485</v>
      </c>
      <c r="G357" s="15">
        <v>22791.84</v>
      </c>
      <c r="H357" s="15">
        <v>8342.13</v>
      </c>
      <c r="I357" s="15">
        <f t="shared" si="79"/>
        <v>111909108.17976</v>
      </c>
      <c r="J357" s="15">
        <f t="shared" si="80"/>
        <v>39432818.890305</v>
      </c>
      <c r="K357" s="15">
        <f t="shared" si="81"/>
        <v>151341927.070065</v>
      </c>
      <c r="L357" s="15">
        <f t="shared" si="82"/>
        <v>0.739445508236133</v>
      </c>
      <c r="M357" s="15">
        <f t="shared" si="83"/>
        <v>0.260554491763867</v>
      </c>
      <c r="N357" s="15">
        <f t="shared" si="84"/>
        <v>0.5095</v>
      </c>
      <c r="O357" s="15">
        <f t="shared" si="85"/>
        <v>0.4905</v>
      </c>
      <c r="P357" s="15">
        <f t="shared" si="86"/>
        <v>1.45131601223971</v>
      </c>
      <c r="Q357" s="15">
        <f t="shared" si="87"/>
        <v>0.531201818071084</v>
      </c>
      <c r="R357" s="7">
        <f t="shared" si="88"/>
        <v>0.110591589260224</v>
      </c>
    </row>
    <row r="358" spans="1:18">
      <c r="A358" s="6">
        <v>2011</v>
      </c>
      <c r="B358" s="19" t="s">
        <v>34</v>
      </c>
      <c r="C358" s="6">
        <v>0.4057</v>
      </c>
      <c r="D358" s="6">
        <v>9388</v>
      </c>
      <c r="E358" s="6">
        <f t="shared" si="78"/>
        <v>3808.7116</v>
      </c>
      <c r="F358" s="6">
        <f t="shared" si="77"/>
        <v>5579.2884</v>
      </c>
      <c r="G358" s="15">
        <v>18194.8</v>
      </c>
      <c r="H358" s="15">
        <v>6604.03</v>
      </c>
      <c r="I358" s="15">
        <f t="shared" si="79"/>
        <v>69298745.81968</v>
      </c>
      <c r="J358" s="15">
        <f t="shared" si="80"/>
        <v>36845787.972252</v>
      </c>
      <c r="K358" s="15">
        <f t="shared" si="81"/>
        <v>106144533.791932</v>
      </c>
      <c r="L358" s="15">
        <f t="shared" si="82"/>
        <v>0.652871545467633</v>
      </c>
      <c r="M358" s="15">
        <f t="shared" si="83"/>
        <v>0.347128454532367</v>
      </c>
      <c r="N358" s="15">
        <f t="shared" si="84"/>
        <v>0.4057</v>
      </c>
      <c r="O358" s="15">
        <f t="shared" si="85"/>
        <v>0.5943</v>
      </c>
      <c r="P358" s="15">
        <f t="shared" si="86"/>
        <v>1.60924709259954</v>
      </c>
      <c r="Q358" s="15">
        <f t="shared" si="87"/>
        <v>0.584096339445343</v>
      </c>
      <c r="R358" s="7">
        <f t="shared" si="88"/>
        <v>0.12396709001378</v>
      </c>
    </row>
    <row r="359" spans="1:18">
      <c r="A359" s="6">
        <v>2011</v>
      </c>
      <c r="B359" s="19" t="s">
        <v>35</v>
      </c>
      <c r="C359" s="6">
        <v>0.5183</v>
      </c>
      <c r="D359" s="6">
        <v>5757.5</v>
      </c>
      <c r="E359" s="6">
        <f t="shared" si="78"/>
        <v>2984.11225</v>
      </c>
      <c r="F359" s="6">
        <f t="shared" si="77"/>
        <v>2773.38775</v>
      </c>
      <c r="G359" s="15">
        <v>18373.87</v>
      </c>
      <c r="H359" s="15">
        <v>6897.92</v>
      </c>
      <c r="I359" s="15">
        <f t="shared" si="79"/>
        <v>54829690.5469075</v>
      </c>
      <c r="J359" s="15">
        <f t="shared" si="80"/>
        <v>19130606.82848</v>
      </c>
      <c r="K359" s="15">
        <f t="shared" si="81"/>
        <v>73960297.3753875</v>
      </c>
      <c r="L359" s="15">
        <f t="shared" si="82"/>
        <v>0.741339509069547</v>
      </c>
      <c r="M359" s="15">
        <f t="shared" si="83"/>
        <v>0.258660490930453</v>
      </c>
      <c r="N359" s="15">
        <f t="shared" si="84"/>
        <v>0.5183</v>
      </c>
      <c r="O359" s="15">
        <f t="shared" si="85"/>
        <v>0.4817</v>
      </c>
      <c r="P359" s="15">
        <f t="shared" si="86"/>
        <v>1.43032897756038</v>
      </c>
      <c r="Q359" s="15">
        <f t="shared" si="87"/>
        <v>0.536974239008621</v>
      </c>
      <c r="R359" s="7">
        <f t="shared" si="88"/>
        <v>0.104492298257111</v>
      </c>
    </row>
    <row r="360" spans="1:18">
      <c r="A360" s="6">
        <v>2011</v>
      </c>
      <c r="B360" s="19" t="s">
        <v>36</v>
      </c>
      <c r="C360" s="6">
        <v>0.451</v>
      </c>
      <c r="D360" s="6">
        <v>6595.6</v>
      </c>
      <c r="E360" s="6">
        <f t="shared" si="78"/>
        <v>2974.6156</v>
      </c>
      <c r="F360" s="6">
        <f t="shared" si="77"/>
        <v>3620.9844</v>
      </c>
      <c r="G360" s="15">
        <v>18844.05</v>
      </c>
      <c r="H360" s="15">
        <v>6567.06</v>
      </c>
      <c r="I360" s="15">
        <f t="shared" si="79"/>
        <v>56053805.09718</v>
      </c>
      <c r="J360" s="15">
        <f t="shared" si="80"/>
        <v>23779221.813864</v>
      </c>
      <c r="K360" s="15">
        <f t="shared" si="81"/>
        <v>79833026.911044</v>
      </c>
      <c r="L360" s="15">
        <f t="shared" si="82"/>
        <v>0.702138040683831</v>
      </c>
      <c r="M360" s="15">
        <f t="shared" si="83"/>
        <v>0.297861959316169</v>
      </c>
      <c r="N360" s="15">
        <f t="shared" si="84"/>
        <v>0.451</v>
      </c>
      <c r="O360" s="15">
        <f t="shared" si="85"/>
        <v>0.549</v>
      </c>
      <c r="P360" s="15">
        <f t="shared" si="86"/>
        <v>1.55684709685994</v>
      </c>
      <c r="Q360" s="15">
        <f t="shared" si="87"/>
        <v>0.542553659956592</v>
      </c>
      <c r="R360" s="7">
        <f t="shared" si="88"/>
        <v>0.128677168111954</v>
      </c>
    </row>
    <row r="361" spans="1:18">
      <c r="A361" s="6">
        <v>2011</v>
      </c>
      <c r="B361" s="19" t="s">
        <v>37</v>
      </c>
      <c r="C361" s="6">
        <v>0.665</v>
      </c>
      <c r="D361" s="6">
        <v>10504.8488</v>
      </c>
      <c r="E361" s="6">
        <f t="shared" si="78"/>
        <v>6985.724452</v>
      </c>
      <c r="F361" s="6">
        <f t="shared" si="77"/>
        <v>3519.124348</v>
      </c>
      <c r="G361" s="15">
        <v>26897.48</v>
      </c>
      <c r="H361" s="15">
        <v>9371.73</v>
      </c>
      <c r="I361" s="15">
        <f t="shared" si="79"/>
        <v>187898383.733181</v>
      </c>
      <c r="J361" s="15">
        <f t="shared" si="80"/>
        <v>32980283.225882</v>
      </c>
      <c r="K361" s="15">
        <f t="shared" si="81"/>
        <v>220878666.959063</v>
      </c>
      <c r="L361" s="15">
        <f t="shared" si="82"/>
        <v>0.850685973073196</v>
      </c>
      <c r="M361" s="15">
        <f t="shared" si="83"/>
        <v>0.149314026926804</v>
      </c>
      <c r="N361" s="15">
        <f t="shared" si="84"/>
        <v>0.665</v>
      </c>
      <c r="O361" s="15">
        <f t="shared" si="85"/>
        <v>0.335</v>
      </c>
      <c r="P361" s="15">
        <f t="shared" si="86"/>
        <v>1.27922702717774</v>
      </c>
      <c r="Q361" s="15">
        <f t="shared" si="87"/>
        <v>0.445713513214339</v>
      </c>
      <c r="R361" s="7">
        <f t="shared" si="88"/>
        <v>0.0888290222108547</v>
      </c>
    </row>
    <row r="362" spans="1:18">
      <c r="A362" s="6">
        <v>2011</v>
      </c>
      <c r="B362" s="19" t="s">
        <v>38</v>
      </c>
      <c r="C362" s="6">
        <v>0.418</v>
      </c>
      <c r="D362" s="6">
        <v>4645</v>
      </c>
      <c r="E362" s="6">
        <f t="shared" si="78"/>
        <v>1941.61</v>
      </c>
      <c r="F362" s="6">
        <f t="shared" si="77"/>
        <v>2703.39</v>
      </c>
      <c r="G362" s="15">
        <v>18854.06</v>
      </c>
      <c r="H362" s="15">
        <v>5231.33</v>
      </c>
      <c r="I362" s="15">
        <f t="shared" si="79"/>
        <v>36607231.4366</v>
      </c>
      <c r="J362" s="15">
        <f t="shared" si="80"/>
        <v>14142325.2087</v>
      </c>
      <c r="K362" s="15">
        <f t="shared" si="81"/>
        <v>50749556.6453</v>
      </c>
      <c r="L362" s="15">
        <f t="shared" si="82"/>
        <v>0.721331058957936</v>
      </c>
      <c r="M362" s="15">
        <f t="shared" si="83"/>
        <v>0.278668941042064</v>
      </c>
      <c r="N362" s="15">
        <f t="shared" si="84"/>
        <v>0.418</v>
      </c>
      <c r="O362" s="15">
        <f t="shared" si="85"/>
        <v>0.582</v>
      </c>
      <c r="P362" s="15">
        <f t="shared" si="86"/>
        <v>1.72567238985152</v>
      </c>
      <c r="Q362" s="15">
        <f t="shared" si="87"/>
        <v>0.478812613474337</v>
      </c>
      <c r="R362" s="7">
        <f t="shared" si="88"/>
        <v>0.188345703140093</v>
      </c>
    </row>
    <row r="363" spans="1:18">
      <c r="A363" s="6">
        <v>2011</v>
      </c>
      <c r="B363" s="19" t="s">
        <v>39</v>
      </c>
      <c r="C363" s="6">
        <v>0.505</v>
      </c>
      <c r="D363" s="6">
        <v>877.34</v>
      </c>
      <c r="E363" s="6">
        <f t="shared" si="78"/>
        <v>443.0567</v>
      </c>
      <c r="F363" s="6">
        <f t="shared" si="77"/>
        <v>434.2833</v>
      </c>
      <c r="G363" s="15">
        <v>18368.95</v>
      </c>
      <c r="H363" s="15">
        <v>6446.01</v>
      </c>
      <c r="I363" s="15">
        <f t="shared" si="79"/>
        <v>8138486.369465</v>
      </c>
      <c r="J363" s="15">
        <f t="shared" si="80"/>
        <v>2799394.494633</v>
      </c>
      <c r="K363" s="15">
        <f t="shared" si="81"/>
        <v>10937880.864098</v>
      </c>
      <c r="L363" s="15">
        <f t="shared" si="82"/>
        <v>0.744064272648863</v>
      </c>
      <c r="M363" s="15">
        <f t="shared" si="83"/>
        <v>0.255935727351137</v>
      </c>
      <c r="N363" s="15">
        <f t="shared" si="84"/>
        <v>0.505</v>
      </c>
      <c r="O363" s="15">
        <f t="shared" si="85"/>
        <v>0.495</v>
      </c>
      <c r="P363" s="15">
        <f t="shared" si="86"/>
        <v>1.47339459930468</v>
      </c>
      <c r="Q363" s="15">
        <f t="shared" si="87"/>
        <v>0.51704187343664</v>
      </c>
      <c r="R363" s="7">
        <f t="shared" si="88"/>
        <v>0.11955299260233</v>
      </c>
    </row>
    <row r="364" spans="1:18">
      <c r="A364" s="6">
        <v>2011</v>
      </c>
      <c r="B364" s="19" t="s">
        <v>40</v>
      </c>
      <c r="C364" s="6">
        <v>0.5502</v>
      </c>
      <c r="D364" s="6">
        <v>2919</v>
      </c>
      <c r="E364" s="6">
        <f t="shared" si="78"/>
        <v>1606.0338</v>
      </c>
      <c r="F364" s="6">
        <f t="shared" si="77"/>
        <v>1312.9662</v>
      </c>
      <c r="G364" s="15">
        <v>20249.7</v>
      </c>
      <c r="H364" s="15">
        <v>6480.41</v>
      </c>
      <c r="I364" s="15">
        <f t="shared" si="79"/>
        <v>32521702.63986</v>
      </c>
      <c r="J364" s="15">
        <f t="shared" si="80"/>
        <v>8508559.292142</v>
      </c>
      <c r="K364" s="15">
        <f t="shared" si="81"/>
        <v>41030261.932002</v>
      </c>
      <c r="L364" s="15">
        <f t="shared" si="82"/>
        <v>0.792627224602101</v>
      </c>
      <c r="M364" s="15">
        <f t="shared" si="83"/>
        <v>0.207372775397899</v>
      </c>
      <c r="N364" s="15">
        <f t="shared" si="84"/>
        <v>0.5502</v>
      </c>
      <c r="O364" s="15">
        <f t="shared" si="85"/>
        <v>0.4498</v>
      </c>
      <c r="P364" s="15">
        <f t="shared" si="86"/>
        <v>1.44061654780462</v>
      </c>
      <c r="Q364" s="15">
        <f t="shared" si="87"/>
        <v>0.46103329345909</v>
      </c>
      <c r="R364" s="7">
        <f t="shared" si="88"/>
        <v>0.128799723068981</v>
      </c>
    </row>
    <row r="365" spans="1:18">
      <c r="A365" s="6">
        <v>2011</v>
      </c>
      <c r="B365" s="19" t="s">
        <v>41</v>
      </c>
      <c r="C365" s="6">
        <v>0.4183</v>
      </c>
      <c r="D365" s="6">
        <v>8050</v>
      </c>
      <c r="E365" s="6">
        <f t="shared" si="78"/>
        <v>3367.315</v>
      </c>
      <c r="F365" s="6">
        <f t="shared" si="77"/>
        <v>4682.685</v>
      </c>
      <c r="G365" s="15">
        <v>17899.12</v>
      </c>
      <c r="H365" s="15">
        <v>6128.55</v>
      </c>
      <c r="I365" s="15">
        <f t="shared" si="79"/>
        <v>60271975.2628</v>
      </c>
      <c r="J365" s="15">
        <f t="shared" si="80"/>
        <v>28698069.15675</v>
      </c>
      <c r="K365" s="15">
        <f t="shared" si="81"/>
        <v>88970044.41955</v>
      </c>
      <c r="L365" s="15">
        <f t="shared" si="82"/>
        <v>0.677441218064133</v>
      </c>
      <c r="M365" s="15">
        <f t="shared" si="83"/>
        <v>0.322558781935867</v>
      </c>
      <c r="N365" s="15">
        <f t="shared" si="84"/>
        <v>0.4183</v>
      </c>
      <c r="O365" s="15">
        <f t="shared" si="85"/>
        <v>0.5817</v>
      </c>
      <c r="P365" s="15">
        <f t="shared" si="86"/>
        <v>1.61951044241964</v>
      </c>
      <c r="Q365" s="15">
        <f t="shared" si="87"/>
        <v>0.554510541405994</v>
      </c>
      <c r="R365" s="7">
        <f t="shared" si="88"/>
        <v>0.136407543861809</v>
      </c>
    </row>
    <row r="366" spans="1:18">
      <c r="A366" s="6">
        <v>2011</v>
      </c>
      <c r="B366" s="19" t="s">
        <v>42</v>
      </c>
      <c r="C366" s="6">
        <v>0.3496</v>
      </c>
      <c r="D366" s="6">
        <v>3468.72</v>
      </c>
      <c r="E366" s="6">
        <f t="shared" si="78"/>
        <v>1212.664512</v>
      </c>
      <c r="F366" s="6">
        <f t="shared" si="77"/>
        <v>2256.055488</v>
      </c>
      <c r="G366" s="15">
        <v>16495.01</v>
      </c>
      <c r="H366" s="15">
        <v>4145.35</v>
      </c>
      <c r="I366" s="15">
        <f t="shared" si="79"/>
        <v>20002913.2520851</v>
      </c>
      <c r="J366" s="15">
        <f t="shared" si="80"/>
        <v>9352139.6171808</v>
      </c>
      <c r="K366" s="15">
        <f t="shared" si="81"/>
        <v>29355052.8692659</v>
      </c>
      <c r="L366" s="15">
        <f t="shared" si="82"/>
        <v>0.681412952692302</v>
      </c>
      <c r="M366" s="15">
        <f t="shared" si="83"/>
        <v>0.318587047307698</v>
      </c>
      <c r="N366" s="15">
        <f t="shared" si="84"/>
        <v>0.3496</v>
      </c>
      <c r="O366" s="15">
        <f t="shared" si="85"/>
        <v>0.6504</v>
      </c>
      <c r="P366" s="15">
        <f t="shared" si="86"/>
        <v>1.94912171822741</v>
      </c>
      <c r="Q366" s="15">
        <f t="shared" si="87"/>
        <v>0.489832483560421</v>
      </c>
      <c r="R366" s="7">
        <f t="shared" si="88"/>
        <v>0.227387637968809</v>
      </c>
    </row>
    <row r="367" spans="1:18">
      <c r="A367" s="6">
        <v>2011</v>
      </c>
      <c r="B367" s="19" t="s">
        <v>43</v>
      </c>
      <c r="C367" s="6">
        <v>0.368</v>
      </c>
      <c r="D367" s="6">
        <v>4630.8</v>
      </c>
      <c r="E367" s="6">
        <f t="shared" si="78"/>
        <v>1704.1344</v>
      </c>
      <c r="F367" s="6">
        <f t="shared" si="77"/>
        <v>2926.6656</v>
      </c>
      <c r="G367" s="15">
        <v>18575.62</v>
      </c>
      <c r="H367" s="15">
        <v>4721.99</v>
      </c>
      <c r="I367" s="15">
        <f t="shared" si="79"/>
        <v>31655353.043328</v>
      </c>
      <c r="J367" s="15">
        <f t="shared" si="80"/>
        <v>13819685.696544</v>
      </c>
      <c r="K367" s="15">
        <f t="shared" si="81"/>
        <v>45475038.739872</v>
      </c>
      <c r="L367" s="15">
        <f t="shared" si="82"/>
        <v>0.696103926912611</v>
      </c>
      <c r="M367" s="15">
        <f t="shared" si="83"/>
        <v>0.303896073087389</v>
      </c>
      <c r="N367" s="15">
        <f t="shared" si="84"/>
        <v>0.368</v>
      </c>
      <c r="O367" s="15">
        <f t="shared" si="85"/>
        <v>0.632</v>
      </c>
      <c r="P367" s="15">
        <f t="shared" si="86"/>
        <v>1.8915867579147</v>
      </c>
      <c r="Q367" s="15">
        <f t="shared" si="87"/>
        <v>0.480848216910426</v>
      </c>
      <c r="R367" s="7">
        <f t="shared" si="88"/>
        <v>0.221193998848471</v>
      </c>
    </row>
    <row r="368" spans="1:18">
      <c r="A368" s="6">
        <v>2011</v>
      </c>
      <c r="B368" s="19" t="s">
        <v>44</v>
      </c>
      <c r="C368" s="6">
        <v>0.2271</v>
      </c>
      <c r="D368" s="6">
        <v>303.3</v>
      </c>
      <c r="E368" s="6">
        <f t="shared" si="78"/>
        <v>68.87943</v>
      </c>
      <c r="F368" s="6">
        <f t="shared" si="77"/>
        <v>234.42057</v>
      </c>
      <c r="G368" s="15">
        <v>16195.56</v>
      </c>
      <c r="H368" s="15">
        <v>4904.28</v>
      </c>
      <c r="I368" s="15">
        <f t="shared" si="79"/>
        <v>1115540.9413308</v>
      </c>
      <c r="J368" s="15">
        <f t="shared" si="80"/>
        <v>1149664.1130396</v>
      </c>
      <c r="K368" s="15">
        <f t="shared" si="81"/>
        <v>2265205.0543704</v>
      </c>
      <c r="L368" s="15">
        <f t="shared" si="82"/>
        <v>0.49246797290096</v>
      </c>
      <c r="M368" s="15">
        <f t="shared" si="83"/>
        <v>0.50753202709904</v>
      </c>
      <c r="N368" s="15">
        <f t="shared" si="84"/>
        <v>0.2271</v>
      </c>
      <c r="O368" s="15">
        <f t="shared" si="85"/>
        <v>0.7729</v>
      </c>
      <c r="P368" s="15">
        <f t="shared" si="86"/>
        <v>2.16850714619533</v>
      </c>
      <c r="Q368" s="15">
        <f t="shared" si="87"/>
        <v>0.656659370033691</v>
      </c>
      <c r="R368" s="7">
        <f t="shared" si="88"/>
        <v>0.167726584293619</v>
      </c>
    </row>
    <row r="369" spans="1:18">
      <c r="A369" s="6">
        <v>2011</v>
      </c>
      <c r="B369" s="19" t="s">
        <v>45</v>
      </c>
      <c r="C369" s="6">
        <v>0.473</v>
      </c>
      <c r="D369" s="6">
        <v>3742.6</v>
      </c>
      <c r="E369" s="6">
        <f t="shared" si="78"/>
        <v>1770.2498</v>
      </c>
      <c r="F369" s="6">
        <f t="shared" si="77"/>
        <v>1972.3502</v>
      </c>
      <c r="G369" s="15">
        <v>18245.23</v>
      </c>
      <c r="H369" s="15">
        <v>5027.87</v>
      </c>
      <c r="I369" s="15">
        <f t="shared" si="79"/>
        <v>32298614.758454</v>
      </c>
      <c r="J369" s="15">
        <f t="shared" si="80"/>
        <v>9916720.400074</v>
      </c>
      <c r="K369" s="15">
        <f t="shared" si="81"/>
        <v>42215335.158528</v>
      </c>
      <c r="L369" s="15">
        <f t="shared" si="82"/>
        <v>0.765091989372239</v>
      </c>
      <c r="M369" s="15">
        <f t="shared" si="83"/>
        <v>0.234908010627761</v>
      </c>
      <c r="N369" s="15">
        <f t="shared" si="84"/>
        <v>0.473</v>
      </c>
      <c r="O369" s="15">
        <f t="shared" si="85"/>
        <v>0.527</v>
      </c>
      <c r="P369" s="15">
        <f t="shared" si="86"/>
        <v>1.61753063292228</v>
      </c>
      <c r="Q369" s="15">
        <f t="shared" si="87"/>
        <v>0.445745750716815</v>
      </c>
      <c r="R369" s="7">
        <f t="shared" si="88"/>
        <v>0.178126049826231</v>
      </c>
    </row>
    <row r="370" spans="1:18">
      <c r="A370" s="6">
        <v>2011</v>
      </c>
      <c r="B370" s="19" t="s">
        <v>46</v>
      </c>
      <c r="C370" s="6">
        <v>0.3715</v>
      </c>
      <c r="D370" s="6">
        <v>2564.19</v>
      </c>
      <c r="E370" s="6">
        <f t="shared" si="78"/>
        <v>952.596585</v>
      </c>
      <c r="F370" s="6">
        <f t="shared" si="77"/>
        <v>1611.593415</v>
      </c>
      <c r="G370" s="15">
        <v>14988.68</v>
      </c>
      <c r="H370" s="15">
        <v>3909.37</v>
      </c>
      <c r="I370" s="15">
        <f t="shared" si="79"/>
        <v>14278165.3816578</v>
      </c>
      <c r="J370" s="15">
        <f t="shared" si="80"/>
        <v>6300314.94879855</v>
      </c>
      <c r="K370" s="15">
        <f t="shared" si="81"/>
        <v>20578480.3304563</v>
      </c>
      <c r="L370" s="15">
        <f t="shared" si="82"/>
        <v>0.693839639874961</v>
      </c>
      <c r="M370" s="15">
        <f t="shared" si="83"/>
        <v>0.306160360125039</v>
      </c>
      <c r="N370" s="15">
        <f t="shared" si="84"/>
        <v>0.3715</v>
      </c>
      <c r="O370" s="15">
        <f t="shared" si="85"/>
        <v>0.6285</v>
      </c>
      <c r="P370" s="15">
        <f t="shared" si="86"/>
        <v>1.86767063223408</v>
      </c>
      <c r="Q370" s="15">
        <f t="shared" si="87"/>
        <v>0.487128655727986</v>
      </c>
      <c r="R370" s="7">
        <f t="shared" si="88"/>
        <v>0.213237273931573</v>
      </c>
    </row>
    <row r="371" spans="1:18">
      <c r="A371" s="6">
        <v>2011</v>
      </c>
      <c r="B371" s="19" t="s">
        <v>47</v>
      </c>
      <c r="C371" s="6">
        <v>0.4622</v>
      </c>
      <c r="D371" s="6">
        <v>568.17</v>
      </c>
      <c r="E371" s="6">
        <f t="shared" si="78"/>
        <v>262.608174</v>
      </c>
      <c r="F371" s="6">
        <f t="shared" si="77"/>
        <v>305.561826</v>
      </c>
      <c r="G371" s="15">
        <v>15603.31</v>
      </c>
      <c r="H371" s="15">
        <v>4608.46</v>
      </c>
      <c r="I371" s="15">
        <f t="shared" si="79"/>
        <v>4097556.74745594</v>
      </c>
      <c r="J371" s="15">
        <f t="shared" si="80"/>
        <v>1408169.45264796</v>
      </c>
      <c r="K371" s="15">
        <f t="shared" si="81"/>
        <v>5505726.2001039</v>
      </c>
      <c r="L371" s="15">
        <f t="shared" si="82"/>
        <v>0.74423547385604</v>
      </c>
      <c r="M371" s="15">
        <f t="shared" si="83"/>
        <v>0.25576452614396</v>
      </c>
      <c r="N371" s="15">
        <f t="shared" si="84"/>
        <v>0.4622</v>
      </c>
      <c r="O371" s="15">
        <f t="shared" si="85"/>
        <v>0.5378</v>
      </c>
      <c r="P371" s="15">
        <f t="shared" si="86"/>
        <v>1.61020223681532</v>
      </c>
      <c r="Q371" s="15">
        <f t="shared" si="87"/>
        <v>0.475575541361027</v>
      </c>
      <c r="R371" s="7">
        <f t="shared" si="88"/>
        <v>0.164432097870457</v>
      </c>
    </row>
    <row r="372" spans="1:18">
      <c r="A372" s="6">
        <v>2011</v>
      </c>
      <c r="B372" s="19" t="s">
        <v>48</v>
      </c>
      <c r="C372" s="6">
        <v>0.4982</v>
      </c>
      <c r="D372" s="6">
        <v>639.45</v>
      </c>
      <c r="E372" s="6">
        <f t="shared" si="78"/>
        <v>318.57399</v>
      </c>
      <c r="F372" s="6">
        <f t="shared" si="77"/>
        <v>320.87601</v>
      </c>
      <c r="G372" s="15">
        <v>17578.92</v>
      </c>
      <c r="H372" s="15">
        <v>5409.95</v>
      </c>
      <c r="I372" s="15">
        <f t="shared" si="79"/>
        <v>5600186.6842908</v>
      </c>
      <c r="J372" s="15">
        <f t="shared" si="80"/>
        <v>1735923.1702995</v>
      </c>
      <c r="K372" s="15">
        <f t="shared" si="81"/>
        <v>7336109.8545903</v>
      </c>
      <c r="L372" s="15">
        <f t="shared" si="82"/>
        <v>0.763372795022513</v>
      </c>
      <c r="M372" s="15">
        <f t="shared" si="83"/>
        <v>0.236627204977487</v>
      </c>
      <c r="N372" s="15">
        <f t="shared" si="84"/>
        <v>0.4982</v>
      </c>
      <c r="O372" s="15">
        <f t="shared" si="85"/>
        <v>0.5018</v>
      </c>
      <c r="P372" s="15">
        <f t="shared" si="86"/>
        <v>1.53226173228124</v>
      </c>
      <c r="Q372" s="15">
        <f t="shared" si="87"/>
        <v>0.471556805455335</v>
      </c>
      <c r="R372" s="7">
        <f t="shared" si="88"/>
        <v>0.147889060818595</v>
      </c>
    </row>
    <row r="373" spans="1:18">
      <c r="A373" s="6">
        <v>2011</v>
      </c>
      <c r="B373" s="19" t="s">
        <v>49</v>
      </c>
      <c r="C373" s="6">
        <v>0.4354</v>
      </c>
      <c r="D373" s="6">
        <v>2208.71</v>
      </c>
      <c r="E373" s="6">
        <f t="shared" si="78"/>
        <v>961.672334</v>
      </c>
      <c r="F373" s="6">
        <f t="shared" si="77"/>
        <v>1247.037666</v>
      </c>
      <c r="G373" s="15">
        <v>15513.62</v>
      </c>
      <c r="H373" s="15">
        <v>5442.15</v>
      </c>
      <c r="I373" s="15">
        <f t="shared" si="79"/>
        <v>14919019.1541891</v>
      </c>
      <c r="J373" s="15">
        <f t="shared" si="80"/>
        <v>6786566.0340219</v>
      </c>
      <c r="K373" s="15">
        <f t="shared" si="81"/>
        <v>21705585.188211</v>
      </c>
      <c r="L373" s="15">
        <f t="shared" si="82"/>
        <v>0.687335495671966</v>
      </c>
      <c r="M373" s="15">
        <f t="shared" si="83"/>
        <v>0.312664504328034</v>
      </c>
      <c r="N373" s="15">
        <f t="shared" si="84"/>
        <v>0.4354</v>
      </c>
      <c r="O373" s="15">
        <f t="shared" si="85"/>
        <v>0.5646</v>
      </c>
      <c r="P373" s="15">
        <f t="shared" si="86"/>
        <v>1.57862998546616</v>
      </c>
      <c r="Q373" s="15">
        <f t="shared" si="87"/>
        <v>0.553780560269277</v>
      </c>
      <c r="R373" s="7">
        <f t="shared" si="88"/>
        <v>0.129027502419621</v>
      </c>
    </row>
    <row r="374" spans="1:18">
      <c r="A374" s="6">
        <v>2012</v>
      </c>
      <c r="B374" s="19" t="s">
        <v>19</v>
      </c>
      <c r="C374" s="6">
        <v>0.8629</v>
      </c>
      <c r="D374" s="6">
        <v>2078</v>
      </c>
      <c r="E374" s="6">
        <f t="shared" si="78"/>
        <v>1793.1062</v>
      </c>
      <c r="F374" s="6">
        <f t="shared" si="77"/>
        <v>284.8938</v>
      </c>
      <c r="G374" s="15">
        <v>36468.75</v>
      </c>
      <c r="H374" s="15">
        <v>16475.740758884</v>
      </c>
      <c r="I374" s="15">
        <f t="shared" si="79"/>
        <v>65392341.73125</v>
      </c>
      <c r="J374" s="15">
        <f t="shared" si="80"/>
        <v>4693836.39261335</v>
      </c>
      <c r="K374" s="15">
        <f t="shared" si="81"/>
        <v>70086178.1238633</v>
      </c>
      <c r="L374" s="15">
        <f t="shared" si="82"/>
        <v>0.933027645132569</v>
      </c>
      <c r="M374" s="15">
        <f t="shared" si="83"/>
        <v>0.0669723548674309</v>
      </c>
      <c r="N374" s="15">
        <f t="shared" si="84"/>
        <v>0.8629</v>
      </c>
      <c r="O374" s="15">
        <f t="shared" si="85"/>
        <v>0.1371</v>
      </c>
      <c r="P374" s="15">
        <f t="shared" si="86"/>
        <v>1.08126972433952</v>
      </c>
      <c r="Q374" s="15">
        <f t="shared" si="87"/>
        <v>0.488492741556753</v>
      </c>
      <c r="R374" s="7">
        <f t="shared" si="88"/>
        <v>0.0249220190997853</v>
      </c>
    </row>
    <row r="375" spans="1:18">
      <c r="A375" s="6">
        <v>2012</v>
      </c>
      <c r="B375" s="19" t="s">
        <v>20</v>
      </c>
      <c r="C375" s="6">
        <v>0.8155</v>
      </c>
      <c r="D375" s="6">
        <v>1378</v>
      </c>
      <c r="E375" s="6">
        <f t="shared" si="78"/>
        <v>1123.759</v>
      </c>
      <c r="F375" s="6">
        <f t="shared" si="77"/>
        <v>254.241</v>
      </c>
      <c r="G375" s="15">
        <v>29626.41</v>
      </c>
      <c r="H375" s="15">
        <v>14025.5370844799</v>
      </c>
      <c r="I375" s="15">
        <f t="shared" si="79"/>
        <v>33292944.87519</v>
      </c>
      <c r="J375" s="15">
        <f t="shared" si="80"/>
        <v>3565866.57389525</v>
      </c>
      <c r="K375" s="15">
        <f t="shared" si="81"/>
        <v>36858811.4490853</v>
      </c>
      <c r="L375" s="15">
        <f t="shared" si="82"/>
        <v>0.903256061883033</v>
      </c>
      <c r="M375" s="15">
        <f t="shared" si="83"/>
        <v>0.0967439381169669</v>
      </c>
      <c r="N375" s="15">
        <f t="shared" si="84"/>
        <v>0.8155</v>
      </c>
      <c r="O375" s="15">
        <f t="shared" si="85"/>
        <v>0.1845</v>
      </c>
      <c r="P375" s="15">
        <f t="shared" si="86"/>
        <v>1.10761013106442</v>
      </c>
      <c r="Q375" s="15">
        <f t="shared" si="87"/>
        <v>0.524357388167842</v>
      </c>
      <c r="R375" s="7">
        <f t="shared" si="88"/>
        <v>0.0298608533051674</v>
      </c>
    </row>
    <row r="376" spans="1:18">
      <c r="A376" s="6">
        <v>2012</v>
      </c>
      <c r="B376" s="19" t="s">
        <v>21</v>
      </c>
      <c r="C376" s="6">
        <v>0.466</v>
      </c>
      <c r="D376" s="6">
        <v>7262</v>
      </c>
      <c r="E376" s="6">
        <f t="shared" si="78"/>
        <v>3384.092</v>
      </c>
      <c r="F376" s="6">
        <f t="shared" si="77"/>
        <v>3877.908</v>
      </c>
      <c r="G376" s="15">
        <v>20543.44</v>
      </c>
      <c r="H376" s="15">
        <v>8081.38503202421</v>
      </c>
      <c r="I376" s="15">
        <f t="shared" si="79"/>
        <v>69520890.95648</v>
      </c>
      <c r="J376" s="15">
        <f t="shared" si="80"/>
        <v>31338867.6667669</v>
      </c>
      <c r="K376" s="15">
        <f t="shared" si="81"/>
        <v>100859758.623247</v>
      </c>
      <c r="L376" s="15">
        <f t="shared" si="82"/>
        <v>0.689282741754017</v>
      </c>
      <c r="M376" s="15">
        <f t="shared" si="83"/>
        <v>0.310717258245983</v>
      </c>
      <c r="N376" s="15">
        <f t="shared" si="84"/>
        <v>0.466</v>
      </c>
      <c r="O376" s="15">
        <f t="shared" si="85"/>
        <v>0.534</v>
      </c>
      <c r="P376" s="15">
        <f t="shared" si="86"/>
        <v>1.4791475144936</v>
      </c>
      <c r="Q376" s="15">
        <f t="shared" si="87"/>
        <v>0.581867524805212</v>
      </c>
      <c r="R376" s="7">
        <f t="shared" si="88"/>
        <v>0.101573428933708</v>
      </c>
    </row>
    <row r="377" spans="1:18">
      <c r="A377" s="6">
        <v>2012</v>
      </c>
      <c r="B377" s="19" t="s">
        <v>22</v>
      </c>
      <c r="C377" s="6">
        <v>0.5132</v>
      </c>
      <c r="D377" s="6">
        <v>3548</v>
      </c>
      <c r="E377" s="6">
        <f t="shared" si="78"/>
        <v>1820.8336</v>
      </c>
      <c r="F377" s="6">
        <f t="shared" si="77"/>
        <v>1727.1664</v>
      </c>
      <c r="G377" s="15">
        <v>20411.71</v>
      </c>
      <c r="H377" s="15">
        <v>6356.62709788732</v>
      </c>
      <c r="I377" s="15">
        <f t="shared" si="79"/>
        <v>37166327.401456</v>
      </c>
      <c r="J377" s="15">
        <f t="shared" si="80"/>
        <v>10978952.7408005</v>
      </c>
      <c r="K377" s="15">
        <f t="shared" si="81"/>
        <v>48145280.1422565</v>
      </c>
      <c r="L377" s="15">
        <f t="shared" si="82"/>
        <v>0.771962013548148</v>
      </c>
      <c r="M377" s="15">
        <f t="shared" si="83"/>
        <v>0.228037986451852</v>
      </c>
      <c r="N377" s="15">
        <f t="shared" si="84"/>
        <v>0.5132</v>
      </c>
      <c r="O377" s="15">
        <f t="shared" si="85"/>
        <v>0.4868</v>
      </c>
      <c r="P377" s="15">
        <f t="shared" si="86"/>
        <v>1.50421280894027</v>
      </c>
      <c r="Q377" s="15">
        <f t="shared" si="87"/>
        <v>0.468442864527222</v>
      </c>
      <c r="R377" s="7">
        <f t="shared" si="88"/>
        <v>0.142238121704944</v>
      </c>
    </row>
    <row r="378" spans="1:18">
      <c r="A378" s="6">
        <v>2012</v>
      </c>
      <c r="B378" s="19" t="s">
        <v>23</v>
      </c>
      <c r="C378" s="6">
        <v>0.5842</v>
      </c>
      <c r="D378" s="6">
        <v>2464</v>
      </c>
      <c r="E378" s="6">
        <f t="shared" si="78"/>
        <v>1439.4688</v>
      </c>
      <c r="F378" s="6">
        <f t="shared" ref="F378:F441" si="89">D378-E378</f>
        <v>1024.5312</v>
      </c>
      <c r="G378" s="15">
        <v>23150.26</v>
      </c>
      <c r="H378" s="15">
        <v>7611.30977633815</v>
      </c>
      <c r="I378" s="15">
        <f t="shared" si="79"/>
        <v>33324076.981888</v>
      </c>
      <c r="J378" s="15">
        <f t="shared" si="80"/>
        <v>7798024.33872346</v>
      </c>
      <c r="K378" s="15">
        <f t="shared" si="81"/>
        <v>41122101.3206115</v>
      </c>
      <c r="L378" s="15">
        <f t="shared" si="82"/>
        <v>0.810369020835643</v>
      </c>
      <c r="M378" s="15">
        <f t="shared" si="83"/>
        <v>0.189630979164357</v>
      </c>
      <c r="N378" s="15">
        <f t="shared" si="84"/>
        <v>0.5842</v>
      </c>
      <c r="O378" s="15">
        <f t="shared" si="85"/>
        <v>0.4158</v>
      </c>
      <c r="P378" s="15">
        <f t="shared" si="86"/>
        <v>1.38714313734276</v>
      </c>
      <c r="Q378" s="15">
        <f t="shared" si="87"/>
        <v>0.45606296095324</v>
      </c>
      <c r="R378" s="7">
        <f t="shared" si="88"/>
        <v>0.116306382250561</v>
      </c>
    </row>
    <row r="379" spans="1:18">
      <c r="A379" s="6">
        <v>2012</v>
      </c>
      <c r="B379" s="19" t="s">
        <v>24</v>
      </c>
      <c r="C379" s="6">
        <v>0.6565</v>
      </c>
      <c r="D379" s="6">
        <v>4375</v>
      </c>
      <c r="E379" s="6">
        <f t="shared" si="78"/>
        <v>2872.1875</v>
      </c>
      <c r="F379" s="6">
        <f t="shared" si="89"/>
        <v>1502.8125</v>
      </c>
      <c r="G379" s="15">
        <v>23222.67</v>
      </c>
      <c r="H379" s="15">
        <v>9383.71537308306</v>
      </c>
      <c r="I379" s="15">
        <f t="shared" si="79"/>
        <v>66699862.490625</v>
      </c>
      <c r="J379" s="15">
        <f t="shared" si="80"/>
        <v>14101964.7591114</v>
      </c>
      <c r="K379" s="15">
        <f t="shared" si="81"/>
        <v>80801827.2497364</v>
      </c>
      <c r="L379" s="15">
        <f t="shared" si="82"/>
        <v>0.825474679978139</v>
      </c>
      <c r="M379" s="15">
        <f t="shared" si="83"/>
        <v>0.174525320021861</v>
      </c>
      <c r="N379" s="15">
        <f t="shared" si="84"/>
        <v>0.6565</v>
      </c>
      <c r="O379" s="15">
        <f t="shared" si="85"/>
        <v>0.3435</v>
      </c>
      <c r="P379" s="15">
        <f t="shared" si="86"/>
        <v>1.25738717437645</v>
      </c>
      <c r="Q379" s="15">
        <f t="shared" si="87"/>
        <v>0.508079534270338</v>
      </c>
      <c r="R379" s="7">
        <f t="shared" si="88"/>
        <v>0.0708892236072661</v>
      </c>
    </row>
    <row r="380" spans="1:18">
      <c r="A380" s="6">
        <v>2012</v>
      </c>
      <c r="B380" s="19" t="s">
        <v>25</v>
      </c>
      <c r="C380" s="6">
        <v>0.5454</v>
      </c>
      <c r="D380" s="6">
        <v>2698</v>
      </c>
      <c r="E380" s="6">
        <f t="shared" si="78"/>
        <v>1471.4892</v>
      </c>
      <c r="F380" s="6">
        <f t="shared" si="89"/>
        <v>1226.5108</v>
      </c>
      <c r="G380" s="15">
        <v>20208.04</v>
      </c>
      <c r="H380" s="15">
        <v>8598.16796766004</v>
      </c>
      <c r="I380" s="15">
        <f t="shared" si="79"/>
        <v>29735912.613168</v>
      </c>
      <c r="J380" s="15">
        <f t="shared" si="80"/>
        <v>10545745.8725491</v>
      </c>
      <c r="K380" s="15">
        <f t="shared" si="81"/>
        <v>40281658.4857171</v>
      </c>
      <c r="L380" s="15">
        <f t="shared" si="82"/>
        <v>0.738199809317971</v>
      </c>
      <c r="M380" s="15">
        <f t="shared" si="83"/>
        <v>0.261800190682029</v>
      </c>
      <c r="N380" s="15">
        <f t="shared" si="84"/>
        <v>0.5454</v>
      </c>
      <c r="O380" s="15">
        <f t="shared" si="85"/>
        <v>0.4546</v>
      </c>
      <c r="P380" s="15">
        <f t="shared" si="86"/>
        <v>1.35350166724967</v>
      </c>
      <c r="Q380" s="15">
        <f t="shared" si="87"/>
        <v>0.575891312542958</v>
      </c>
      <c r="R380" s="7">
        <f t="shared" si="88"/>
        <v>0.0789785806468743</v>
      </c>
    </row>
    <row r="381" spans="1:18">
      <c r="A381" s="6">
        <v>2012</v>
      </c>
      <c r="B381" s="19" t="s">
        <v>26</v>
      </c>
      <c r="C381" s="6">
        <v>0.5688</v>
      </c>
      <c r="D381" s="6">
        <v>3724</v>
      </c>
      <c r="E381" s="6">
        <f t="shared" si="78"/>
        <v>2118.2112</v>
      </c>
      <c r="F381" s="6">
        <f t="shared" si="89"/>
        <v>1605.7888</v>
      </c>
      <c r="G381" s="15">
        <v>17759.75</v>
      </c>
      <c r="H381" s="15">
        <v>8603.84943131122</v>
      </c>
      <c r="I381" s="15">
        <f t="shared" si="79"/>
        <v>37618901.3592</v>
      </c>
      <c r="J381" s="15">
        <f t="shared" si="80"/>
        <v>13815965.0536859</v>
      </c>
      <c r="K381" s="15">
        <f t="shared" si="81"/>
        <v>51434866.4128859</v>
      </c>
      <c r="L381" s="15">
        <f t="shared" si="82"/>
        <v>0.731389113703917</v>
      </c>
      <c r="M381" s="15">
        <f t="shared" si="83"/>
        <v>0.268610886296083</v>
      </c>
      <c r="N381" s="15">
        <f t="shared" si="84"/>
        <v>0.5688</v>
      </c>
      <c r="O381" s="15">
        <f t="shared" si="85"/>
        <v>0.4312</v>
      </c>
      <c r="P381" s="15">
        <f t="shared" si="86"/>
        <v>1.28584583984514</v>
      </c>
      <c r="Q381" s="15">
        <f t="shared" si="87"/>
        <v>0.622938047996482</v>
      </c>
      <c r="R381" s="7">
        <f t="shared" si="88"/>
        <v>0.0567477319244613</v>
      </c>
    </row>
    <row r="382" spans="1:18">
      <c r="A382" s="6">
        <v>2012</v>
      </c>
      <c r="B382" s="19" t="s">
        <v>27</v>
      </c>
      <c r="C382" s="6">
        <v>0.893</v>
      </c>
      <c r="D382" s="6">
        <v>2399</v>
      </c>
      <c r="E382" s="6">
        <f t="shared" si="78"/>
        <v>2142.307</v>
      </c>
      <c r="F382" s="6">
        <f t="shared" si="89"/>
        <v>256.693</v>
      </c>
      <c r="G382" s="15">
        <v>40188.34</v>
      </c>
      <c r="H382" s="15">
        <v>17803.6783928379</v>
      </c>
      <c r="I382" s="15">
        <f t="shared" si="79"/>
        <v>86095762.10038</v>
      </c>
      <c r="J382" s="15">
        <f t="shared" si="80"/>
        <v>4570079.61769274</v>
      </c>
      <c r="K382" s="15">
        <f t="shared" si="81"/>
        <v>90665841.7180727</v>
      </c>
      <c r="L382" s="15">
        <f t="shared" si="82"/>
        <v>0.949594251472308</v>
      </c>
      <c r="M382" s="15">
        <f t="shared" si="83"/>
        <v>0.0504057485276924</v>
      </c>
      <c r="N382" s="15">
        <f t="shared" si="84"/>
        <v>0.893</v>
      </c>
      <c r="O382" s="15">
        <f t="shared" si="85"/>
        <v>0.107</v>
      </c>
      <c r="P382" s="15">
        <f t="shared" si="86"/>
        <v>1.06337542158153</v>
      </c>
      <c r="Q382" s="15">
        <f t="shared" si="87"/>
        <v>0.471081761941051</v>
      </c>
      <c r="R382" s="7">
        <f t="shared" si="88"/>
        <v>0.0204092689256188</v>
      </c>
    </row>
    <row r="383" spans="1:18">
      <c r="A383" s="6">
        <v>2012</v>
      </c>
      <c r="B383" s="19" t="s">
        <v>28</v>
      </c>
      <c r="C383" s="6">
        <v>0.6301</v>
      </c>
      <c r="D383" s="6">
        <v>8120</v>
      </c>
      <c r="E383" s="6">
        <f t="shared" si="78"/>
        <v>5116.412</v>
      </c>
      <c r="F383" s="6">
        <f t="shared" si="89"/>
        <v>3003.588</v>
      </c>
      <c r="G383" s="15">
        <v>29676.97</v>
      </c>
      <c r="H383" s="15">
        <v>12201.9532501457</v>
      </c>
      <c r="I383" s="15">
        <f t="shared" si="79"/>
        <v>151839605.43164</v>
      </c>
      <c r="J383" s="15">
        <f t="shared" si="80"/>
        <v>36649640.3586986</v>
      </c>
      <c r="K383" s="15">
        <f t="shared" si="81"/>
        <v>188489245.790339</v>
      </c>
      <c r="L383" s="15">
        <f t="shared" si="82"/>
        <v>0.805561106656106</v>
      </c>
      <c r="M383" s="15">
        <f t="shared" si="83"/>
        <v>0.194438893343894</v>
      </c>
      <c r="N383" s="15">
        <f t="shared" si="84"/>
        <v>0.6301</v>
      </c>
      <c r="O383" s="15">
        <f t="shared" si="85"/>
        <v>0.3699</v>
      </c>
      <c r="P383" s="15">
        <f t="shared" si="86"/>
        <v>1.27846549223315</v>
      </c>
      <c r="Q383" s="15">
        <f t="shared" si="87"/>
        <v>0.525652590818853</v>
      </c>
      <c r="R383" s="7">
        <f t="shared" si="88"/>
        <v>0.0728480421540062</v>
      </c>
    </row>
    <row r="384" spans="1:18">
      <c r="A384" s="6">
        <v>2012</v>
      </c>
      <c r="B384" s="19" t="s">
        <v>29</v>
      </c>
      <c r="C384" s="6">
        <v>0.6291</v>
      </c>
      <c r="D384" s="6">
        <v>5685</v>
      </c>
      <c r="E384" s="6">
        <f t="shared" si="78"/>
        <v>3576.4335</v>
      </c>
      <c r="F384" s="6">
        <f t="shared" si="89"/>
        <v>2108.5665</v>
      </c>
      <c r="G384" s="15">
        <v>34550.3</v>
      </c>
      <c r="H384" s="15">
        <v>14551.9194037551</v>
      </c>
      <c r="I384" s="15">
        <f t="shared" si="79"/>
        <v>123566850.35505</v>
      </c>
      <c r="J384" s="15">
        <f t="shared" si="80"/>
        <v>30683689.765458</v>
      </c>
      <c r="K384" s="15">
        <f t="shared" si="81"/>
        <v>154250540.120508</v>
      </c>
      <c r="L384" s="15">
        <f t="shared" si="82"/>
        <v>0.801078882826041</v>
      </c>
      <c r="M384" s="15">
        <f t="shared" si="83"/>
        <v>0.198921117173959</v>
      </c>
      <c r="N384" s="15">
        <f t="shared" si="84"/>
        <v>0.6291</v>
      </c>
      <c r="O384" s="15">
        <f t="shared" si="85"/>
        <v>0.3709</v>
      </c>
      <c r="P384" s="15">
        <f t="shared" si="86"/>
        <v>1.27337288638697</v>
      </c>
      <c r="Q384" s="15">
        <f t="shared" si="87"/>
        <v>0.536320078657209</v>
      </c>
      <c r="R384" s="7">
        <f t="shared" si="88"/>
        <v>0.0696634327510174</v>
      </c>
    </row>
    <row r="385" spans="1:18">
      <c r="A385" s="6">
        <v>2012</v>
      </c>
      <c r="B385" s="19" t="s">
        <v>30</v>
      </c>
      <c r="C385" s="6">
        <v>0.463</v>
      </c>
      <c r="D385" s="6">
        <v>5978</v>
      </c>
      <c r="E385" s="6">
        <f t="shared" si="78"/>
        <v>2767.814</v>
      </c>
      <c r="F385" s="6">
        <f t="shared" si="89"/>
        <v>3210.186</v>
      </c>
      <c r="G385" s="15">
        <v>21024.21</v>
      </c>
      <c r="H385" s="15">
        <v>7160.45767817155</v>
      </c>
      <c r="I385" s="15">
        <f t="shared" si="79"/>
        <v>58191102.77694</v>
      </c>
      <c r="J385" s="15">
        <f t="shared" si="80"/>
        <v>22986400.9920588</v>
      </c>
      <c r="K385" s="15">
        <f t="shared" si="81"/>
        <v>81177503.7689988</v>
      </c>
      <c r="L385" s="15">
        <f t="shared" si="82"/>
        <v>0.716837794649739</v>
      </c>
      <c r="M385" s="15">
        <f t="shared" si="83"/>
        <v>0.283162205350261</v>
      </c>
      <c r="N385" s="15">
        <f t="shared" si="84"/>
        <v>0.463</v>
      </c>
      <c r="O385" s="15">
        <f t="shared" si="85"/>
        <v>0.537</v>
      </c>
      <c r="P385" s="15">
        <f t="shared" si="86"/>
        <v>1.54824577678129</v>
      </c>
      <c r="Q385" s="15">
        <f t="shared" si="87"/>
        <v>0.527303920577767</v>
      </c>
      <c r="R385" s="7">
        <f t="shared" si="88"/>
        <v>0.132128314898078</v>
      </c>
    </row>
    <row r="386" spans="1:18">
      <c r="A386" s="6">
        <v>2012</v>
      </c>
      <c r="B386" s="19" t="s">
        <v>31</v>
      </c>
      <c r="C386" s="6">
        <v>0.5932</v>
      </c>
      <c r="D386" s="6">
        <v>3841</v>
      </c>
      <c r="E386" s="6">
        <f t="shared" si="78"/>
        <v>2278.4812</v>
      </c>
      <c r="F386" s="6">
        <f t="shared" si="89"/>
        <v>1562.5188</v>
      </c>
      <c r="G386" s="15">
        <v>28055.24</v>
      </c>
      <c r="H386" s="15">
        <v>9967.1699038442</v>
      </c>
      <c r="I386" s="15">
        <f t="shared" si="79"/>
        <v>63923336.901488</v>
      </c>
      <c r="J386" s="15">
        <f t="shared" si="80"/>
        <v>15573890.3575508</v>
      </c>
      <c r="K386" s="15">
        <f t="shared" si="81"/>
        <v>79497227.2590388</v>
      </c>
      <c r="L386" s="15">
        <f t="shared" si="82"/>
        <v>0.8040951754606</v>
      </c>
      <c r="M386" s="15">
        <f t="shared" si="83"/>
        <v>0.1959048245394</v>
      </c>
      <c r="N386" s="15">
        <f t="shared" si="84"/>
        <v>0.5932</v>
      </c>
      <c r="O386" s="15">
        <f t="shared" si="85"/>
        <v>0.4068</v>
      </c>
      <c r="P386" s="15">
        <f t="shared" si="86"/>
        <v>1.35552119936042</v>
      </c>
      <c r="Q386" s="15">
        <f t="shared" si="87"/>
        <v>0.481575281561946</v>
      </c>
      <c r="R386" s="7">
        <f t="shared" si="88"/>
        <v>0.101448291111245</v>
      </c>
    </row>
    <row r="387" spans="1:18">
      <c r="A387" s="6">
        <v>2012</v>
      </c>
      <c r="B387" s="19" t="s">
        <v>32</v>
      </c>
      <c r="C387" s="6">
        <v>0.4739</v>
      </c>
      <c r="D387" s="6">
        <v>4475</v>
      </c>
      <c r="E387" s="6">
        <f t="shared" si="78"/>
        <v>2120.7025</v>
      </c>
      <c r="F387" s="6">
        <f t="shared" si="89"/>
        <v>2354.2975</v>
      </c>
      <c r="G387" s="15">
        <v>19860.36</v>
      </c>
      <c r="H387" s="15">
        <v>7829.43026619633</v>
      </c>
      <c r="I387" s="15">
        <f t="shared" si="79"/>
        <v>42117915.1029</v>
      </c>
      <c r="J387" s="15">
        <f t="shared" si="80"/>
        <v>18432808.1021304</v>
      </c>
      <c r="K387" s="15">
        <f t="shared" si="81"/>
        <v>60550723.2050304</v>
      </c>
      <c r="L387" s="15">
        <f t="shared" si="82"/>
        <v>0.695580711072349</v>
      </c>
      <c r="M387" s="15">
        <f t="shared" si="83"/>
        <v>0.304419288927651</v>
      </c>
      <c r="N387" s="15">
        <f t="shared" si="84"/>
        <v>0.4739</v>
      </c>
      <c r="O387" s="15">
        <f t="shared" si="85"/>
        <v>0.5261</v>
      </c>
      <c r="P387" s="15">
        <f t="shared" si="86"/>
        <v>1.46777951270806</v>
      </c>
      <c r="Q387" s="15">
        <f t="shared" si="87"/>
        <v>0.578633888856968</v>
      </c>
      <c r="R387" s="7">
        <f t="shared" si="88"/>
        <v>0.100386277522706</v>
      </c>
    </row>
    <row r="388" spans="1:18">
      <c r="A388" s="6">
        <v>2012</v>
      </c>
      <c r="B388" s="19" t="s">
        <v>33</v>
      </c>
      <c r="C388" s="6">
        <v>0.5203</v>
      </c>
      <c r="D388" s="6">
        <v>9708</v>
      </c>
      <c r="E388" s="6">
        <f t="shared" si="78"/>
        <v>5051.0724</v>
      </c>
      <c r="F388" s="6">
        <f t="shared" si="89"/>
        <v>4656.9276</v>
      </c>
      <c r="G388" s="15">
        <v>25755.19</v>
      </c>
      <c r="H388" s="15">
        <v>9446.5409017972</v>
      </c>
      <c r="I388" s="15">
        <f t="shared" si="79"/>
        <v>130091329.365756</v>
      </c>
      <c r="J388" s="15">
        <f t="shared" si="80"/>
        <v>43991857.0501083</v>
      </c>
      <c r="K388" s="15">
        <f t="shared" si="81"/>
        <v>174083186.415864</v>
      </c>
      <c r="L388" s="15">
        <f t="shared" si="82"/>
        <v>0.747294049725073</v>
      </c>
      <c r="M388" s="15">
        <f t="shared" si="83"/>
        <v>0.252705950274927</v>
      </c>
      <c r="N388" s="15">
        <f t="shared" si="84"/>
        <v>0.5203</v>
      </c>
      <c r="O388" s="15">
        <f t="shared" si="85"/>
        <v>0.4797</v>
      </c>
      <c r="P388" s="15">
        <f t="shared" si="86"/>
        <v>1.43627532140125</v>
      </c>
      <c r="Q388" s="15">
        <f t="shared" si="87"/>
        <v>0.526799979726761</v>
      </c>
      <c r="R388" s="7">
        <f t="shared" si="88"/>
        <v>0.108592263907005</v>
      </c>
    </row>
    <row r="389" spans="1:18">
      <c r="A389" s="6">
        <v>2012</v>
      </c>
      <c r="B389" s="19" t="s">
        <v>34</v>
      </c>
      <c r="C389" s="6">
        <v>0.4199</v>
      </c>
      <c r="D389" s="6">
        <v>9532</v>
      </c>
      <c r="E389" s="6">
        <f t="shared" si="78"/>
        <v>4002.4868</v>
      </c>
      <c r="F389" s="6">
        <f t="shared" si="89"/>
        <v>5529.5132</v>
      </c>
      <c r="G389" s="15">
        <v>20442.62</v>
      </c>
      <c r="H389" s="15">
        <v>7524.94371627479</v>
      </c>
      <c r="I389" s="15">
        <f t="shared" si="79"/>
        <v>81821316.707416</v>
      </c>
      <c r="J389" s="15">
        <f t="shared" si="80"/>
        <v>41609275.6083985</v>
      </c>
      <c r="K389" s="15">
        <f t="shared" si="81"/>
        <v>123430592.315814</v>
      </c>
      <c r="L389" s="15">
        <f t="shared" si="82"/>
        <v>0.662893332781428</v>
      </c>
      <c r="M389" s="15">
        <f t="shared" si="83"/>
        <v>0.337106667218572</v>
      </c>
      <c r="N389" s="15">
        <f t="shared" si="84"/>
        <v>0.4199</v>
      </c>
      <c r="O389" s="15">
        <f t="shared" si="85"/>
        <v>0.5801</v>
      </c>
      <c r="P389" s="15">
        <f t="shared" si="86"/>
        <v>1.57869333836968</v>
      </c>
      <c r="Q389" s="15">
        <f t="shared" si="87"/>
        <v>0.581118198963234</v>
      </c>
      <c r="R389" s="7">
        <f t="shared" si="88"/>
        <v>0.119693570521651</v>
      </c>
    </row>
    <row r="390" spans="1:18">
      <c r="A390" s="6">
        <v>2012</v>
      </c>
      <c r="B390" s="19" t="s">
        <v>35</v>
      </c>
      <c r="C390" s="6">
        <v>0.5323</v>
      </c>
      <c r="D390" s="6">
        <v>5781</v>
      </c>
      <c r="E390" s="6">
        <f t="shared" si="78"/>
        <v>3077.2263</v>
      </c>
      <c r="F390" s="6">
        <f t="shared" si="89"/>
        <v>2703.7737</v>
      </c>
      <c r="G390" s="15">
        <v>20839.59</v>
      </c>
      <c r="H390" s="15">
        <v>7851.71213431745</v>
      </c>
      <c r="I390" s="15">
        <f t="shared" si="79"/>
        <v>64128134.429217</v>
      </c>
      <c r="J390" s="15">
        <f t="shared" si="80"/>
        <v>21229252.7687384</v>
      </c>
      <c r="K390" s="15">
        <f t="shared" si="81"/>
        <v>85357387.1979554</v>
      </c>
      <c r="L390" s="15">
        <f t="shared" si="82"/>
        <v>0.751289800852211</v>
      </c>
      <c r="M390" s="15">
        <f t="shared" si="83"/>
        <v>0.248710199147789</v>
      </c>
      <c r="N390" s="15">
        <f t="shared" si="84"/>
        <v>0.5323</v>
      </c>
      <c r="O390" s="15">
        <f t="shared" si="85"/>
        <v>0.4677</v>
      </c>
      <c r="P390" s="15">
        <f t="shared" si="86"/>
        <v>1.41140296985198</v>
      </c>
      <c r="Q390" s="15">
        <f t="shared" si="87"/>
        <v>0.531772929544128</v>
      </c>
      <c r="R390" s="7">
        <f t="shared" si="88"/>
        <v>0.101812495783371</v>
      </c>
    </row>
    <row r="391" spans="1:18">
      <c r="A391" s="6">
        <v>2012</v>
      </c>
      <c r="B391" s="19" t="s">
        <v>36</v>
      </c>
      <c r="C391" s="6">
        <v>0.4622</v>
      </c>
      <c r="D391" s="6">
        <v>6590</v>
      </c>
      <c r="E391" s="6">
        <f t="shared" si="78"/>
        <v>3045.898</v>
      </c>
      <c r="F391" s="6">
        <f t="shared" si="89"/>
        <v>3544.102</v>
      </c>
      <c r="G391" s="15">
        <v>21318.76</v>
      </c>
      <c r="H391" s="15">
        <v>7440.16920790789</v>
      </c>
      <c r="I391" s="15">
        <f t="shared" si="79"/>
        <v>64934768.44648</v>
      </c>
      <c r="J391" s="15">
        <f t="shared" si="80"/>
        <v>26368718.5700848</v>
      </c>
      <c r="K391" s="15">
        <f t="shared" si="81"/>
        <v>91303487.0165648</v>
      </c>
      <c r="L391" s="15">
        <f t="shared" si="82"/>
        <v>0.711197026184763</v>
      </c>
      <c r="M391" s="15">
        <f t="shared" si="83"/>
        <v>0.288802973815237</v>
      </c>
      <c r="N391" s="15">
        <f t="shared" si="84"/>
        <v>0.4622</v>
      </c>
      <c r="O391" s="15">
        <f t="shared" si="85"/>
        <v>0.5378</v>
      </c>
      <c r="P391" s="15">
        <f t="shared" si="86"/>
        <v>1.53872138940883</v>
      </c>
      <c r="Q391" s="15">
        <f t="shared" si="87"/>
        <v>0.537008132791441</v>
      </c>
      <c r="R391" s="7">
        <f t="shared" si="88"/>
        <v>0.126930692087805</v>
      </c>
    </row>
    <row r="392" spans="1:18">
      <c r="A392" s="6">
        <v>2012</v>
      </c>
      <c r="B392" s="19" t="s">
        <v>37</v>
      </c>
      <c r="C392" s="6">
        <v>0.6715</v>
      </c>
      <c r="D392" s="6">
        <v>11041</v>
      </c>
      <c r="E392" s="6">
        <f t="shared" si="78"/>
        <v>7414.0315</v>
      </c>
      <c r="F392" s="6">
        <f t="shared" si="89"/>
        <v>3626.9685</v>
      </c>
      <c r="G392" s="15">
        <v>30226.71</v>
      </c>
      <c r="H392" s="15">
        <v>10542.8438558638</v>
      </c>
      <c r="I392" s="15">
        <f t="shared" si="79"/>
        <v>224101780.081365</v>
      </c>
      <c r="J392" s="15">
        <f t="shared" si="80"/>
        <v>38238562.5656365</v>
      </c>
      <c r="K392" s="15">
        <f t="shared" si="81"/>
        <v>262340342.647002</v>
      </c>
      <c r="L392" s="15">
        <f t="shared" si="82"/>
        <v>0.854240631921834</v>
      </c>
      <c r="M392" s="15">
        <f t="shared" si="83"/>
        <v>0.145759368078166</v>
      </c>
      <c r="N392" s="15">
        <f t="shared" si="84"/>
        <v>0.6715</v>
      </c>
      <c r="O392" s="15">
        <f t="shared" si="85"/>
        <v>0.3285</v>
      </c>
      <c r="P392" s="15">
        <f t="shared" si="86"/>
        <v>1.27213794776148</v>
      </c>
      <c r="Q392" s="15">
        <f t="shared" si="87"/>
        <v>0.443711927178588</v>
      </c>
      <c r="R392" s="7">
        <f t="shared" si="88"/>
        <v>0.0871736783468898</v>
      </c>
    </row>
    <row r="393" spans="1:18">
      <c r="A393" s="6">
        <v>2012</v>
      </c>
      <c r="B393" s="19" t="s">
        <v>38</v>
      </c>
      <c r="C393" s="6">
        <v>0.4348</v>
      </c>
      <c r="D393" s="6">
        <v>4694</v>
      </c>
      <c r="E393" s="6">
        <f t="shared" si="78"/>
        <v>2040.9512</v>
      </c>
      <c r="F393" s="6">
        <f t="shared" si="89"/>
        <v>2653.0488</v>
      </c>
      <c r="G393" s="15">
        <v>21242.8</v>
      </c>
      <c r="H393" s="15">
        <v>6007.54978408754</v>
      </c>
      <c r="I393" s="15">
        <f t="shared" si="79"/>
        <v>43355518.15136</v>
      </c>
      <c r="J393" s="15">
        <f t="shared" si="80"/>
        <v>15938322.7456137</v>
      </c>
      <c r="K393" s="15">
        <f t="shared" si="81"/>
        <v>59293840.8969737</v>
      </c>
      <c r="L393" s="15">
        <f t="shared" si="82"/>
        <v>0.731197667337702</v>
      </c>
      <c r="M393" s="15">
        <f t="shared" si="83"/>
        <v>0.268802332662298</v>
      </c>
      <c r="N393" s="15">
        <f t="shared" si="84"/>
        <v>0.4348</v>
      </c>
      <c r="O393" s="15">
        <f t="shared" si="85"/>
        <v>0.5652</v>
      </c>
      <c r="P393" s="15">
        <f t="shared" si="86"/>
        <v>1.68168736738202</v>
      </c>
      <c r="Q393" s="15">
        <f t="shared" si="87"/>
        <v>0.475587991263797</v>
      </c>
      <c r="R393" s="7">
        <f t="shared" si="88"/>
        <v>0.180300049307952</v>
      </c>
    </row>
    <row r="394" spans="1:18">
      <c r="A394" s="6">
        <v>2012</v>
      </c>
      <c r="B394" s="19" t="s">
        <v>39</v>
      </c>
      <c r="C394" s="6">
        <v>0.5102</v>
      </c>
      <c r="D394" s="6">
        <v>910</v>
      </c>
      <c r="E394" s="6">
        <f t="shared" si="78"/>
        <v>464.282</v>
      </c>
      <c r="F394" s="6">
        <f t="shared" si="89"/>
        <v>445.718</v>
      </c>
      <c r="G394" s="15">
        <v>20917.71</v>
      </c>
      <c r="H394" s="15">
        <v>7408.00290113861</v>
      </c>
      <c r="I394" s="15">
        <f t="shared" si="79"/>
        <v>9711716.23422</v>
      </c>
      <c r="J394" s="15">
        <f t="shared" si="80"/>
        <v>3301880.2370897</v>
      </c>
      <c r="K394" s="15">
        <f t="shared" si="81"/>
        <v>13013596.4713097</v>
      </c>
      <c r="L394" s="15">
        <f t="shared" si="82"/>
        <v>0.746274579485451</v>
      </c>
      <c r="M394" s="15">
        <f t="shared" si="83"/>
        <v>0.253725420514549</v>
      </c>
      <c r="N394" s="15">
        <f t="shared" si="84"/>
        <v>0.5102</v>
      </c>
      <c r="O394" s="15">
        <f t="shared" si="85"/>
        <v>0.4898</v>
      </c>
      <c r="P394" s="15">
        <f t="shared" si="86"/>
        <v>1.4627098774705</v>
      </c>
      <c r="Q394" s="15">
        <f t="shared" si="87"/>
        <v>0.518018416730397</v>
      </c>
      <c r="R394" s="7">
        <f t="shared" si="88"/>
        <v>0.116914857962202</v>
      </c>
    </row>
    <row r="395" spans="1:18">
      <c r="A395" s="6">
        <v>2012</v>
      </c>
      <c r="B395" s="19" t="s">
        <v>40</v>
      </c>
      <c r="C395" s="6">
        <v>0.5664</v>
      </c>
      <c r="D395" s="6">
        <v>2975</v>
      </c>
      <c r="E395" s="6">
        <f t="shared" si="78"/>
        <v>1685.04</v>
      </c>
      <c r="F395" s="6">
        <f t="shared" si="89"/>
        <v>1289.96</v>
      </c>
      <c r="G395" s="15">
        <v>22968.14</v>
      </c>
      <c r="H395" s="15">
        <v>7383.27446186705</v>
      </c>
      <c r="I395" s="15">
        <f t="shared" si="79"/>
        <v>38702234.6256</v>
      </c>
      <c r="J395" s="15">
        <f t="shared" si="80"/>
        <v>9524128.72483002</v>
      </c>
      <c r="K395" s="15">
        <f t="shared" si="81"/>
        <v>48226363.35043</v>
      </c>
      <c r="L395" s="15">
        <f t="shared" si="82"/>
        <v>0.802511985910605</v>
      </c>
      <c r="M395" s="15">
        <f t="shared" si="83"/>
        <v>0.197488014089395</v>
      </c>
      <c r="N395" s="15">
        <f t="shared" si="84"/>
        <v>0.5664</v>
      </c>
      <c r="O395" s="15">
        <f t="shared" si="85"/>
        <v>0.4336</v>
      </c>
      <c r="P395" s="15">
        <f t="shared" si="86"/>
        <v>1.41686438190432</v>
      </c>
      <c r="Q395" s="15">
        <f t="shared" si="87"/>
        <v>0.455461287106539</v>
      </c>
      <c r="R395" s="7">
        <f t="shared" si="88"/>
        <v>0.124318917135398</v>
      </c>
    </row>
    <row r="396" spans="1:18">
      <c r="A396" s="6">
        <v>2012</v>
      </c>
      <c r="B396" s="19" t="s">
        <v>41</v>
      </c>
      <c r="C396" s="6">
        <v>0.4335</v>
      </c>
      <c r="D396" s="6">
        <v>8085</v>
      </c>
      <c r="E396" s="6">
        <f t="shared" si="78"/>
        <v>3504.8475</v>
      </c>
      <c r="F396" s="6">
        <f t="shared" si="89"/>
        <v>4580.1525</v>
      </c>
      <c r="G396" s="15">
        <v>20306.99</v>
      </c>
      <c r="H396" s="15">
        <v>7001.42624987089</v>
      </c>
      <c r="I396" s="15">
        <f t="shared" si="79"/>
        <v>71172903.134025</v>
      </c>
      <c r="J396" s="15">
        <f t="shared" si="80"/>
        <v>32067599.9419118</v>
      </c>
      <c r="K396" s="15">
        <f t="shared" si="81"/>
        <v>103240503.075937</v>
      </c>
      <c r="L396" s="15">
        <f t="shared" si="82"/>
        <v>0.689389348303301</v>
      </c>
      <c r="M396" s="15">
        <f t="shared" si="83"/>
        <v>0.310610651696699</v>
      </c>
      <c r="N396" s="15">
        <f t="shared" si="84"/>
        <v>0.4335</v>
      </c>
      <c r="O396" s="15">
        <f t="shared" si="85"/>
        <v>0.5665</v>
      </c>
      <c r="P396" s="15">
        <f t="shared" si="86"/>
        <v>1.59028684729712</v>
      </c>
      <c r="Q396" s="15">
        <f t="shared" si="87"/>
        <v>0.548297708202469</v>
      </c>
      <c r="R396" s="7">
        <f t="shared" si="88"/>
        <v>0.13316025594692</v>
      </c>
    </row>
    <row r="397" spans="1:18">
      <c r="A397" s="6">
        <v>2012</v>
      </c>
      <c r="B397" s="19" t="s">
        <v>42</v>
      </c>
      <c r="C397" s="6">
        <v>0.363</v>
      </c>
      <c r="D397" s="6">
        <v>3587</v>
      </c>
      <c r="E397" s="6">
        <f t="shared" si="78"/>
        <v>1302.081</v>
      </c>
      <c r="F397" s="6">
        <f t="shared" si="89"/>
        <v>2284.919</v>
      </c>
      <c r="G397" s="15">
        <v>18700.51</v>
      </c>
      <c r="H397" s="15">
        <v>4752.99889400126</v>
      </c>
      <c r="I397" s="15">
        <f t="shared" si="79"/>
        <v>24349578.76131</v>
      </c>
      <c r="J397" s="15">
        <f t="shared" si="80"/>
        <v>10860217.4798825</v>
      </c>
      <c r="K397" s="15">
        <f t="shared" si="81"/>
        <v>35209796.2411925</v>
      </c>
      <c r="L397" s="15">
        <f t="shared" si="82"/>
        <v>0.691556934738039</v>
      </c>
      <c r="M397" s="15">
        <f t="shared" si="83"/>
        <v>0.308443065261961</v>
      </c>
      <c r="N397" s="15">
        <f t="shared" si="84"/>
        <v>0.363</v>
      </c>
      <c r="O397" s="15">
        <f t="shared" si="85"/>
        <v>0.637</v>
      </c>
      <c r="P397" s="15">
        <f t="shared" si="86"/>
        <v>1.90511552269432</v>
      </c>
      <c r="Q397" s="15">
        <f t="shared" si="87"/>
        <v>0.484212033378274</v>
      </c>
      <c r="R397" s="7">
        <f t="shared" si="88"/>
        <v>0.222045039207336</v>
      </c>
    </row>
    <row r="398" spans="1:18">
      <c r="A398" s="6">
        <v>2012</v>
      </c>
      <c r="B398" s="19" t="s">
        <v>43</v>
      </c>
      <c r="C398" s="6">
        <v>0.3847</v>
      </c>
      <c r="D398" s="6">
        <v>4631</v>
      </c>
      <c r="E398" s="6">
        <f t="shared" si="78"/>
        <v>1781.5457</v>
      </c>
      <c r="F398" s="6">
        <f t="shared" si="89"/>
        <v>2849.4543</v>
      </c>
      <c r="G398" s="15">
        <v>21074.5</v>
      </c>
      <c r="H398" s="15">
        <v>5416.54000532981</v>
      </c>
      <c r="I398" s="15">
        <f t="shared" si="79"/>
        <v>37545184.85465</v>
      </c>
      <c r="J398" s="15">
        <f t="shared" si="80"/>
        <v>15434183.2093091</v>
      </c>
      <c r="K398" s="15">
        <f t="shared" si="81"/>
        <v>52979368.063959</v>
      </c>
      <c r="L398" s="15">
        <f t="shared" si="82"/>
        <v>0.708675588756057</v>
      </c>
      <c r="M398" s="15">
        <f t="shared" si="83"/>
        <v>0.291324411243943</v>
      </c>
      <c r="N398" s="15">
        <f t="shared" si="84"/>
        <v>0.3847</v>
      </c>
      <c r="O398" s="15">
        <f t="shared" si="85"/>
        <v>0.6153</v>
      </c>
      <c r="P398" s="15">
        <f t="shared" si="86"/>
        <v>1.8421512574891</v>
      </c>
      <c r="Q398" s="15">
        <f t="shared" si="87"/>
        <v>0.473467270021036</v>
      </c>
      <c r="R398" s="7">
        <f t="shared" si="88"/>
        <v>0.2151387992241</v>
      </c>
    </row>
    <row r="399" spans="1:18">
      <c r="A399" s="6">
        <v>2012</v>
      </c>
      <c r="B399" s="19" t="s">
        <v>44</v>
      </c>
      <c r="C399" s="6">
        <v>0.2287</v>
      </c>
      <c r="D399" s="6">
        <v>315</v>
      </c>
      <c r="E399" s="6">
        <f t="shared" si="78"/>
        <v>72.0405</v>
      </c>
      <c r="F399" s="6">
        <f t="shared" si="89"/>
        <v>242.9595</v>
      </c>
      <c r="G399" s="15">
        <v>18028.32</v>
      </c>
      <c r="H399" s="15">
        <v>5719.38050778056</v>
      </c>
      <c r="I399" s="15">
        <f t="shared" si="79"/>
        <v>1298769.18696</v>
      </c>
      <c r="J399" s="15">
        <f t="shared" si="80"/>
        <v>1389577.82848011</v>
      </c>
      <c r="K399" s="15">
        <f t="shared" si="81"/>
        <v>2688347.01544011</v>
      </c>
      <c r="L399" s="15">
        <f t="shared" si="82"/>
        <v>0.483110691997989</v>
      </c>
      <c r="M399" s="15">
        <f t="shared" si="83"/>
        <v>0.516889308002011</v>
      </c>
      <c r="N399" s="15">
        <f t="shared" si="84"/>
        <v>0.2287</v>
      </c>
      <c r="O399" s="15">
        <f t="shared" si="85"/>
        <v>0.7713</v>
      </c>
      <c r="P399" s="15">
        <f t="shared" si="86"/>
        <v>2.11242104065583</v>
      </c>
      <c r="Q399" s="15">
        <f t="shared" si="87"/>
        <v>0.670153387789461</v>
      </c>
      <c r="R399" s="7">
        <f t="shared" si="88"/>
        <v>0.154402689825434</v>
      </c>
    </row>
    <row r="400" spans="1:18">
      <c r="A400" s="6">
        <v>2012</v>
      </c>
      <c r="B400" s="19" t="s">
        <v>45</v>
      </c>
      <c r="C400" s="6">
        <v>0.4971</v>
      </c>
      <c r="D400" s="6">
        <v>3787</v>
      </c>
      <c r="E400" s="6">
        <f t="shared" si="78"/>
        <v>1882.5177</v>
      </c>
      <c r="F400" s="6">
        <f t="shared" si="89"/>
        <v>1904.4823</v>
      </c>
      <c r="G400" s="15">
        <v>20733.88</v>
      </c>
      <c r="H400" s="15">
        <v>5762.51543521732</v>
      </c>
      <c r="I400" s="15">
        <f t="shared" si="79"/>
        <v>39031896.089676</v>
      </c>
      <c r="J400" s="15">
        <f t="shared" si="80"/>
        <v>10974608.6498482</v>
      </c>
      <c r="K400" s="15">
        <f t="shared" si="81"/>
        <v>50006504.7395242</v>
      </c>
      <c r="L400" s="15">
        <f t="shared" si="82"/>
        <v>0.780536378076949</v>
      </c>
      <c r="M400" s="15">
        <f t="shared" si="83"/>
        <v>0.219463621923051</v>
      </c>
      <c r="N400" s="15">
        <f t="shared" si="84"/>
        <v>0.4971</v>
      </c>
      <c r="O400" s="15">
        <f t="shared" si="85"/>
        <v>0.5029</v>
      </c>
      <c r="P400" s="15">
        <f t="shared" si="86"/>
        <v>1.57017979898803</v>
      </c>
      <c r="Q400" s="15">
        <f t="shared" si="87"/>
        <v>0.436396146198152</v>
      </c>
      <c r="R400" s="7">
        <f t="shared" si="88"/>
        <v>0.170190012364672</v>
      </c>
    </row>
    <row r="401" spans="1:18">
      <c r="A401" s="6">
        <v>2012</v>
      </c>
      <c r="B401" s="19" t="s">
        <v>46</v>
      </c>
      <c r="C401" s="6">
        <v>0.3878</v>
      </c>
      <c r="D401" s="6">
        <v>2550</v>
      </c>
      <c r="E401" s="6">
        <f t="shared" si="78"/>
        <v>988.89</v>
      </c>
      <c r="F401" s="6">
        <f t="shared" si="89"/>
        <v>1561.11</v>
      </c>
      <c r="G401" s="15">
        <v>17156.89</v>
      </c>
      <c r="H401" s="15">
        <v>4506.66398937397</v>
      </c>
      <c r="I401" s="15">
        <f t="shared" si="79"/>
        <v>16966276.9521</v>
      </c>
      <c r="J401" s="15">
        <f t="shared" si="80"/>
        <v>7035398.2204516</v>
      </c>
      <c r="K401" s="15">
        <f t="shared" si="81"/>
        <v>24001675.1725516</v>
      </c>
      <c r="L401" s="15">
        <f t="shared" si="82"/>
        <v>0.706878867001029</v>
      </c>
      <c r="M401" s="15">
        <f t="shared" si="83"/>
        <v>0.293121132998971</v>
      </c>
      <c r="N401" s="15">
        <f t="shared" si="84"/>
        <v>0.3878</v>
      </c>
      <c r="O401" s="15">
        <f t="shared" si="85"/>
        <v>0.6122</v>
      </c>
      <c r="P401" s="15">
        <f t="shared" si="86"/>
        <v>1.82279233367981</v>
      </c>
      <c r="Q401" s="15">
        <f t="shared" si="87"/>
        <v>0.478799629204461</v>
      </c>
      <c r="R401" s="7">
        <f t="shared" si="88"/>
        <v>0.208512741126575</v>
      </c>
    </row>
    <row r="402" spans="1:18">
      <c r="A402" s="6">
        <v>2012</v>
      </c>
      <c r="B402" s="19" t="s">
        <v>47</v>
      </c>
      <c r="C402" s="6">
        <v>0.4785</v>
      </c>
      <c r="D402" s="6">
        <v>571</v>
      </c>
      <c r="E402" s="6">
        <f t="shared" si="78"/>
        <v>273.2235</v>
      </c>
      <c r="F402" s="6">
        <f t="shared" si="89"/>
        <v>297.7765</v>
      </c>
      <c r="G402" s="15">
        <v>17566.28</v>
      </c>
      <c r="H402" s="15">
        <v>5364.38121473941</v>
      </c>
      <c r="I402" s="15">
        <f t="shared" si="79"/>
        <v>4799520.50358</v>
      </c>
      <c r="J402" s="15">
        <f t="shared" si="80"/>
        <v>1597386.66279085</v>
      </c>
      <c r="K402" s="15">
        <f t="shared" si="81"/>
        <v>6396907.16637085</v>
      </c>
      <c r="L402" s="15">
        <f t="shared" si="82"/>
        <v>0.750287659138081</v>
      </c>
      <c r="M402" s="15">
        <f t="shared" si="83"/>
        <v>0.249712340861919</v>
      </c>
      <c r="N402" s="15">
        <f t="shared" si="84"/>
        <v>0.4785</v>
      </c>
      <c r="O402" s="15">
        <f t="shared" si="85"/>
        <v>0.5215</v>
      </c>
      <c r="P402" s="15">
        <f t="shared" si="86"/>
        <v>1.56799928764489</v>
      </c>
      <c r="Q402" s="15">
        <f t="shared" si="87"/>
        <v>0.478834785928896</v>
      </c>
      <c r="R402" s="7">
        <f t="shared" si="88"/>
        <v>0.153591658114704</v>
      </c>
    </row>
    <row r="403" spans="1:18">
      <c r="A403" s="6">
        <v>2012</v>
      </c>
      <c r="B403" s="19" t="s">
        <v>48</v>
      </c>
      <c r="C403" s="6">
        <v>0.5115</v>
      </c>
      <c r="D403" s="6">
        <v>659</v>
      </c>
      <c r="E403" s="6">
        <f t="shared" si="78"/>
        <v>337.0785</v>
      </c>
      <c r="F403" s="6">
        <f t="shared" si="89"/>
        <v>321.9215</v>
      </c>
      <c r="G403" s="15">
        <v>19831.41</v>
      </c>
      <c r="H403" s="15">
        <v>6180.32342848526</v>
      </c>
      <c r="I403" s="15">
        <f t="shared" si="79"/>
        <v>6684741.935685</v>
      </c>
      <c r="J403" s="15">
        <f t="shared" si="80"/>
        <v>1989578.98858312</v>
      </c>
      <c r="K403" s="15">
        <f t="shared" si="81"/>
        <v>8674320.92426812</v>
      </c>
      <c r="L403" s="15">
        <f t="shared" si="82"/>
        <v>0.770635764349359</v>
      </c>
      <c r="M403" s="15">
        <f t="shared" si="83"/>
        <v>0.229364235650641</v>
      </c>
      <c r="N403" s="15">
        <f t="shared" si="84"/>
        <v>0.5115</v>
      </c>
      <c r="O403" s="15">
        <f t="shared" si="85"/>
        <v>0.4885</v>
      </c>
      <c r="P403" s="15">
        <f t="shared" si="86"/>
        <v>1.50661928514049</v>
      </c>
      <c r="Q403" s="15">
        <f t="shared" si="87"/>
        <v>0.469527606244915</v>
      </c>
      <c r="R403" s="7">
        <f t="shared" si="88"/>
        <v>0.142453311052789</v>
      </c>
    </row>
    <row r="404" spans="1:18">
      <c r="A404" s="6">
        <v>2012</v>
      </c>
      <c r="B404" s="19" t="s">
        <v>49</v>
      </c>
      <c r="C404" s="6">
        <v>0.4422</v>
      </c>
      <c r="D404" s="6">
        <v>2253</v>
      </c>
      <c r="E404" s="6">
        <f t="shared" si="78"/>
        <v>996.2766</v>
      </c>
      <c r="F404" s="6">
        <f t="shared" si="89"/>
        <v>1256.7234</v>
      </c>
      <c r="G404" s="15">
        <v>17920.68</v>
      </c>
      <c r="H404" s="15">
        <v>6393.6781021749</v>
      </c>
      <c r="I404" s="15">
        <f t="shared" si="79"/>
        <v>17853954.140088</v>
      </c>
      <c r="J404" s="15">
        <f t="shared" si="80"/>
        <v>8035084.88307079</v>
      </c>
      <c r="K404" s="15">
        <f t="shared" si="81"/>
        <v>25889039.0231588</v>
      </c>
      <c r="L404" s="15">
        <f t="shared" si="82"/>
        <v>0.6896337142571</v>
      </c>
      <c r="M404" s="15">
        <f t="shared" si="83"/>
        <v>0.3103662857429</v>
      </c>
      <c r="N404" s="15">
        <f t="shared" si="84"/>
        <v>0.4422</v>
      </c>
      <c r="O404" s="15">
        <f t="shared" si="85"/>
        <v>0.5578</v>
      </c>
      <c r="P404" s="15">
        <f t="shared" si="86"/>
        <v>1.55955159262121</v>
      </c>
      <c r="Q404" s="15">
        <f t="shared" si="87"/>
        <v>0.556411412231803</v>
      </c>
      <c r="R404" s="7">
        <f t="shared" si="88"/>
        <v>0.124520677746923</v>
      </c>
    </row>
    <row r="405" spans="1:18">
      <c r="A405" s="6">
        <v>2013</v>
      </c>
      <c r="B405" s="19" t="s">
        <v>19</v>
      </c>
      <c r="C405" s="6">
        <v>0.8639</v>
      </c>
      <c r="D405" s="6">
        <v>2125</v>
      </c>
      <c r="E405" s="6">
        <f t="shared" si="78"/>
        <v>1835.7875</v>
      </c>
      <c r="F405" s="6">
        <f t="shared" si="89"/>
        <v>289.2125</v>
      </c>
      <c r="G405" s="15">
        <v>40320.9959358063</v>
      </c>
      <c r="H405" s="15">
        <v>18337.451664942</v>
      </c>
      <c r="I405" s="15">
        <f t="shared" si="79"/>
        <v>74020780.326504</v>
      </c>
      <c r="J405" s="15">
        <f t="shared" si="80"/>
        <v>5303420.23964704</v>
      </c>
      <c r="K405" s="15">
        <f t="shared" si="81"/>
        <v>79324200.5661511</v>
      </c>
      <c r="L405" s="15">
        <f t="shared" si="82"/>
        <v>0.93314246848004</v>
      </c>
      <c r="M405" s="15">
        <f t="shared" si="83"/>
        <v>0.0668575315199596</v>
      </c>
      <c r="N405" s="15">
        <f t="shared" si="84"/>
        <v>0.8639</v>
      </c>
      <c r="O405" s="15">
        <f t="shared" si="85"/>
        <v>0.1361</v>
      </c>
      <c r="P405" s="15">
        <f t="shared" si="86"/>
        <v>1.08015102266471</v>
      </c>
      <c r="Q405" s="15">
        <f t="shared" si="87"/>
        <v>0.491238291843935</v>
      </c>
      <c r="R405" s="7">
        <f t="shared" si="88"/>
        <v>0.0244220251817434</v>
      </c>
    </row>
    <row r="406" spans="1:18">
      <c r="A406" s="6">
        <v>2013</v>
      </c>
      <c r="B406" s="19" t="s">
        <v>20</v>
      </c>
      <c r="C406" s="6">
        <v>0.8229</v>
      </c>
      <c r="D406" s="6">
        <v>1410</v>
      </c>
      <c r="E406" s="6">
        <f t="shared" si="78"/>
        <v>1160.289</v>
      </c>
      <c r="F406" s="6">
        <f t="shared" si="89"/>
        <v>249.711</v>
      </c>
      <c r="G406" s="15">
        <v>32293.5726846756</v>
      </c>
      <c r="H406" s="15">
        <v>15841.0463589461</v>
      </c>
      <c r="I406" s="15">
        <f t="shared" si="79"/>
        <v>37469877.1567296</v>
      </c>
      <c r="J406" s="15">
        <f t="shared" si="80"/>
        <v>3955683.52733879</v>
      </c>
      <c r="K406" s="15">
        <f t="shared" si="81"/>
        <v>41425560.6840684</v>
      </c>
      <c r="L406" s="15">
        <f t="shared" si="82"/>
        <v>0.90451104434031</v>
      </c>
      <c r="M406" s="15">
        <f t="shared" si="83"/>
        <v>0.0954889556596897</v>
      </c>
      <c r="N406" s="15">
        <f t="shared" si="84"/>
        <v>0.8229</v>
      </c>
      <c r="O406" s="15">
        <f t="shared" si="85"/>
        <v>0.1771</v>
      </c>
      <c r="P406" s="15">
        <f t="shared" si="86"/>
        <v>1.09917492324743</v>
      </c>
      <c r="Q406" s="15">
        <f t="shared" si="87"/>
        <v>0.539181003160303</v>
      </c>
      <c r="R406" s="7">
        <f t="shared" si="88"/>
        <v>0.0265465040684461</v>
      </c>
    </row>
    <row r="407" spans="1:18">
      <c r="A407" s="6">
        <v>2013</v>
      </c>
      <c r="B407" s="19" t="s">
        <v>21</v>
      </c>
      <c r="C407" s="6">
        <v>0.4802</v>
      </c>
      <c r="D407" s="6">
        <v>7288</v>
      </c>
      <c r="E407" s="6">
        <f t="shared" si="78"/>
        <v>3499.6976</v>
      </c>
      <c r="F407" s="6">
        <f t="shared" si="89"/>
        <v>3788.3024</v>
      </c>
      <c r="G407" s="15">
        <v>22580.345389949</v>
      </c>
      <c r="H407" s="15">
        <v>9101.89526384705</v>
      </c>
      <c r="I407" s="15">
        <f t="shared" si="79"/>
        <v>79024380.5683756</v>
      </c>
      <c r="J407" s="15">
        <f t="shared" si="80"/>
        <v>34480731.6725804</v>
      </c>
      <c r="K407" s="15">
        <f t="shared" si="81"/>
        <v>113505112.240956</v>
      </c>
      <c r="L407" s="15">
        <f t="shared" si="82"/>
        <v>0.696218690138093</v>
      </c>
      <c r="M407" s="15">
        <f t="shared" si="83"/>
        <v>0.303781309861907</v>
      </c>
      <c r="N407" s="15">
        <f t="shared" si="84"/>
        <v>0.4802</v>
      </c>
      <c r="O407" s="15">
        <f t="shared" si="85"/>
        <v>0.5198</v>
      </c>
      <c r="P407" s="15">
        <f t="shared" si="86"/>
        <v>1.44985149966283</v>
      </c>
      <c r="Q407" s="15">
        <f t="shared" si="87"/>
        <v>0.584419603428063</v>
      </c>
      <c r="R407" s="7">
        <f t="shared" si="88"/>
        <v>0.095446291950777</v>
      </c>
    </row>
    <row r="408" spans="1:18">
      <c r="A408" s="6">
        <v>2013</v>
      </c>
      <c r="B408" s="19" t="s">
        <v>22</v>
      </c>
      <c r="C408" s="6">
        <v>0.5288</v>
      </c>
      <c r="D408" s="6">
        <v>3535</v>
      </c>
      <c r="E408" s="6">
        <f t="shared" ref="E408:E471" si="90">C408*D408</f>
        <v>1869.308</v>
      </c>
      <c r="F408" s="6">
        <f t="shared" si="89"/>
        <v>1665.692</v>
      </c>
      <c r="G408" s="15">
        <v>22455.6342156523</v>
      </c>
      <c r="H408" s="15">
        <v>7153.50412616484</v>
      </c>
      <c r="I408" s="15">
        <f t="shared" si="79"/>
        <v>41976496.6843926</v>
      </c>
      <c r="J408" s="15">
        <f t="shared" si="80"/>
        <v>11915534.5949198</v>
      </c>
      <c r="K408" s="15">
        <f t="shared" si="81"/>
        <v>53892031.2793123</v>
      </c>
      <c r="L408" s="15">
        <f t="shared" si="82"/>
        <v>0.778899879776961</v>
      </c>
      <c r="M408" s="15">
        <f t="shared" si="83"/>
        <v>0.22110012022304</v>
      </c>
      <c r="N408" s="15">
        <f t="shared" si="84"/>
        <v>0.5288</v>
      </c>
      <c r="O408" s="15">
        <f t="shared" si="85"/>
        <v>0.4712</v>
      </c>
      <c r="P408" s="15">
        <f t="shared" si="86"/>
        <v>1.47295741258881</v>
      </c>
      <c r="Q408" s="15">
        <f t="shared" si="87"/>
        <v>0.469227759386756</v>
      </c>
      <c r="R408" s="7">
        <f t="shared" si="88"/>
        <v>0.134347124694556</v>
      </c>
    </row>
    <row r="409" spans="1:18">
      <c r="A409" s="6">
        <v>2013</v>
      </c>
      <c r="B409" s="19" t="s">
        <v>23</v>
      </c>
      <c r="C409" s="6">
        <v>0.5982</v>
      </c>
      <c r="D409" s="6">
        <v>2455</v>
      </c>
      <c r="E409" s="6">
        <f t="shared" si="90"/>
        <v>1468.581</v>
      </c>
      <c r="F409" s="6">
        <f t="shared" si="89"/>
        <v>986.419</v>
      </c>
      <c r="G409" s="15">
        <v>25496.6668375088</v>
      </c>
      <c r="H409" s="15">
        <v>8595.72624566525</v>
      </c>
      <c r="I409" s="15">
        <f t="shared" si="79"/>
        <v>37443920.4808955</v>
      </c>
      <c r="J409" s="15">
        <f t="shared" si="80"/>
        <v>8478987.68752287</v>
      </c>
      <c r="K409" s="15">
        <f t="shared" si="81"/>
        <v>45922908.1684184</v>
      </c>
      <c r="L409" s="15">
        <f t="shared" si="82"/>
        <v>0.815364748756178</v>
      </c>
      <c r="M409" s="15">
        <f t="shared" si="83"/>
        <v>0.184635251243822</v>
      </c>
      <c r="N409" s="15">
        <f t="shared" si="84"/>
        <v>0.5982</v>
      </c>
      <c r="O409" s="15">
        <f t="shared" si="85"/>
        <v>0.4018</v>
      </c>
      <c r="P409" s="15">
        <f t="shared" si="86"/>
        <v>1.3630303389438</v>
      </c>
      <c r="Q409" s="15">
        <f t="shared" si="87"/>
        <v>0.459520286818869</v>
      </c>
      <c r="R409" s="7">
        <f t="shared" si="88"/>
        <v>0.108959715424948</v>
      </c>
    </row>
    <row r="410" spans="1:18">
      <c r="A410" s="6">
        <v>2013</v>
      </c>
      <c r="B410" s="19" t="s">
        <v>24</v>
      </c>
      <c r="C410" s="6">
        <v>0.6645</v>
      </c>
      <c r="D410" s="6">
        <v>4365</v>
      </c>
      <c r="E410" s="6">
        <f t="shared" si="90"/>
        <v>2900.5425</v>
      </c>
      <c r="F410" s="6">
        <f t="shared" si="89"/>
        <v>1464.4575</v>
      </c>
      <c r="G410" s="15">
        <v>25578.1706164722</v>
      </c>
      <c r="H410" s="15">
        <v>10522.6920679225</v>
      </c>
      <c r="I410" s="15">
        <f t="shared" si="79"/>
        <v>74190570.9453288</v>
      </c>
      <c r="J410" s="15">
        <f t="shared" si="80"/>
        <v>15410035.3190596</v>
      </c>
      <c r="K410" s="15">
        <f t="shared" si="81"/>
        <v>89600606.2643884</v>
      </c>
      <c r="L410" s="15">
        <f t="shared" si="82"/>
        <v>0.828014162386485</v>
      </c>
      <c r="M410" s="15">
        <f t="shared" si="83"/>
        <v>0.171985837613515</v>
      </c>
      <c r="N410" s="15">
        <f t="shared" si="84"/>
        <v>0.6645</v>
      </c>
      <c r="O410" s="15">
        <f t="shared" si="85"/>
        <v>0.3355</v>
      </c>
      <c r="P410" s="15">
        <f t="shared" si="86"/>
        <v>1.24607097424603</v>
      </c>
      <c r="Q410" s="15">
        <f t="shared" si="87"/>
        <v>0.512625447432236</v>
      </c>
      <c r="R410" s="7">
        <f t="shared" si="88"/>
        <v>0.0672366646303074</v>
      </c>
    </row>
    <row r="411" spans="1:18">
      <c r="A411" s="6">
        <v>2013</v>
      </c>
      <c r="B411" s="19" t="s">
        <v>25</v>
      </c>
      <c r="C411" s="6">
        <v>0.5574</v>
      </c>
      <c r="D411" s="6">
        <v>2668</v>
      </c>
      <c r="E411" s="6">
        <f t="shared" si="90"/>
        <v>1487.1432</v>
      </c>
      <c r="F411" s="6">
        <f t="shared" si="89"/>
        <v>1180.8568</v>
      </c>
      <c r="G411" s="15">
        <v>22274.5969404952</v>
      </c>
      <c r="H411" s="15">
        <v>9621.20975015412</v>
      </c>
      <c r="I411" s="15">
        <f t="shared" si="79"/>
        <v>33125515.3727982</v>
      </c>
      <c r="J411" s="15">
        <f t="shared" si="80"/>
        <v>11361270.9576958</v>
      </c>
      <c r="K411" s="15">
        <f t="shared" si="81"/>
        <v>44486786.330494</v>
      </c>
      <c r="L411" s="15">
        <f t="shared" si="82"/>
        <v>0.744614707088696</v>
      </c>
      <c r="M411" s="15">
        <f t="shared" si="83"/>
        <v>0.255385292911304</v>
      </c>
      <c r="N411" s="15">
        <f t="shared" si="84"/>
        <v>0.5574</v>
      </c>
      <c r="O411" s="15">
        <f t="shared" si="85"/>
        <v>0.4426</v>
      </c>
      <c r="P411" s="15">
        <f t="shared" si="86"/>
        <v>1.33587137977879</v>
      </c>
      <c r="Q411" s="15">
        <f t="shared" si="87"/>
        <v>0.577011506803668</v>
      </c>
      <c r="R411" s="7">
        <f t="shared" si="88"/>
        <v>0.0751937520162866</v>
      </c>
    </row>
    <row r="412" spans="1:18">
      <c r="A412" s="6">
        <v>2013</v>
      </c>
      <c r="B412" s="19" t="s">
        <v>26</v>
      </c>
      <c r="C412" s="6">
        <v>0.5804</v>
      </c>
      <c r="D412" s="6">
        <v>3666</v>
      </c>
      <c r="E412" s="6">
        <f t="shared" si="90"/>
        <v>2127.7464</v>
      </c>
      <c r="F412" s="6">
        <f t="shared" si="89"/>
        <v>1538.2536</v>
      </c>
      <c r="G412" s="15">
        <v>19596.9649122831</v>
      </c>
      <c r="H412" s="15">
        <v>9634.13606230616</v>
      </c>
      <c r="I412" s="15">
        <f t="shared" si="79"/>
        <v>41697371.5430367</v>
      </c>
      <c r="J412" s="15">
        <f t="shared" si="80"/>
        <v>14819744.4807323</v>
      </c>
      <c r="K412" s="15">
        <f t="shared" si="81"/>
        <v>56517116.023769</v>
      </c>
      <c r="L412" s="15">
        <f t="shared" si="82"/>
        <v>0.737783073104798</v>
      </c>
      <c r="M412" s="15">
        <f t="shared" si="83"/>
        <v>0.262216926895202</v>
      </c>
      <c r="N412" s="15">
        <f t="shared" si="84"/>
        <v>0.5804</v>
      </c>
      <c r="O412" s="15">
        <f t="shared" si="85"/>
        <v>0.4196</v>
      </c>
      <c r="P412" s="15">
        <f t="shared" si="86"/>
        <v>1.27116311699655</v>
      </c>
      <c r="Q412" s="15">
        <f t="shared" si="87"/>
        <v>0.624921179445191</v>
      </c>
      <c r="R412" s="7">
        <f t="shared" si="88"/>
        <v>0.0537420271834608</v>
      </c>
    </row>
    <row r="413" spans="1:18">
      <c r="A413" s="6">
        <v>2013</v>
      </c>
      <c r="B413" s="19" t="s">
        <v>27</v>
      </c>
      <c r="C413" s="6">
        <v>0.896</v>
      </c>
      <c r="D413" s="6">
        <v>2448</v>
      </c>
      <c r="E413" s="6">
        <f t="shared" si="90"/>
        <v>2193.408</v>
      </c>
      <c r="F413" s="6">
        <f t="shared" si="89"/>
        <v>254.592</v>
      </c>
      <c r="G413" s="15">
        <v>43851.3575579343</v>
      </c>
      <c r="H413" s="15">
        <v>19595.0025927726</v>
      </c>
      <c r="I413" s="15">
        <f t="shared" si="79"/>
        <v>96183918.4784335</v>
      </c>
      <c r="J413" s="15">
        <f t="shared" si="80"/>
        <v>4988730.90009916</v>
      </c>
      <c r="K413" s="15">
        <f t="shared" si="81"/>
        <v>101172649.378533</v>
      </c>
      <c r="L413" s="15">
        <f t="shared" si="82"/>
        <v>0.950690913693146</v>
      </c>
      <c r="M413" s="15">
        <f t="shared" si="83"/>
        <v>0.0493090863068541</v>
      </c>
      <c r="N413" s="15">
        <f t="shared" si="84"/>
        <v>0.896</v>
      </c>
      <c r="O413" s="15">
        <f t="shared" si="85"/>
        <v>0.104</v>
      </c>
      <c r="P413" s="15">
        <f t="shared" si="86"/>
        <v>1.06103896617539</v>
      </c>
      <c r="Q413" s="15">
        <f t="shared" si="87"/>
        <v>0.474125829873597</v>
      </c>
      <c r="R413" s="7">
        <f t="shared" si="88"/>
        <v>0.0195285816547244</v>
      </c>
    </row>
    <row r="414" spans="1:18">
      <c r="A414" s="6">
        <v>2013</v>
      </c>
      <c r="B414" s="19" t="s">
        <v>28</v>
      </c>
      <c r="C414" s="6">
        <v>0.6439</v>
      </c>
      <c r="D414" s="6">
        <v>8192</v>
      </c>
      <c r="E414" s="6">
        <f t="shared" si="90"/>
        <v>5274.8288</v>
      </c>
      <c r="F414" s="6">
        <f t="shared" si="89"/>
        <v>2917.1712</v>
      </c>
      <c r="G414" s="15">
        <v>32537.5287715054</v>
      </c>
      <c r="H414" s="15">
        <v>13597.7733706964</v>
      </c>
      <c r="I414" s="15">
        <f t="shared" si="79"/>
        <v>171629893.844765</v>
      </c>
      <c r="J414" s="15">
        <f t="shared" si="80"/>
        <v>39667032.8611225</v>
      </c>
      <c r="K414" s="15">
        <f t="shared" si="81"/>
        <v>211296926.705888</v>
      </c>
      <c r="L414" s="15">
        <f t="shared" si="82"/>
        <v>0.812268765667678</v>
      </c>
      <c r="M414" s="15">
        <f t="shared" si="83"/>
        <v>0.187731234332322</v>
      </c>
      <c r="N414" s="15">
        <f t="shared" si="84"/>
        <v>0.6439</v>
      </c>
      <c r="O414" s="15">
        <f t="shared" si="85"/>
        <v>0.3561</v>
      </c>
      <c r="P414" s="15">
        <f t="shared" si="86"/>
        <v>1.26148278563081</v>
      </c>
      <c r="Q414" s="15">
        <f t="shared" si="87"/>
        <v>0.52718684170829</v>
      </c>
      <c r="R414" s="7">
        <f t="shared" si="88"/>
        <v>0.0684945754788549</v>
      </c>
    </row>
    <row r="415" spans="1:18">
      <c r="A415" s="6">
        <v>2013</v>
      </c>
      <c r="B415" s="19" t="s">
        <v>29</v>
      </c>
      <c r="C415" s="6">
        <v>0.6394</v>
      </c>
      <c r="D415" s="6">
        <v>5784</v>
      </c>
      <c r="E415" s="6">
        <f t="shared" si="90"/>
        <v>3698.2896</v>
      </c>
      <c r="F415" s="6">
        <f t="shared" si="89"/>
        <v>2085.7104</v>
      </c>
      <c r="G415" s="15">
        <v>37850.8359474466</v>
      </c>
      <c r="H415" s="15">
        <v>16105.9717098614</v>
      </c>
      <c r="I415" s="15">
        <f t="shared" si="79"/>
        <v>139983352.935748</v>
      </c>
      <c r="J415" s="15">
        <f t="shared" si="80"/>
        <v>33592392.6973637</v>
      </c>
      <c r="K415" s="15">
        <f t="shared" si="81"/>
        <v>173575745.633112</v>
      </c>
      <c r="L415" s="15">
        <f t="shared" si="82"/>
        <v>0.806468394677859</v>
      </c>
      <c r="M415" s="15">
        <f t="shared" si="83"/>
        <v>0.193531605322141</v>
      </c>
      <c r="N415" s="15">
        <f t="shared" si="84"/>
        <v>0.6394</v>
      </c>
      <c r="O415" s="15">
        <f t="shared" si="85"/>
        <v>0.3606</v>
      </c>
      <c r="P415" s="15">
        <f t="shared" si="86"/>
        <v>1.26128932542674</v>
      </c>
      <c r="Q415" s="15">
        <f t="shared" si="87"/>
        <v>0.536693303721966</v>
      </c>
      <c r="R415" s="7">
        <f t="shared" si="88"/>
        <v>0.0667688857999064</v>
      </c>
    </row>
    <row r="416" spans="1:18">
      <c r="A416" s="6">
        <v>2013</v>
      </c>
      <c r="B416" s="19" t="s">
        <v>30</v>
      </c>
      <c r="C416" s="6">
        <v>0.4787</v>
      </c>
      <c r="D416" s="6">
        <v>5988</v>
      </c>
      <c r="E416" s="6">
        <f t="shared" si="90"/>
        <v>2866.4556</v>
      </c>
      <c r="F416" s="6">
        <f t="shared" si="89"/>
        <v>3121.5444</v>
      </c>
      <c r="G416" s="15">
        <v>23114.2150794044</v>
      </c>
      <c r="H416" s="15">
        <v>8097.86342008983</v>
      </c>
      <c r="I416" s="15">
        <f t="shared" ref="I416:I479" si="91">E416*G416</f>
        <v>66255871.2539632</v>
      </c>
      <c r="J416" s="15">
        <f t="shared" ref="J416:J479" si="92">F416*H416</f>
        <v>25277840.2109463</v>
      </c>
      <c r="K416" s="15">
        <f t="shared" ref="K416:K479" si="93">I416+J416</f>
        <v>91533711.4649094</v>
      </c>
      <c r="L416" s="15">
        <f t="shared" ref="L416:L479" si="94">I416/K416</f>
        <v>0.723841196796256</v>
      </c>
      <c r="M416" s="15">
        <f t="shared" ref="M416:M479" si="95">J416/K416</f>
        <v>0.276158803203744</v>
      </c>
      <c r="N416" s="15">
        <f t="shared" ref="N416:N479" si="96">C416</f>
        <v>0.4787</v>
      </c>
      <c r="O416" s="15">
        <f t="shared" ref="O416:O479" si="97">F416/D416</f>
        <v>0.5213</v>
      </c>
      <c r="P416" s="15">
        <f t="shared" ref="P416:P479" si="98">(L416/N416)</f>
        <v>1.51209775808702</v>
      </c>
      <c r="Q416" s="15">
        <f t="shared" ref="Q416:Q479" si="99">M416/O416</f>
        <v>0.529750245930835</v>
      </c>
      <c r="R416" s="7">
        <f t="shared" ref="R416:R479" si="100">L416*LN(P416)+M416*LN(Q416)</f>
        <v>0.123849446865485</v>
      </c>
    </row>
    <row r="417" spans="1:18">
      <c r="A417" s="6">
        <v>2013</v>
      </c>
      <c r="B417" s="19" t="s">
        <v>31</v>
      </c>
      <c r="C417" s="6">
        <v>0.608</v>
      </c>
      <c r="D417" s="6">
        <v>3885</v>
      </c>
      <c r="E417" s="6">
        <f t="shared" si="90"/>
        <v>2362.08</v>
      </c>
      <c r="F417" s="6">
        <f t="shared" si="89"/>
        <v>1522.92</v>
      </c>
      <c r="G417" s="15">
        <v>30816.3743351841</v>
      </c>
      <c r="H417" s="15">
        <v>11184.1520751803</v>
      </c>
      <c r="I417" s="15">
        <f t="shared" si="91"/>
        <v>72790741.4896516</v>
      </c>
      <c r="J417" s="15">
        <f t="shared" si="92"/>
        <v>17032568.8783336</v>
      </c>
      <c r="K417" s="15">
        <f t="shared" si="93"/>
        <v>89823310.3679852</v>
      </c>
      <c r="L417" s="15">
        <f t="shared" si="94"/>
        <v>0.810376963301006</v>
      </c>
      <c r="M417" s="15">
        <f t="shared" si="95"/>
        <v>0.189623036698994</v>
      </c>
      <c r="N417" s="15">
        <f t="shared" si="96"/>
        <v>0.608</v>
      </c>
      <c r="O417" s="15">
        <f t="shared" si="97"/>
        <v>0.392</v>
      </c>
      <c r="P417" s="15">
        <f t="shared" si="98"/>
        <v>1.33285684753455</v>
      </c>
      <c r="Q417" s="15">
        <f t="shared" si="99"/>
        <v>0.483732236477025</v>
      </c>
      <c r="R417" s="7">
        <f t="shared" si="100"/>
        <v>0.0951325187822691</v>
      </c>
    </row>
    <row r="418" spans="1:18">
      <c r="A418" s="6">
        <v>2013</v>
      </c>
      <c r="B418" s="19" t="s">
        <v>32</v>
      </c>
      <c r="C418" s="6">
        <v>0.4904</v>
      </c>
      <c r="D418" s="6">
        <v>4476</v>
      </c>
      <c r="E418" s="6">
        <f t="shared" si="90"/>
        <v>2195.0304</v>
      </c>
      <c r="F418" s="6">
        <f t="shared" si="89"/>
        <v>2280.9696</v>
      </c>
      <c r="G418" s="15">
        <v>21872.6814457674</v>
      </c>
      <c r="H418" s="15">
        <v>8781.47081664016</v>
      </c>
      <c r="I418" s="15">
        <f t="shared" si="91"/>
        <v>48011200.7029754</v>
      </c>
      <c r="J418" s="15">
        <f t="shared" si="92"/>
        <v>20030267.9760434</v>
      </c>
      <c r="K418" s="15">
        <f t="shared" si="93"/>
        <v>68041468.6790188</v>
      </c>
      <c r="L418" s="15">
        <f t="shared" si="94"/>
        <v>0.70561676041217</v>
      </c>
      <c r="M418" s="15">
        <f t="shared" si="95"/>
        <v>0.294383239587829</v>
      </c>
      <c r="N418" s="15">
        <f t="shared" si="96"/>
        <v>0.4904</v>
      </c>
      <c r="O418" s="15">
        <f t="shared" si="97"/>
        <v>0.5096</v>
      </c>
      <c r="P418" s="15">
        <f t="shared" si="98"/>
        <v>1.43885962563656</v>
      </c>
      <c r="Q418" s="15">
        <f t="shared" si="99"/>
        <v>0.577675116930592</v>
      </c>
      <c r="R418" s="7">
        <f t="shared" si="100"/>
        <v>0.0951983411024743</v>
      </c>
    </row>
    <row r="419" spans="1:18">
      <c r="A419" s="6">
        <v>2013</v>
      </c>
      <c r="B419" s="19" t="s">
        <v>33</v>
      </c>
      <c r="C419" s="6">
        <v>0.5346</v>
      </c>
      <c r="D419" s="6">
        <v>9746</v>
      </c>
      <c r="E419" s="6">
        <f t="shared" si="90"/>
        <v>5210.2116</v>
      </c>
      <c r="F419" s="6">
        <f t="shared" si="89"/>
        <v>4535.7884</v>
      </c>
      <c r="G419" s="15">
        <v>28264.1028633474</v>
      </c>
      <c r="H419" s="15">
        <v>10619.9490733895</v>
      </c>
      <c r="I419" s="15">
        <f t="shared" si="91"/>
        <v>147261956.602206</v>
      </c>
      <c r="J419" s="15">
        <f t="shared" si="92"/>
        <v>48169841.8156708</v>
      </c>
      <c r="K419" s="15">
        <f t="shared" si="93"/>
        <v>195431798.417877</v>
      </c>
      <c r="L419" s="15">
        <f t="shared" si="94"/>
        <v>0.753520961247703</v>
      </c>
      <c r="M419" s="15">
        <f t="shared" si="95"/>
        <v>0.246479038752297</v>
      </c>
      <c r="N419" s="15">
        <f t="shared" si="96"/>
        <v>0.5346</v>
      </c>
      <c r="O419" s="15">
        <f t="shared" si="97"/>
        <v>0.4654</v>
      </c>
      <c r="P419" s="15">
        <f t="shared" si="98"/>
        <v>1.40950422979368</v>
      </c>
      <c r="Q419" s="15">
        <f t="shared" si="99"/>
        <v>0.529606873124831</v>
      </c>
      <c r="R419" s="7">
        <f t="shared" si="100"/>
        <v>0.101969972485127</v>
      </c>
    </row>
    <row r="420" spans="1:18">
      <c r="A420" s="6">
        <v>2013</v>
      </c>
      <c r="B420" s="19" t="s">
        <v>34</v>
      </c>
      <c r="C420" s="6">
        <v>0.436</v>
      </c>
      <c r="D420" s="6">
        <v>9573</v>
      </c>
      <c r="E420" s="6">
        <f t="shared" si="90"/>
        <v>4173.828</v>
      </c>
      <c r="F420" s="6">
        <f t="shared" si="89"/>
        <v>5399.172</v>
      </c>
      <c r="G420" s="15">
        <v>22398.0317207717</v>
      </c>
      <c r="H420" s="15">
        <v>8475.3359865458</v>
      </c>
      <c r="I420" s="15">
        <f t="shared" si="91"/>
        <v>93485531.9410451</v>
      </c>
      <c r="J420" s="15">
        <f t="shared" si="92"/>
        <v>45759796.7491505</v>
      </c>
      <c r="K420" s="15">
        <f t="shared" si="93"/>
        <v>139245328.690196</v>
      </c>
      <c r="L420" s="15">
        <f t="shared" si="94"/>
        <v>0.671372841160362</v>
      </c>
      <c r="M420" s="15">
        <f t="shared" si="95"/>
        <v>0.328627158839638</v>
      </c>
      <c r="N420" s="15">
        <f t="shared" si="96"/>
        <v>0.436</v>
      </c>
      <c r="O420" s="15">
        <f t="shared" si="97"/>
        <v>0.564</v>
      </c>
      <c r="P420" s="15">
        <f t="shared" si="98"/>
        <v>1.53984596596413</v>
      </c>
      <c r="Q420" s="15">
        <f t="shared" si="99"/>
        <v>0.582672267446166</v>
      </c>
      <c r="R420" s="7">
        <f t="shared" si="100"/>
        <v>0.112318313719261</v>
      </c>
    </row>
    <row r="421" spans="1:18">
      <c r="A421" s="6">
        <v>2013</v>
      </c>
      <c r="B421" s="19" t="s">
        <v>35</v>
      </c>
      <c r="C421" s="6">
        <v>0.5451</v>
      </c>
      <c r="D421" s="6">
        <v>5798</v>
      </c>
      <c r="E421" s="6">
        <f t="shared" si="90"/>
        <v>3160.4898</v>
      </c>
      <c r="F421" s="6">
        <f t="shared" si="89"/>
        <v>2637.5102</v>
      </c>
      <c r="G421" s="15">
        <v>22906.4243647653</v>
      </c>
      <c r="H421" s="15">
        <v>8866.95461463017</v>
      </c>
      <c r="I421" s="15">
        <f t="shared" si="91"/>
        <v>72395520.5593122</v>
      </c>
      <c r="J421" s="15">
        <f t="shared" si="92"/>
        <v>23386683.2390241</v>
      </c>
      <c r="K421" s="15">
        <f t="shared" si="93"/>
        <v>95782203.7983364</v>
      </c>
      <c r="L421" s="15">
        <f t="shared" si="94"/>
        <v>0.755834776069014</v>
      </c>
      <c r="M421" s="15">
        <f t="shared" si="95"/>
        <v>0.244165223930986</v>
      </c>
      <c r="N421" s="15">
        <f t="shared" si="96"/>
        <v>0.5451</v>
      </c>
      <c r="O421" s="15">
        <f t="shared" si="97"/>
        <v>0.4549</v>
      </c>
      <c r="P421" s="15">
        <f t="shared" si="98"/>
        <v>1.38659837840582</v>
      </c>
      <c r="Q421" s="15">
        <f t="shared" si="99"/>
        <v>0.53674483167946</v>
      </c>
      <c r="R421" s="7">
        <f t="shared" si="100"/>
        <v>0.0951197400756308</v>
      </c>
    </row>
    <row r="422" spans="1:18">
      <c r="A422" s="6">
        <v>2013</v>
      </c>
      <c r="B422" s="19" t="s">
        <v>36</v>
      </c>
      <c r="C422" s="6">
        <v>0.4763</v>
      </c>
      <c r="D422" s="6">
        <v>6600</v>
      </c>
      <c r="E422" s="6">
        <f t="shared" si="90"/>
        <v>3143.58</v>
      </c>
      <c r="F422" s="6">
        <f t="shared" si="89"/>
        <v>3456.42</v>
      </c>
      <c r="G422" s="15">
        <v>23413.9904390456</v>
      </c>
      <c r="H422" s="15">
        <v>8372.13465167467</v>
      </c>
      <c r="I422" s="15">
        <f t="shared" si="91"/>
        <v>73603752.064375</v>
      </c>
      <c r="J422" s="15">
        <f t="shared" si="92"/>
        <v>28937613.6527414</v>
      </c>
      <c r="K422" s="15">
        <f t="shared" si="93"/>
        <v>102541365.717116</v>
      </c>
      <c r="L422" s="15">
        <f t="shared" si="94"/>
        <v>0.71779570663636</v>
      </c>
      <c r="M422" s="15">
        <f t="shared" si="95"/>
        <v>0.28220429336364</v>
      </c>
      <c r="N422" s="15">
        <f t="shared" si="96"/>
        <v>0.4763</v>
      </c>
      <c r="O422" s="15">
        <f t="shared" si="97"/>
        <v>0.5237</v>
      </c>
      <c r="P422" s="15">
        <f t="shared" si="98"/>
        <v>1.50702436833164</v>
      </c>
      <c r="Q422" s="15">
        <f t="shared" si="99"/>
        <v>0.538866323016306</v>
      </c>
      <c r="R422" s="7">
        <f t="shared" si="100"/>
        <v>0.11991118501073</v>
      </c>
    </row>
    <row r="423" spans="1:18">
      <c r="A423" s="6">
        <v>2013</v>
      </c>
      <c r="B423" s="19" t="s">
        <v>37</v>
      </c>
      <c r="C423" s="6">
        <v>0.6809</v>
      </c>
      <c r="D423" s="6">
        <v>11270</v>
      </c>
      <c r="E423" s="6">
        <f t="shared" si="90"/>
        <v>7673.743</v>
      </c>
      <c r="F423" s="6">
        <f t="shared" si="89"/>
        <v>3596.257</v>
      </c>
      <c r="G423" s="15">
        <v>33090.0494465654</v>
      </c>
      <c r="H423" s="15">
        <v>11669.30939953</v>
      </c>
      <c r="I423" s="15">
        <f t="shared" si="91"/>
        <v>253924535.310235</v>
      </c>
      <c r="J423" s="15">
        <f t="shared" si="92"/>
        <v>41965835.6132256</v>
      </c>
      <c r="K423" s="15">
        <f t="shared" si="93"/>
        <v>295890370.923461</v>
      </c>
      <c r="L423" s="15">
        <f t="shared" si="94"/>
        <v>0.858170999339208</v>
      </c>
      <c r="M423" s="15">
        <f t="shared" si="95"/>
        <v>0.141829000660792</v>
      </c>
      <c r="N423" s="15">
        <f t="shared" si="96"/>
        <v>0.6809</v>
      </c>
      <c r="O423" s="15">
        <f t="shared" si="97"/>
        <v>0.3191</v>
      </c>
      <c r="P423" s="15">
        <f t="shared" si="98"/>
        <v>1.26034806776209</v>
      </c>
      <c r="Q423" s="15">
        <f t="shared" si="99"/>
        <v>0.444465686809126</v>
      </c>
      <c r="R423" s="7">
        <f t="shared" si="100"/>
        <v>0.0835637650381548</v>
      </c>
    </row>
    <row r="424" spans="1:18">
      <c r="A424" s="6">
        <v>2013</v>
      </c>
      <c r="B424" s="19" t="s">
        <v>38</v>
      </c>
      <c r="C424" s="6">
        <v>0.4511</v>
      </c>
      <c r="D424" s="6">
        <v>4731</v>
      </c>
      <c r="E424" s="6">
        <f t="shared" si="90"/>
        <v>2134.1541</v>
      </c>
      <c r="F424" s="6">
        <f t="shared" si="89"/>
        <v>2596.8459</v>
      </c>
      <c r="G424" s="15">
        <v>23305.3776910123</v>
      </c>
      <c r="H424" s="15">
        <v>6790.89899142467</v>
      </c>
      <c r="I424" s="15">
        <f t="shared" si="91"/>
        <v>49737267.3513224</v>
      </c>
      <c r="J424" s="15">
        <f t="shared" si="92"/>
        <v>17634918.2031953</v>
      </c>
      <c r="K424" s="15">
        <f t="shared" si="93"/>
        <v>67372185.5545177</v>
      </c>
      <c r="L424" s="15">
        <f t="shared" si="94"/>
        <v>0.738246309540826</v>
      </c>
      <c r="M424" s="15">
        <f t="shared" si="95"/>
        <v>0.261753690459174</v>
      </c>
      <c r="N424" s="15">
        <f t="shared" si="96"/>
        <v>0.4511</v>
      </c>
      <c r="O424" s="15">
        <f t="shared" si="97"/>
        <v>0.5489</v>
      </c>
      <c r="P424" s="15">
        <f t="shared" si="98"/>
        <v>1.6365469065414</v>
      </c>
      <c r="Q424" s="15">
        <f t="shared" si="99"/>
        <v>0.476869539914692</v>
      </c>
      <c r="R424" s="7">
        <f t="shared" si="100"/>
        <v>0.169819791113872</v>
      </c>
    </row>
    <row r="425" spans="1:18">
      <c r="A425" s="6">
        <v>2013</v>
      </c>
      <c r="B425" s="19" t="s">
        <v>39</v>
      </c>
      <c r="C425" s="6">
        <v>0.5228</v>
      </c>
      <c r="D425" s="6">
        <v>920</v>
      </c>
      <c r="E425" s="6">
        <f t="shared" si="90"/>
        <v>480.976</v>
      </c>
      <c r="F425" s="6">
        <f t="shared" si="89"/>
        <v>439.024</v>
      </c>
      <c r="G425" s="15">
        <v>22928.9035017146</v>
      </c>
      <c r="H425" s="15">
        <v>8342.56645371202</v>
      </c>
      <c r="I425" s="15">
        <f t="shared" si="91"/>
        <v>11028252.2906407</v>
      </c>
      <c r="J425" s="15">
        <f t="shared" si="92"/>
        <v>3662586.89477446</v>
      </c>
      <c r="K425" s="15">
        <f t="shared" si="93"/>
        <v>14690839.1854151</v>
      </c>
      <c r="L425" s="15">
        <f t="shared" si="94"/>
        <v>0.750689062173478</v>
      </c>
      <c r="M425" s="15">
        <f t="shared" si="95"/>
        <v>0.249310937826522</v>
      </c>
      <c r="N425" s="15">
        <f t="shared" si="96"/>
        <v>0.5228</v>
      </c>
      <c r="O425" s="15">
        <f t="shared" si="97"/>
        <v>0.4772</v>
      </c>
      <c r="P425" s="15">
        <f t="shared" si="98"/>
        <v>1.43590103705715</v>
      </c>
      <c r="Q425" s="15">
        <f t="shared" si="99"/>
        <v>0.522445385219031</v>
      </c>
      <c r="R425" s="7">
        <f t="shared" si="100"/>
        <v>0.10973236851217</v>
      </c>
    </row>
    <row r="426" spans="1:18">
      <c r="A426" s="6">
        <v>2013</v>
      </c>
      <c r="B426" s="19" t="s">
        <v>40</v>
      </c>
      <c r="C426" s="6">
        <v>0.5829</v>
      </c>
      <c r="D426" s="6">
        <v>3011</v>
      </c>
      <c r="E426" s="6">
        <f t="shared" si="90"/>
        <v>1755.1119</v>
      </c>
      <c r="F426" s="6">
        <f t="shared" si="89"/>
        <v>1255.8881</v>
      </c>
      <c r="G426" s="15">
        <v>25216.1271103792</v>
      </c>
      <c r="H426" s="15">
        <v>8331.9676748746</v>
      </c>
      <c r="I426" s="15">
        <f t="shared" si="91"/>
        <v>44257124.7633391</v>
      </c>
      <c r="J426" s="15">
        <f t="shared" si="92"/>
        <v>10464019.0524597</v>
      </c>
      <c r="K426" s="15">
        <f t="shared" si="93"/>
        <v>54721143.8157988</v>
      </c>
      <c r="L426" s="15">
        <f t="shared" si="94"/>
        <v>0.808775578820438</v>
      </c>
      <c r="M426" s="15">
        <f t="shared" si="95"/>
        <v>0.191224421179562</v>
      </c>
      <c r="N426" s="15">
        <f t="shared" si="96"/>
        <v>0.5829</v>
      </c>
      <c r="O426" s="15">
        <f t="shared" si="97"/>
        <v>0.4171</v>
      </c>
      <c r="P426" s="15">
        <f t="shared" si="98"/>
        <v>1.38750313745143</v>
      </c>
      <c r="Q426" s="15">
        <f t="shared" si="99"/>
        <v>0.458461810547978</v>
      </c>
      <c r="R426" s="7">
        <f t="shared" si="100"/>
        <v>0.115746942256816</v>
      </c>
    </row>
    <row r="427" spans="1:18">
      <c r="A427" s="6">
        <v>2013</v>
      </c>
      <c r="B427" s="19" t="s">
        <v>41</v>
      </c>
      <c r="C427" s="6">
        <v>0.4496</v>
      </c>
      <c r="D427" s="6">
        <v>8109</v>
      </c>
      <c r="E427" s="6">
        <f t="shared" si="90"/>
        <v>3645.8064</v>
      </c>
      <c r="F427" s="6">
        <f t="shared" si="89"/>
        <v>4463.1936</v>
      </c>
      <c r="G427" s="15">
        <v>22367.6329824838</v>
      </c>
      <c r="H427" s="15">
        <v>7895.33492093423</v>
      </c>
      <c r="I427" s="15">
        <f t="shared" si="91"/>
        <v>81548059.4803905</v>
      </c>
      <c r="J427" s="15">
        <f t="shared" si="92"/>
        <v>35238408.2889702</v>
      </c>
      <c r="K427" s="15">
        <f t="shared" si="93"/>
        <v>116786467.769361</v>
      </c>
      <c r="L427" s="15">
        <f t="shared" si="94"/>
        <v>0.69826634059554</v>
      </c>
      <c r="M427" s="15">
        <f t="shared" si="95"/>
        <v>0.30173365940446</v>
      </c>
      <c r="N427" s="15">
        <f t="shared" si="96"/>
        <v>0.4496</v>
      </c>
      <c r="O427" s="15">
        <f t="shared" si="97"/>
        <v>0.5504</v>
      </c>
      <c r="P427" s="15">
        <f t="shared" si="98"/>
        <v>1.55308349776588</v>
      </c>
      <c r="Q427" s="15">
        <f t="shared" si="99"/>
        <v>0.548207956766823</v>
      </c>
      <c r="R427" s="7">
        <f t="shared" si="100"/>
        <v>0.126034107576371</v>
      </c>
    </row>
    <row r="428" spans="1:18">
      <c r="A428" s="6">
        <v>2013</v>
      </c>
      <c r="B428" s="19" t="s">
        <v>42</v>
      </c>
      <c r="C428" s="6">
        <v>0.3789</v>
      </c>
      <c r="D428" s="6">
        <v>3632</v>
      </c>
      <c r="E428" s="6">
        <f t="shared" si="90"/>
        <v>1376.1648</v>
      </c>
      <c r="F428" s="6">
        <f t="shared" si="89"/>
        <v>2255.8352</v>
      </c>
      <c r="G428" s="15">
        <v>20667.0748029142</v>
      </c>
      <c r="H428" s="15">
        <v>5433.99985534658</v>
      </c>
      <c r="I428" s="15">
        <f t="shared" si="91"/>
        <v>28441300.8627375</v>
      </c>
      <c r="J428" s="15">
        <f t="shared" si="92"/>
        <v>12258208.1504857</v>
      </c>
      <c r="K428" s="15">
        <f t="shared" si="93"/>
        <v>40699509.0132232</v>
      </c>
      <c r="L428" s="15">
        <f t="shared" si="94"/>
        <v>0.69881189115812</v>
      </c>
      <c r="M428" s="15">
        <f t="shared" si="95"/>
        <v>0.30118810884188</v>
      </c>
      <c r="N428" s="15">
        <f t="shared" si="96"/>
        <v>0.3789</v>
      </c>
      <c r="O428" s="15">
        <f t="shared" si="97"/>
        <v>0.6211</v>
      </c>
      <c r="P428" s="15">
        <f t="shared" si="98"/>
        <v>1.84431747468493</v>
      </c>
      <c r="Q428" s="15">
        <f t="shared" si="99"/>
        <v>0.484926918116051</v>
      </c>
      <c r="R428" s="7">
        <f t="shared" si="100"/>
        <v>0.20976221389845</v>
      </c>
    </row>
    <row r="429" spans="1:18">
      <c r="A429" s="6">
        <v>2013</v>
      </c>
      <c r="B429" s="19" t="s">
        <v>43</v>
      </c>
      <c r="C429" s="6">
        <v>0.3999</v>
      </c>
      <c r="D429" s="6">
        <v>4641</v>
      </c>
      <c r="E429" s="6">
        <f t="shared" si="90"/>
        <v>1855.9359</v>
      </c>
      <c r="F429" s="6">
        <f t="shared" si="89"/>
        <v>2785.0641</v>
      </c>
      <c r="G429" s="15">
        <v>23235.5267829164</v>
      </c>
      <c r="H429" s="15">
        <v>6141.30962285605</v>
      </c>
      <c r="I429" s="15">
        <f t="shared" si="91"/>
        <v>43123648.3118261</v>
      </c>
      <c r="J429" s="15">
        <f t="shared" si="92"/>
        <v>17103940.9576009</v>
      </c>
      <c r="K429" s="15">
        <f t="shared" si="93"/>
        <v>60227589.269427</v>
      </c>
      <c r="L429" s="15">
        <f t="shared" si="94"/>
        <v>0.716011529515373</v>
      </c>
      <c r="M429" s="15">
        <f t="shared" si="95"/>
        <v>0.283988470484627</v>
      </c>
      <c r="N429" s="15">
        <f t="shared" si="96"/>
        <v>0.3999</v>
      </c>
      <c r="O429" s="15">
        <f t="shared" si="97"/>
        <v>0.6001</v>
      </c>
      <c r="P429" s="15">
        <f t="shared" si="98"/>
        <v>1.79047644289916</v>
      </c>
      <c r="Q429" s="15">
        <f t="shared" si="99"/>
        <v>0.473235244933557</v>
      </c>
      <c r="R429" s="7">
        <f t="shared" si="100"/>
        <v>0.204594079718752</v>
      </c>
    </row>
    <row r="430" spans="1:18">
      <c r="A430" s="6">
        <v>2013</v>
      </c>
      <c r="B430" s="19" t="s">
        <v>44</v>
      </c>
      <c r="C430" s="6">
        <v>0.2393</v>
      </c>
      <c r="D430" s="6">
        <v>317</v>
      </c>
      <c r="E430" s="6">
        <f t="shared" si="90"/>
        <v>75.8581</v>
      </c>
      <c r="F430" s="6">
        <f t="shared" si="89"/>
        <v>241.1419</v>
      </c>
      <c r="G430" s="15">
        <v>20023.3502959995</v>
      </c>
      <c r="H430" s="15">
        <v>6578.23556122841</v>
      </c>
      <c r="I430" s="15">
        <f t="shared" si="91"/>
        <v>1518933.30908896</v>
      </c>
      <c r="J430" s="15">
        <f t="shared" si="92"/>
        <v>1586288.22188218</v>
      </c>
      <c r="K430" s="15">
        <f t="shared" si="93"/>
        <v>3105221.53097114</v>
      </c>
      <c r="L430" s="15">
        <f t="shared" si="94"/>
        <v>0.489154572045596</v>
      </c>
      <c r="M430" s="15">
        <f t="shared" si="95"/>
        <v>0.510845427954404</v>
      </c>
      <c r="N430" s="15">
        <f t="shared" si="96"/>
        <v>0.2393</v>
      </c>
      <c r="O430" s="15">
        <f t="shared" si="97"/>
        <v>0.7607</v>
      </c>
      <c r="P430" s="15">
        <f t="shared" si="98"/>
        <v>2.04410602609944</v>
      </c>
      <c r="Q430" s="15">
        <f t="shared" si="99"/>
        <v>0.671546507104515</v>
      </c>
      <c r="R430" s="7">
        <f t="shared" si="100"/>
        <v>0.146321869118027</v>
      </c>
    </row>
    <row r="431" spans="1:18">
      <c r="A431" s="6">
        <v>2013</v>
      </c>
      <c r="B431" s="19" t="s">
        <v>45</v>
      </c>
      <c r="C431" s="6">
        <v>0.5157</v>
      </c>
      <c r="D431" s="6">
        <v>3804</v>
      </c>
      <c r="E431" s="6">
        <f t="shared" si="90"/>
        <v>1961.7228</v>
      </c>
      <c r="F431" s="6">
        <f t="shared" si="89"/>
        <v>1842.2772</v>
      </c>
      <c r="G431" s="15">
        <v>22858.3719231991</v>
      </c>
      <c r="H431" s="15">
        <v>6502.59809608083</v>
      </c>
      <c r="I431" s="15">
        <f t="shared" si="91"/>
        <v>44841789.3726195</v>
      </c>
      <c r="J431" s="15">
        <f t="shared" si="92"/>
        <v>11979588.2131731</v>
      </c>
      <c r="K431" s="15">
        <f t="shared" si="93"/>
        <v>56821377.5857927</v>
      </c>
      <c r="L431" s="15">
        <f t="shared" si="94"/>
        <v>0.789171105626829</v>
      </c>
      <c r="M431" s="15">
        <f t="shared" si="95"/>
        <v>0.210828894373171</v>
      </c>
      <c r="N431" s="15">
        <f t="shared" si="96"/>
        <v>0.5157</v>
      </c>
      <c r="O431" s="15">
        <f t="shared" si="97"/>
        <v>0.4843</v>
      </c>
      <c r="P431" s="15">
        <f t="shared" si="98"/>
        <v>1.53029107160525</v>
      </c>
      <c r="Q431" s="15">
        <f t="shared" si="99"/>
        <v>0.435327058379456</v>
      </c>
      <c r="R431" s="7">
        <f t="shared" si="100"/>
        <v>0.160421661344591</v>
      </c>
    </row>
    <row r="432" spans="1:18">
      <c r="A432" s="6">
        <v>2013</v>
      </c>
      <c r="B432" s="19" t="s">
        <v>46</v>
      </c>
      <c r="C432" s="6">
        <v>0.405</v>
      </c>
      <c r="D432" s="6">
        <v>2537</v>
      </c>
      <c r="E432" s="6">
        <f t="shared" si="90"/>
        <v>1027.485</v>
      </c>
      <c r="F432" s="6">
        <f t="shared" si="89"/>
        <v>1509.515</v>
      </c>
      <c r="G432" s="15">
        <v>18964.7782628919</v>
      </c>
      <c r="H432" s="15">
        <v>5107.75902308244</v>
      </c>
      <c r="I432" s="15">
        <f t="shared" si="91"/>
        <v>19486025.1934475</v>
      </c>
      <c r="J432" s="15">
        <f t="shared" si="92"/>
        <v>7710238.86172829</v>
      </c>
      <c r="K432" s="15">
        <f t="shared" si="93"/>
        <v>27196264.0551758</v>
      </c>
      <c r="L432" s="15">
        <f t="shared" si="94"/>
        <v>0.716496396487188</v>
      </c>
      <c r="M432" s="15">
        <f t="shared" si="95"/>
        <v>0.283503603512812</v>
      </c>
      <c r="N432" s="15">
        <f t="shared" si="96"/>
        <v>0.405</v>
      </c>
      <c r="O432" s="15">
        <f t="shared" si="97"/>
        <v>0.595</v>
      </c>
      <c r="P432" s="15">
        <f t="shared" si="98"/>
        <v>1.76912690490664</v>
      </c>
      <c r="Q432" s="15">
        <f t="shared" si="99"/>
        <v>0.476476644559348</v>
      </c>
      <c r="R432" s="7">
        <f t="shared" si="100"/>
        <v>0.198579681829786</v>
      </c>
    </row>
    <row r="433" spans="1:18">
      <c r="A433" s="6">
        <v>2013</v>
      </c>
      <c r="B433" s="19" t="s">
        <v>47</v>
      </c>
      <c r="C433" s="6">
        <v>0.4929</v>
      </c>
      <c r="D433" s="6">
        <v>571</v>
      </c>
      <c r="E433" s="6">
        <f t="shared" si="90"/>
        <v>281.4459</v>
      </c>
      <c r="F433" s="6">
        <f t="shared" si="89"/>
        <v>289.5541</v>
      </c>
      <c r="G433" s="15">
        <v>19498.5425405217</v>
      </c>
      <c r="H433" s="15">
        <v>6196.38655478596</v>
      </c>
      <c r="I433" s="15">
        <f t="shared" si="91"/>
        <v>5487784.85400542</v>
      </c>
      <c r="J433" s="15">
        <f t="shared" si="92"/>
        <v>1794189.13212315</v>
      </c>
      <c r="K433" s="15">
        <f t="shared" si="93"/>
        <v>7281973.98612856</v>
      </c>
      <c r="L433" s="15">
        <f t="shared" si="94"/>
        <v>0.753612257398763</v>
      </c>
      <c r="M433" s="15">
        <f t="shared" si="95"/>
        <v>0.246387742601237</v>
      </c>
      <c r="N433" s="15">
        <f t="shared" si="96"/>
        <v>0.4929</v>
      </c>
      <c r="O433" s="15">
        <f t="shared" si="97"/>
        <v>0.5071</v>
      </c>
      <c r="P433" s="15">
        <f t="shared" si="98"/>
        <v>1.52893539744119</v>
      </c>
      <c r="Q433" s="15">
        <f t="shared" si="99"/>
        <v>0.485876045358385</v>
      </c>
      <c r="R433" s="7">
        <f t="shared" si="100"/>
        <v>0.142119317171688</v>
      </c>
    </row>
    <row r="434" spans="1:18">
      <c r="A434" s="6">
        <v>2013</v>
      </c>
      <c r="B434" s="19" t="s">
        <v>48</v>
      </c>
      <c r="C434" s="6">
        <v>0.5284</v>
      </c>
      <c r="D434" s="6">
        <v>666</v>
      </c>
      <c r="E434" s="6">
        <f t="shared" si="90"/>
        <v>351.9144</v>
      </c>
      <c r="F434" s="6">
        <f t="shared" si="89"/>
        <v>314.0856</v>
      </c>
      <c r="G434" s="15">
        <v>21833.325628307</v>
      </c>
      <c r="H434" s="15">
        <v>6930.96527637844</v>
      </c>
      <c r="I434" s="15">
        <f t="shared" si="91"/>
        <v>7683461.68849028</v>
      </c>
      <c r="J434" s="15">
        <f t="shared" si="92"/>
        <v>2176916.38741049</v>
      </c>
      <c r="K434" s="15">
        <f t="shared" si="93"/>
        <v>9860378.07590077</v>
      </c>
      <c r="L434" s="15">
        <f t="shared" si="94"/>
        <v>0.779225870382093</v>
      </c>
      <c r="M434" s="15">
        <f t="shared" si="95"/>
        <v>0.220774129617907</v>
      </c>
      <c r="N434" s="15">
        <f t="shared" si="96"/>
        <v>0.5284</v>
      </c>
      <c r="O434" s="15">
        <f t="shared" si="97"/>
        <v>0.4716</v>
      </c>
      <c r="P434" s="15">
        <f t="shared" si="98"/>
        <v>1.47468938376626</v>
      </c>
      <c r="Q434" s="15">
        <f t="shared" si="99"/>
        <v>0.468138527603705</v>
      </c>
      <c r="R434" s="7">
        <f t="shared" si="100"/>
        <v>0.135122664511007</v>
      </c>
    </row>
    <row r="435" spans="1:18">
      <c r="A435" s="6">
        <v>2013</v>
      </c>
      <c r="B435" s="19" t="s">
        <v>49</v>
      </c>
      <c r="C435" s="6">
        <v>0.4494</v>
      </c>
      <c r="D435" s="6">
        <v>2285</v>
      </c>
      <c r="E435" s="6">
        <f t="shared" si="90"/>
        <v>1026.879</v>
      </c>
      <c r="F435" s="6">
        <f t="shared" si="89"/>
        <v>1258.121</v>
      </c>
      <c r="G435" s="15">
        <v>19873.7749768968</v>
      </c>
      <c r="H435" s="15">
        <v>7296.45758414993</v>
      </c>
      <c r="I435" s="15">
        <f t="shared" si="91"/>
        <v>20407962.1745008</v>
      </c>
      <c r="J435" s="15">
        <f t="shared" si="92"/>
        <v>9179826.51222829</v>
      </c>
      <c r="K435" s="15">
        <f t="shared" si="93"/>
        <v>29587788.6867291</v>
      </c>
      <c r="L435" s="15">
        <f t="shared" si="94"/>
        <v>0.689742731049526</v>
      </c>
      <c r="M435" s="15">
        <f t="shared" si="95"/>
        <v>0.310257268950474</v>
      </c>
      <c r="N435" s="15">
        <f t="shared" si="96"/>
        <v>0.4494</v>
      </c>
      <c r="O435" s="15">
        <f t="shared" si="97"/>
        <v>0.5506</v>
      </c>
      <c r="P435" s="15">
        <f t="shared" si="98"/>
        <v>1.53480803526819</v>
      </c>
      <c r="Q435" s="15">
        <f t="shared" si="99"/>
        <v>0.563489409644885</v>
      </c>
      <c r="R435" s="7">
        <f t="shared" si="100"/>
        <v>0.117523791330536</v>
      </c>
    </row>
    <row r="436" spans="1:18">
      <c r="A436" s="6">
        <v>2014</v>
      </c>
      <c r="B436" s="19" t="s">
        <v>19</v>
      </c>
      <c r="C436" s="6">
        <v>0.865</v>
      </c>
      <c r="D436" s="6">
        <v>2171</v>
      </c>
      <c r="E436" s="6">
        <f t="shared" si="90"/>
        <v>1877.915</v>
      </c>
      <c r="F436" s="6">
        <f t="shared" si="89"/>
        <v>293.085</v>
      </c>
      <c r="G436" s="15">
        <v>48531.8451860488</v>
      </c>
      <c r="H436" s="15">
        <v>18867.2993735765</v>
      </c>
      <c r="I436" s="15">
        <f t="shared" si="91"/>
        <v>91138680.0525588</v>
      </c>
      <c r="J436" s="15">
        <f t="shared" si="92"/>
        <v>5529722.43690467</v>
      </c>
      <c r="K436" s="15">
        <f t="shared" si="93"/>
        <v>96668402.4894635</v>
      </c>
      <c r="L436" s="15">
        <f t="shared" si="94"/>
        <v>0.942797001972724</v>
      </c>
      <c r="M436" s="15">
        <f t="shared" si="95"/>
        <v>0.0572029980272757</v>
      </c>
      <c r="N436" s="15">
        <f t="shared" si="96"/>
        <v>0.865</v>
      </c>
      <c r="O436" s="15">
        <f t="shared" si="97"/>
        <v>0.135</v>
      </c>
      <c r="P436" s="15">
        <f t="shared" si="98"/>
        <v>1.08993873060431</v>
      </c>
      <c r="Q436" s="15">
        <f t="shared" si="99"/>
        <v>0.423725911313153</v>
      </c>
      <c r="R436" s="7">
        <f t="shared" si="100"/>
        <v>0.0320766664134626</v>
      </c>
    </row>
    <row r="437" spans="1:18">
      <c r="A437" s="6">
        <v>2014</v>
      </c>
      <c r="B437" s="19" t="s">
        <v>20</v>
      </c>
      <c r="C437" s="6">
        <v>0.8255</v>
      </c>
      <c r="D437" s="6">
        <v>1429</v>
      </c>
      <c r="E437" s="6">
        <f t="shared" si="90"/>
        <v>1179.6395</v>
      </c>
      <c r="F437" s="6">
        <f t="shared" si="89"/>
        <v>249.3605</v>
      </c>
      <c r="G437" s="15">
        <v>31506.0338190399</v>
      </c>
      <c r="H437" s="15">
        <v>17014.1765821485</v>
      </c>
      <c r="I437" s="15">
        <f t="shared" si="91"/>
        <v>37165761.9812753</v>
      </c>
      <c r="J437" s="15">
        <f t="shared" si="92"/>
        <v>4242663.57961284</v>
      </c>
      <c r="K437" s="15">
        <f t="shared" si="93"/>
        <v>41408425.5608882</v>
      </c>
      <c r="L437" s="15">
        <f t="shared" si="94"/>
        <v>0.897541055421817</v>
      </c>
      <c r="M437" s="15">
        <f t="shared" si="95"/>
        <v>0.102458944578183</v>
      </c>
      <c r="N437" s="15">
        <f t="shared" si="96"/>
        <v>0.8255</v>
      </c>
      <c r="O437" s="15">
        <f t="shared" si="97"/>
        <v>0.1745</v>
      </c>
      <c r="P437" s="15">
        <f t="shared" si="98"/>
        <v>1.08726960075326</v>
      </c>
      <c r="Q437" s="15">
        <f t="shared" si="99"/>
        <v>0.587157275519671</v>
      </c>
      <c r="R437" s="7">
        <f t="shared" si="100"/>
        <v>0.0205413488979783</v>
      </c>
    </row>
    <row r="438" spans="1:18">
      <c r="A438" s="6">
        <v>2014</v>
      </c>
      <c r="B438" s="19" t="s">
        <v>21</v>
      </c>
      <c r="C438" s="6">
        <v>0.4936</v>
      </c>
      <c r="D438" s="6">
        <v>7323</v>
      </c>
      <c r="E438" s="6">
        <f t="shared" si="90"/>
        <v>3614.6328</v>
      </c>
      <c r="F438" s="6">
        <f t="shared" si="89"/>
        <v>3708.3672</v>
      </c>
      <c r="G438" s="15">
        <v>24141.3351973245</v>
      </c>
      <c r="H438" s="15">
        <v>10186.1399099418</v>
      </c>
      <c r="I438" s="15">
        <f t="shared" si="91"/>
        <v>87262062.0400436</v>
      </c>
      <c r="J438" s="15">
        <f t="shared" si="92"/>
        <v>37773947.1366391</v>
      </c>
      <c r="K438" s="15">
        <f t="shared" si="93"/>
        <v>125036009.176683</v>
      </c>
      <c r="L438" s="15">
        <f t="shared" si="94"/>
        <v>0.697895451195483</v>
      </c>
      <c r="M438" s="15">
        <f t="shared" si="95"/>
        <v>0.302104548804517</v>
      </c>
      <c r="N438" s="15">
        <f t="shared" si="96"/>
        <v>0.4936</v>
      </c>
      <c r="O438" s="15">
        <f t="shared" si="97"/>
        <v>0.5064</v>
      </c>
      <c r="P438" s="15">
        <f t="shared" si="98"/>
        <v>1.41388867746249</v>
      </c>
      <c r="Q438" s="15">
        <f t="shared" si="99"/>
        <v>0.596572963674006</v>
      </c>
      <c r="R438" s="7">
        <f t="shared" si="100"/>
        <v>0.0856585572844297</v>
      </c>
    </row>
    <row r="439" spans="1:18">
      <c r="A439" s="6">
        <v>2014</v>
      </c>
      <c r="B439" s="19" t="s">
        <v>22</v>
      </c>
      <c r="C439" s="6">
        <v>0.543</v>
      </c>
      <c r="D439" s="6">
        <v>3528</v>
      </c>
      <c r="E439" s="6">
        <f t="shared" si="90"/>
        <v>1915.704</v>
      </c>
      <c r="F439" s="6">
        <f t="shared" si="89"/>
        <v>1612.296</v>
      </c>
      <c r="G439" s="15">
        <v>24069.428331531</v>
      </c>
      <c r="H439" s="15">
        <v>8809.43650816007</v>
      </c>
      <c r="I439" s="15">
        <f t="shared" si="91"/>
        <v>46109900.1324273</v>
      </c>
      <c r="J439" s="15">
        <f t="shared" si="92"/>
        <v>14203419.2443604</v>
      </c>
      <c r="K439" s="15">
        <f t="shared" si="93"/>
        <v>60313319.3767877</v>
      </c>
      <c r="L439" s="15">
        <f t="shared" si="94"/>
        <v>0.764506092665382</v>
      </c>
      <c r="M439" s="15">
        <f t="shared" si="95"/>
        <v>0.235493907334618</v>
      </c>
      <c r="N439" s="15">
        <f t="shared" si="96"/>
        <v>0.543</v>
      </c>
      <c r="O439" s="15">
        <f t="shared" si="97"/>
        <v>0.457</v>
      </c>
      <c r="P439" s="15">
        <f t="shared" si="98"/>
        <v>1.40793018907069</v>
      </c>
      <c r="Q439" s="15">
        <f t="shared" si="99"/>
        <v>0.515303954780345</v>
      </c>
      <c r="R439" s="7">
        <f t="shared" si="100"/>
        <v>0.105421268619401</v>
      </c>
    </row>
    <row r="440" spans="1:18">
      <c r="A440" s="6">
        <v>2014</v>
      </c>
      <c r="B440" s="19" t="s">
        <v>23</v>
      </c>
      <c r="C440" s="6">
        <v>0.6097</v>
      </c>
      <c r="D440" s="6">
        <v>2449</v>
      </c>
      <c r="E440" s="6">
        <f t="shared" si="90"/>
        <v>1493.1553</v>
      </c>
      <c r="F440" s="6">
        <f t="shared" si="89"/>
        <v>955.8447</v>
      </c>
      <c r="G440" s="15">
        <v>28349.6366295837</v>
      </c>
      <c r="H440" s="15">
        <v>9976.30057162024</v>
      </c>
      <c r="I440" s="15">
        <f t="shared" si="91"/>
        <v>42330410.186537</v>
      </c>
      <c r="J440" s="15">
        <f t="shared" si="92"/>
        <v>9535794.02699018</v>
      </c>
      <c r="K440" s="15">
        <f t="shared" si="93"/>
        <v>51866204.2135272</v>
      </c>
      <c r="L440" s="15">
        <f t="shared" si="94"/>
        <v>0.81614629079598</v>
      </c>
      <c r="M440" s="15">
        <f t="shared" si="95"/>
        <v>0.18385370920402</v>
      </c>
      <c r="N440" s="15">
        <f t="shared" si="96"/>
        <v>0.6097</v>
      </c>
      <c r="O440" s="15">
        <f t="shared" si="97"/>
        <v>0.3903</v>
      </c>
      <c r="P440" s="15">
        <f t="shared" si="98"/>
        <v>1.3386030683877</v>
      </c>
      <c r="Q440" s="15">
        <f t="shared" si="99"/>
        <v>0.471057415331849</v>
      </c>
      <c r="R440" s="7">
        <f t="shared" si="100"/>
        <v>0.0996094252269588</v>
      </c>
    </row>
    <row r="441" spans="1:18">
      <c r="A441" s="6">
        <v>2014</v>
      </c>
      <c r="B441" s="19" t="s">
        <v>24</v>
      </c>
      <c r="C441" s="6">
        <v>0.6705</v>
      </c>
      <c r="D441" s="6">
        <v>4358</v>
      </c>
      <c r="E441" s="6">
        <f t="shared" si="90"/>
        <v>2922.039</v>
      </c>
      <c r="F441" s="6">
        <f t="shared" si="89"/>
        <v>1435.961</v>
      </c>
      <c r="G441" s="15">
        <v>29081.7458728263</v>
      </c>
      <c r="H441" s="15">
        <v>11191.4868027283</v>
      </c>
      <c r="I441" s="15">
        <f t="shared" si="91"/>
        <v>84977995.6284875</v>
      </c>
      <c r="J441" s="15">
        <f t="shared" si="92"/>
        <v>16070538.5807325</v>
      </c>
      <c r="K441" s="15">
        <f t="shared" si="93"/>
        <v>101048534.20922</v>
      </c>
      <c r="L441" s="15">
        <f t="shared" si="94"/>
        <v>0.84096218013951</v>
      </c>
      <c r="M441" s="15">
        <f t="shared" si="95"/>
        <v>0.15903781986049</v>
      </c>
      <c r="N441" s="15">
        <f t="shared" si="96"/>
        <v>0.6705</v>
      </c>
      <c r="O441" s="15">
        <f t="shared" si="97"/>
        <v>0.3295</v>
      </c>
      <c r="P441" s="15">
        <f t="shared" si="98"/>
        <v>1.25423143943253</v>
      </c>
      <c r="Q441" s="15">
        <f t="shared" si="99"/>
        <v>0.482664096693446</v>
      </c>
      <c r="R441" s="7">
        <f t="shared" si="100"/>
        <v>0.074648658224733</v>
      </c>
    </row>
    <row r="442" spans="1:18">
      <c r="A442" s="6">
        <v>2014</v>
      </c>
      <c r="B442" s="19" t="s">
        <v>25</v>
      </c>
      <c r="C442" s="6">
        <v>0.5681</v>
      </c>
      <c r="D442" s="6">
        <v>2642</v>
      </c>
      <c r="E442" s="6">
        <f t="shared" si="90"/>
        <v>1500.9202</v>
      </c>
      <c r="F442" s="6">
        <f t="shared" ref="F442:F505" si="101">D442-E442</f>
        <v>1141.0798</v>
      </c>
      <c r="G442" s="15">
        <v>23217.8150849139</v>
      </c>
      <c r="H442" s="15">
        <v>10780.1174952277</v>
      </c>
      <c r="I442" s="15">
        <f t="shared" si="91"/>
        <v>34848087.660812</v>
      </c>
      <c r="J442" s="15">
        <f t="shared" si="92"/>
        <v>12300974.3154309</v>
      </c>
      <c r="K442" s="15">
        <f t="shared" si="93"/>
        <v>47149061.9762429</v>
      </c>
      <c r="L442" s="15">
        <f t="shared" si="94"/>
        <v>0.739104580243207</v>
      </c>
      <c r="M442" s="15">
        <f t="shared" si="95"/>
        <v>0.260895419756793</v>
      </c>
      <c r="N442" s="15">
        <f t="shared" si="96"/>
        <v>0.5681</v>
      </c>
      <c r="O442" s="15">
        <f t="shared" si="97"/>
        <v>0.4319</v>
      </c>
      <c r="P442" s="15">
        <f t="shared" si="98"/>
        <v>1.30101140687063</v>
      </c>
      <c r="Q442" s="15">
        <f t="shared" si="99"/>
        <v>0.604064412495468</v>
      </c>
      <c r="R442" s="7">
        <f t="shared" si="100"/>
        <v>0.0629787197254201</v>
      </c>
    </row>
    <row r="443" spans="1:18">
      <c r="A443" s="6">
        <v>2014</v>
      </c>
      <c r="B443" s="19" t="s">
        <v>26</v>
      </c>
      <c r="C443" s="6">
        <v>0.5922</v>
      </c>
      <c r="D443" s="6">
        <v>3608</v>
      </c>
      <c r="E443" s="6">
        <f t="shared" si="90"/>
        <v>2136.6576</v>
      </c>
      <c r="F443" s="6">
        <f t="shared" si="101"/>
        <v>1471.3424</v>
      </c>
      <c r="G443" s="15">
        <v>22609.0276008063</v>
      </c>
      <c r="H443" s="15">
        <v>10453.2028321251</v>
      </c>
      <c r="I443" s="15">
        <f t="shared" si="91"/>
        <v>48307750.6518726</v>
      </c>
      <c r="J443" s="15">
        <f t="shared" si="92"/>
        <v>15380240.5427057</v>
      </c>
      <c r="K443" s="15">
        <f t="shared" si="93"/>
        <v>63687991.1945783</v>
      </c>
      <c r="L443" s="15">
        <f t="shared" si="94"/>
        <v>0.758506427126641</v>
      </c>
      <c r="M443" s="15">
        <f t="shared" si="95"/>
        <v>0.241493572873359</v>
      </c>
      <c r="N443" s="15">
        <f t="shared" si="96"/>
        <v>0.5922</v>
      </c>
      <c r="O443" s="15">
        <f t="shared" si="97"/>
        <v>0.4078</v>
      </c>
      <c r="P443" s="15">
        <f t="shared" si="98"/>
        <v>1.28082814442189</v>
      </c>
      <c r="Q443" s="15">
        <f t="shared" si="99"/>
        <v>0.592186299346148</v>
      </c>
      <c r="R443" s="7">
        <f t="shared" si="100"/>
        <v>0.0612088481436433</v>
      </c>
    </row>
    <row r="444" spans="1:18">
      <c r="A444" s="6">
        <v>2014</v>
      </c>
      <c r="B444" s="19" t="s">
        <v>27</v>
      </c>
      <c r="C444" s="6">
        <v>0.893</v>
      </c>
      <c r="D444" s="6">
        <v>2467</v>
      </c>
      <c r="E444" s="6">
        <f t="shared" si="90"/>
        <v>2203.031</v>
      </c>
      <c r="F444" s="6">
        <f t="shared" si="101"/>
        <v>263.969</v>
      </c>
      <c r="G444" s="15">
        <v>48841.4019544834</v>
      </c>
      <c r="H444" s="15">
        <v>21191.6437098125</v>
      </c>
      <c r="I444" s="15">
        <f t="shared" si="91"/>
        <v>107599122.589188</v>
      </c>
      <c r="J444" s="15">
        <f t="shared" si="92"/>
        <v>5593936.9984355</v>
      </c>
      <c r="K444" s="15">
        <f t="shared" si="93"/>
        <v>113193059.587623</v>
      </c>
      <c r="L444" s="15">
        <f t="shared" si="94"/>
        <v>0.950580565462097</v>
      </c>
      <c r="M444" s="15">
        <f t="shared" si="95"/>
        <v>0.0494194345379031</v>
      </c>
      <c r="N444" s="15">
        <f t="shared" si="96"/>
        <v>0.893</v>
      </c>
      <c r="O444" s="15">
        <f t="shared" si="97"/>
        <v>0.107</v>
      </c>
      <c r="P444" s="15">
        <f t="shared" si="98"/>
        <v>1.0644799165309</v>
      </c>
      <c r="Q444" s="15">
        <f t="shared" si="99"/>
        <v>0.46186387418601</v>
      </c>
      <c r="R444" s="7">
        <f t="shared" si="100"/>
        <v>0.0212225234368248</v>
      </c>
    </row>
    <row r="445" spans="1:18">
      <c r="A445" s="6">
        <v>2014</v>
      </c>
      <c r="B445" s="19" t="s">
        <v>28</v>
      </c>
      <c r="C445" s="6">
        <v>0.657</v>
      </c>
      <c r="D445" s="6">
        <v>8281</v>
      </c>
      <c r="E445" s="6">
        <f t="shared" si="90"/>
        <v>5440.617</v>
      </c>
      <c r="F445" s="6">
        <f t="shared" si="101"/>
        <v>2840.383</v>
      </c>
      <c r="G445" s="15">
        <v>34346.2556859328</v>
      </c>
      <c r="H445" s="15">
        <v>14958.4417570054</v>
      </c>
      <c r="I445" s="15">
        <f t="shared" si="91"/>
        <v>186864822.571233</v>
      </c>
      <c r="J445" s="15">
        <f t="shared" si="92"/>
        <v>42487703.6730883</v>
      </c>
      <c r="K445" s="15">
        <f t="shared" si="93"/>
        <v>229352526.244321</v>
      </c>
      <c r="L445" s="15">
        <f t="shared" si="94"/>
        <v>0.81474935389276</v>
      </c>
      <c r="M445" s="15">
        <f t="shared" si="95"/>
        <v>0.18525064610724</v>
      </c>
      <c r="N445" s="15">
        <f t="shared" si="96"/>
        <v>0.657</v>
      </c>
      <c r="O445" s="15">
        <f t="shared" si="97"/>
        <v>0.343</v>
      </c>
      <c r="P445" s="15">
        <f t="shared" si="98"/>
        <v>1.24010556148061</v>
      </c>
      <c r="Q445" s="15">
        <f t="shared" si="99"/>
        <v>0.54008934725143</v>
      </c>
      <c r="R445" s="7">
        <f t="shared" si="100"/>
        <v>0.0612129825944509</v>
      </c>
    </row>
    <row r="446" spans="1:18">
      <c r="A446" s="6">
        <v>2014</v>
      </c>
      <c r="B446" s="19" t="s">
        <v>29</v>
      </c>
      <c r="C446" s="6">
        <v>0.6496</v>
      </c>
      <c r="D446" s="6">
        <v>5890</v>
      </c>
      <c r="E446" s="6">
        <f t="shared" si="90"/>
        <v>3826.144</v>
      </c>
      <c r="F446" s="6">
        <f t="shared" si="101"/>
        <v>2063.856</v>
      </c>
      <c r="G446" s="15">
        <v>40392.7242962883</v>
      </c>
      <c r="H446" s="15">
        <v>19373.2820298109</v>
      </c>
      <c r="I446" s="15">
        <f t="shared" si="91"/>
        <v>154548379.709898</v>
      </c>
      <c r="J446" s="15">
        <f t="shared" si="92"/>
        <v>39983664.3569174</v>
      </c>
      <c r="K446" s="15">
        <f t="shared" si="93"/>
        <v>194532044.066815</v>
      </c>
      <c r="L446" s="15">
        <f t="shared" si="94"/>
        <v>0.794462323424801</v>
      </c>
      <c r="M446" s="15">
        <f t="shared" si="95"/>
        <v>0.205537676575199</v>
      </c>
      <c r="N446" s="15">
        <f t="shared" si="96"/>
        <v>0.6496</v>
      </c>
      <c r="O446" s="15">
        <f t="shared" si="97"/>
        <v>0.3504</v>
      </c>
      <c r="P446" s="15">
        <f t="shared" si="98"/>
        <v>1.22300234517365</v>
      </c>
      <c r="Q446" s="15">
        <f t="shared" si="99"/>
        <v>0.586580127212326</v>
      </c>
      <c r="R446" s="7">
        <f t="shared" si="100"/>
        <v>0.0502889849155272</v>
      </c>
    </row>
    <row r="447" spans="1:18">
      <c r="A447" s="6">
        <v>2014</v>
      </c>
      <c r="B447" s="19" t="s">
        <v>30</v>
      </c>
      <c r="C447" s="6">
        <v>0.4931</v>
      </c>
      <c r="D447" s="6">
        <v>5997</v>
      </c>
      <c r="E447" s="6">
        <f t="shared" si="90"/>
        <v>2957.1207</v>
      </c>
      <c r="F447" s="6">
        <f t="shared" si="101"/>
        <v>3039.8793</v>
      </c>
      <c r="G447" s="15">
        <v>24838.5217433213</v>
      </c>
      <c r="H447" s="15">
        <v>9916.42069499227</v>
      </c>
      <c r="I447" s="15">
        <f t="shared" si="91"/>
        <v>73450506.8045755</v>
      </c>
      <c r="J447" s="15">
        <f t="shared" si="92"/>
        <v>30144722.0007986</v>
      </c>
      <c r="K447" s="15">
        <f t="shared" si="93"/>
        <v>103595228.805374</v>
      </c>
      <c r="L447" s="15">
        <f t="shared" si="94"/>
        <v>0.709014378862641</v>
      </c>
      <c r="M447" s="15">
        <f t="shared" si="95"/>
        <v>0.290985621137359</v>
      </c>
      <c r="N447" s="15">
        <f t="shared" si="96"/>
        <v>0.4931</v>
      </c>
      <c r="O447" s="15">
        <f t="shared" si="97"/>
        <v>0.5069</v>
      </c>
      <c r="P447" s="15">
        <f t="shared" si="98"/>
        <v>1.43787138280803</v>
      </c>
      <c r="Q447" s="15">
        <f t="shared" si="99"/>
        <v>0.574049361091653</v>
      </c>
      <c r="R447" s="7">
        <f t="shared" si="100"/>
        <v>0.0959797381477617</v>
      </c>
    </row>
    <row r="448" spans="1:18">
      <c r="A448" s="6">
        <v>2014</v>
      </c>
      <c r="B448" s="19" t="s">
        <v>31</v>
      </c>
      <c r="C448" s="6">
        <v>0.6199</v>
      </c>
      <c r="D448" s="6">
        <v>3945</v>
      </c>
      <c r="E448" s="6">
        <f t="shared" si="90"/>
        <v>2445.5055</v>
      </c>
      <c r="F448" s="6">
        <f t="shared" si="101"/>
        <v>1499.4945</v>
      </c>
      <c r="G448" s="15">
        <v>30722.387162255</v>
      </c>
      <c r="H448" s="15">
        <v>12650.1899063295</v>
      </c>
      <c r="I448" s="15">
        <f t="shared" si="91"/>
        <v>75131766.778424</v>
      </c>
      <c r="J448" s="15">
        <f t="shared" si="92"/>
        <v>18968890.1884966</v>
      </c>
      <c r="K448" s="15">
        <f t="shared" si="93"/>
        <v>94100656.9669206</v>
      </c>
      <c r="L448" s="15">
        <f t="shared" si="94"/>
        <v>0.798419152427759</v>
      </c>
      <c r="M448" s="15">
        <f t="shared" si="95"/>
        <v>0.201580847572241</v>
      </c>
      <c r="N448" s="15">
        <f t="shared" si="96"/>
        <v>0.6199</v>
      </c>
      <c r="O448" s="15">
        <f t="shared" si="97"/>
        <v>0.3801</v>
      </c>
      <c r="P448" s="15">
        <f t="shared" si="98"/>
        <v>1.28798056529724</v>
      </c>
      <c r="Q448" s="15">
        <f t="shared" si="99"/>
        <v>0.530336352465776</v>
      </c>
      <c r="R448" s="7">
        <f t="shared" si="100"/>
        <v>0.0742089448286521</v>
      </c>
    </row>
    <row r="449" spans="1:18">
      <c r="A449" s="6">
        <v>2014</v>
      </c>
      <c r="B449" s="19" t="s">
        <v>32</v>
      </c>
      <c r="C449" s="6">
        <v>0.5055</v>
      </c>
      <c r="D449" s="6">
        <v>4480</v>
      </c>
      <c r="E449" s="6">
        <f t="shared" si="90"/>
        <v>2264.64</v>
      </c>
      <c r="F449" s="6">
        <f t="shared" si="101"/>
        <v>2215.36</v>
      </c>
      <c r="G449" s="15">
        <v>24309.1928115843</v>
      </c>
      <c r="H449" s="15">
        <v>10116.5792418811</v>
      </c>
      <c r="I449" s="15">
        <f t="shared" si="91"/>
        <v>55051570.4088263</v>
      </c>
      <c r="J449" s="15">
        <f t="shared" si="92"/>
        <v>22411864.9892937</v>
      </c>
      <c r="K449" s="15">
        <f t="shared" si="93"/>
        <v>77463435.39812</v>
      </c>
      <c r="L449" s="15">
        <f t="shared" si="94"/>
        <v>0.710678142866904</v>
      </c>
      <c r="M449" s="15">
        <f t="shared" si="95"/>
        <v>0.289321857133096</v>
      </c>
      <c r="N449" s="15">
        <f t="shared" si="96"/>
        <v>0.5055</v>
      </c>
      <c r="O449" s="15">
        <f t="shared" si="97"/>
        <v>0.4945</v>
      </c>
      <c r="P449" s="15">
        <f t="shared" si="98"/>
        <v>1.40589147945975</v>
      </c>
      <c r="Q449" s="15">
        <f t="shared" si="99"/>
        <v>0.585079589753481</v>
      </c>
      <c r="R449" s="7">
        <f t="shared" si="100"/>
        <v>0.0870292111000179</v>
      </c>
    </row>
    <row r="450" spans="1:18">
      <c r="A450" s="6">
        <v>2014</v>
      </c>
      <c r="B450" s="19" t="s">
        <v>33</v>
      </c>
      <c r="C450" s="6">
        <v>0.5477</v>
      </c>
      <c r="D450" s="6">
        <v>9808</v>
      </c>
      <c r="E450" s="6">
        <f t="shared" si="90"/>
        <v>5371.8416</v>
      </c>
      <c r="F450" s="6">
        <f t="shared" si="101"/>
        <v>4436.1584</v>
      </c>
      <c r="G450" s="15">
        <v>29221.938361641</v>
      </c>
      <c r="H450" s="15">
        <v>11882.2596500065</v>
      </c>
      <c r="I450" s="15">
        <f t="shared" si="91"/>
        <v>156975624.123699</v>
      </c>
      <c r="J450" s="15">
        <f t="shared" si="92"/>
        <v>52711585.9573574</v>
      </c>
      <c r="K450" s="15">
        <f t="shared" si="93"/>
        <v>209687210.081056</v>
      </c>
      <c r="L450" s="15">
        <f t="shared" si="94"/>
        <v>0.748618020445876</v>
      </c>
      <c r="M450" s="15">
        <f t="shared" si="95"/>
        <v>0.251381979554124</v>
      </c>
      <c r="N450" s="15">
        <f t="shared" si="96"/>
        <v>0.5477</v>
      </c>
      <c r="O450" s="15">
        <f t="shared" si="97"/>
        <v>0.4523</v>
      </c>
      <c r="P450" s="15">
        <f t="shared" si="98"/>
        <v>1.36683954801146</v>
      </c>
      <c r="Q450" s="15">
        <f t="shared" si="99"/>
        <v>0.555785937550572</v>
      </c>
      <c r="R450" s="7">
        <f t="shared" si="100"/>
        <v>0.0862892594551825</v>
      </c>
    </row>
    <row r="451" spans="1:18">
      <c r="A451" s="6">
        <v>2014</v>
      </c>
      <c r="B451" s="19" t="s">
        <v>34</v>
      </c>
      <c r="C451" s="6">
        <v>0.4505</v>
      </c>
      <c r="D451" s="6">
        <v>9645</v>
      </c>
      <c r="E451" s="6">
        <f t="shared" si="90"/>
        <v>4345.0725</v>
      </c>
      <c r="F451" s="6">
        <f t="shared" si="101"/>
        <v>5299.9275</v>
      </c>
      <c r="G451" s="15">
        <v>23672.0613411874</v>
      </c>
      <c r="H451" s="15">
        <v>9966.07162044753</v>
      </c>
      <c r="I451" s="15">
        <f t="shared" si="91"/>
        <v>102856822.751906</v>
      </c>
      <c r="J451" s="15">
        <f t="shared" si="92"/>
        <v>52819457.0481794</v>
      </c>
      <c r="K451" s="15">
        <f t="shared" si="93"/>
        <v>155676279.800086</v>
      </c>
      <c r="L451" s="15">
        <f t="shared" si="94"/>
        <v>0.660709665492981</v>
      </c>
      <c r="M451" s="15">
        <f t="shared" si="95"/>
        <v>0.339290334507019</v>
      </c>
      <c r="N451" s="15">
        <f t="shared" si="96"/>
        <v>0.4505</v>
      </c>
      <c r="O451" s="15">
        <f t="shared" si="97"/>
        <v>0.5495</v>
      </c>
      <c r="P451" s="15">
        <f t="shared" si="98"/>
        <v>1.46661412984014</v>
      </c>
      <c r="Q451" s="15">
        <f t="shared" si="99"/>
        <v>0.61745283804735</v>
      </c>
      <c r="R451" s="7">
        <f t="shared" si="100"/>
        <v>0.0894333022431488</v>
      </c>
    </row>
    <row r="452" spans="1:18">
      <c r="A452" s="6">
        <v>2014</v>
      </c>
      <c r="B452" s="19" t="s">
        <v>35</v>
      </c>
      <c r="C452" s="6">
        <v>0.5573</v>
      </c>
      <c r="D452" s="6">
        <v>5816</v>
      </c>
      <c r="E452" s="6">
        <f t="shared" si="90"/>
        <v>3241.2568</v>
      </c>
      <c r="F452" s="6">
        <f t="shared" si="101"/>
        <v>2574.7432</v>
      </c>
      <c r="G452" s="15">
        <v>24852.2788359212</v>
      </c>
      <c r="H452" s="15">
        <v>10849.0565509695</v>
      </c>
      <c r="I452" s="15">
        <f t="shared" si="91"/>
        <v>80552617.7724257</v>
      </c>
      <c r="J452" s="15">
        <f t="shared" si="92"/>
        <v>27933534.5810242</v>
      </c>
      <c r="K452" s="15">
        <f t="shared" si="93"/>
        <v>108486152.35345</v>
      </c>
      <c r="L452" s="15">
        <f t="shared" si="94"/>
        <v>0.742515206088089</v>
      </c>
      <c r="M452" s="15">
        <f t="shared" si="95"/>
        <v>0.257484793911911</v>
      </c>
      <c r="N452" s="15">
        <f t="shared" si="96"/>
        <v>0.5573</v>
      </c>
      <c r="O452" s="15">
        <f t="shared" si="97"/>
        <v>0.4427</v>
      </c>
      <c r="P452" s="15">
        <f t="shared" si="98"/>
        <v>1.33234381139079</v>
      </c>
      <c r="Q452" s="15">
        <f t="shared" si="99"/>
        <v>0.581623659164018</v>
      </c>
      <c r="R452" s="7">
        <f t="shared" si="100"/>
        <v>0.0735178919851787</v>
      </c>
    </row>
    <row r="453" spans="1:18">
      <c r="A453" s="6">
        <v>2014</v>
      </c>
      <c r="B453" s="19" t="s">
        <v>36</v>
      </c>
      <c r="C453" s="6">
        <v>0.4898</v>
      </c>
      <c r="D453" s="6">
        <v>6611</v>
      </c>
      <c r="E453" s="6">
        <f t="shared" si="90"/>
        <v>3238.0678</v>
      </c>
      <c r="F453" s="6">
        <f t="shared" si="101"/>
        <v>3372.9322</v>
      </c>
      <c r="G453" s="15">
        <v>26570.1569340772</v>
      </c>
      <c r="H453" s="15">
        <v>10060.1653394991</v>
      </c>
      <c r="I453" s="15">
        <f t="shared" si="91"/>
        <v>86035969.6091821</v>
      </c>
      <c r="J453" s="15">
        <f t="shared" si="92"/>
        <v>33932255.6109204</v>
      </c>
      <c r="K453" s="15">
        <f t="shared" si="93"/>
        <v>119968225.220103</v>
      </c>
      <c r="L453" s="15">
        <f t="shared" si="94"/>
        <v>0.717156309108801</v>
      </c>
      <c r="M453" s="15">
        <f t="shared" si="95"/>
        <v>0.282843690891199</v>
      </c>
      <c r="N453" s="15">
        <f t="shared" si="96"/>
        <v>0.4898</v>
      </c>
      <c r="O453" s="15">
        <f t="shared" si="97"/>
        <v>0.5102</v>
      </c>
      <c r="P453" s="15">
        <f t="shared" si="98"/>
        <v>1.46418192958106</v>
      </c>
      <c r="Q453" s="15">
        <f t="shared" si="99"/>
        <v>0.554378069171304</v>
      </c>
      <c r="R453" s="7">
        <f t="shared" si="100"/>
        <v>0.106597451088122</v>
      </c>
    </row>
    <row r="454" spans="1:18">
      <c r="A454" s="6">
        <v>2014</v>
      </c>
      <c r="B454" s="19" t="s">
        <v>37</v>
      </c>
      <c r="C454" s="6">
        <v>0.6862</v>
      </c>
      <c r="D454" s="6">
        <v>11489</v>
      </c>
      <c r="E454" s="6">
        <f t="shared" si="90"/>
        <v>7883.7518</v>
      </c>
      <c r="F454" s="6">
        <f t="shared" si="101"/>
        <v>3605.2482</v>
      </c>
      <c r="G454" s="15">
        <v>32148.1060962513</v>
      </c>
      <c r="H454" s="15">
        <v>12245.5550239569</v>
      </c>
      <c r="I454" s="15">
        <f t="shared" si="91"/>
        <v>253447689.302912</v>
      </c>
      <c r="J454" s="15">
        <f t="shared" si="92"/>
        <v>44148265.2081216</v>
      </c>
      <c r="K454" s="15">
        <f t="shared" si="93"/>
        <v>297595954.511034</v>
      </c>
      <c r="L454" s="15">
        <f t="shared" si="94"/>
        <v>0.85165031802714</v>
      </c>
      <c r="M454" s="15">
        <f t="shared" si="95"/>
        <v>0.14834968197286</v>
      </c>
      <c r="N454" s="15">
        <f t="shared" si="96"/>
        <v>0.6862</v>
      </c>
      <c r="O454" s="15">
        <f t="shared" si="97"/>
        <v>0.3138</v>
      </c>
      <c r="P454" s="15">
        <f t="shared" si="98"/>
        <v>1.24111092688304</v>
      </c>
      <c r="Q454" s="15">
        <f t="shared" si="99"/>
        <v>0.472752332609496</v>
      </c>
      <c r="R454" s="7">
        <f t="shared" si="100"/>
        <v>0.0728211799342509</v>
      </c>
    </row>
    <row r="455" spans="1:18">
      <c r="A455" s="6">
        <v>2014</v>
      </c>
      <c r="B455" s="19" t="s">
        <v>38</v>
      </c>
      <c r="C455" s="6">
        <v>0.4654</v>
      </c>
      <c r="D455" s="6">
        <v>4770</v>
      </c>
      <c r="E455" s="6">
        <f t="shared" si="90"/>
        <v>2219.958</v>
      </c>
      <c r="F455" s="6">
        <f t="shared" si="101"/>
        <v>2550.042</v>
      </c>
      <c r="G455" s="15">
        <v>24668.9997766402</v>
      </c>
      <c r="H455" s="15">
        <v>8683.18217179912</v>
      </c>
      <c r="I455" s="15">
        <f t="shared" si="91"/>
        <v>54764143.4061506</v>
      </c>
      <c r="J455" s="15">
        <f t="shared" si="92"/>
        <v>22142479.231739</v>
      </c>
      <c r="K455" s="15">
        <f t="shared" si="93"/>
        <v>76906622.6378896</v>
      </c>
      <c r="L455" s="15">
        <f t="shared" si="94"/>
        <v>0.712086183578811</v>
      </c>
      <c r="M455" s="15">
        <f t="shared" si="95"/>
        <v>0.287913816421189</v>
      </c>
      <c r="N455" s="15">
        <f t="shared" si="96"/>
        <v>0.4654</v>
      </c>
      <c r="O455" s="15">
        <f t="shared" si="97"/>
        <v>0.5346</v>
      </c>
      <c r="P455" s="15">
        <f t="shared" si="98"/>
        <v>1.53005196299702</v>
      </c>
      <c r="Q455" s="15">
        <f t="shared" si="99"/>
        <v>0.538559327387184</v>
      </c>
      <c r="R455" s="7">
        <f t="shared" si="100"/>
        <v>0.124673804392584</v>
      </c>
    </row>
    <row r="456" spans="1:18">
      <c r="A456" s="6">
        <v>2014</v>
      </c>
      <c r="B456" s="19" t="s">
        <v>39</v>
      </c>
      <c r="C456" s="6">
        <v>0.533</v>
      </c>
      <c r="D456" s="6">
        <v>936</v>
      </c>
      <c r="E456" s="6">
        <f t="shared" si="90"/>
        <v>498.888</v>
      </c>
      <c r="F456" s="6">
        <f t="shared" si="101"/>
        <v>437.112</v>
      </c>
      <c r="G456" s="15">
        <v>24486.5309834892</v>
      </c>
      <c r="H456" s="15">
        <v>9912.56945113405</v>
      </c>
      <c r="I456" s="15">
        <f t="shared" si="91"/>
        <v>12216036.469291</v>
      </c>
      <c r="J456" s="15">
        <f t="shared" si="92"/>
        <v>4332903.05792411</v>
      </c>
      <c r="K456" s="15">
        <f t="shared" si="93"/>
        <v>16548939.5272151</v>
      </c>
      <c r="L456" s="15">
        <f t="shared" si="94"/>
        <v>0.738176391858913</v>
      </c>
      <c r="M456" s="15">
        <f t="shared" si="95"/>
        <v>0.261823608141087</v>
      </c>
      <c r="N456" s="15">
        <f t="shared" si="96"/>
        <v>0.533</v>
      </c>
      <c r="O456" s="15">
        <f t="shared" si="97"/>
        <v>0.467</v>
      </c>
      <c r="P456" s="15">
        <f t="shared" si="98"/>
        <v>1.38494632618933</v>
      </c>
      <c r="Q456" s="15">
        <f t="shared" si="99"/>
        <v>0.560650124499116</v>
      </c>
      <c r="R456" s="7">
        <f t="shared" si="100"/>
        <v>0.0888891601339076</v>
      </c>
    </row>
    <row r="457" spans="1:18">
      <c r="A457" s="6">
        <v>2014</v>
      </c>
      <c r="B457" s="19" t="s">
        <v>40</v>
      </c>
      <c r="C457" s="6">
        <v>0.5974</v>
      </c>
      <c r="D457" s="6">
        <v>3043</v>
      </c>
      <c r="E457" s="6">
        <f t="shared" si="90"/>
        <v>1817.8882</v>
      </c>
      <c r="F457" s="6">
        <f t="shared" si="101"/>
        <v>1225.1118</v>
      </c>
      <c r="G457" s="15">
        <v>25147.2264700688</v>
      </c>
      <c r="H457" s="15">
        <v>9489.81531609137</v>
      </c>
      <c r="I457" s="15">
        <f t="shared" si="91"/>
        <v>45714846.2626657</v>
      </c>
      <c r="J457" s="15">
        <f t="shared" si="92"/>
        <v>11626084.7235643</v>
      </c>
      <c r="K457" s="15">
        <f t="shared" si="93"/>
        <v>57340930.98623</v>
      </c>
      <c r="L457" s="15">
        <f t="shared" si="94"/>
        <v>0.797246320846165</v>
      </c>
      <c r="M457" s="15">
        <f t="shared" si="95"/>
        <v>0.202753679153835</v>
      </c>
      <c r="N457" s="15">
        <f t="shared" si="96"/>
        <v>0.5974</v>
      </c>
      <c r="O457" s="15">
        <f t="shared" si="97"/>
        <v>0.4026</v>
      </c>
      <c r="P457" s="15">
        <f t="shared" si="98"/>
        <v>1.33452681761996</v>
      </c>
      <c r="Q457" s="15">
        <f t="shared" si="99"/>
        <v>0.503610728151602</v>
      </c>
      <c r="R457" s="7">
        <f t="shared" si="100"/>
        <v>0.0909875547066279</v>
      </c>
    </row>
    <row r="458" spans="1:18">
      <c r="A458" s="6">
        <v>2014</v>
      </c>
      <c r="B458" s="19" t="s">
        <v>41</v>
      </c>
      <c r="C458" s="6">
        <v>0.4651</v>
      </c>
      <c r="D458" s="6">
        <v>8139</v>
      </c>
      <c r="E458" s="6">
        <f t="shared" si="90"/>
        <v>3785.4489</v>
      </c>
      <c r="F458" s="6">
        <f t="shared" si="101"/>
        <v>4353.5511</v>
      </c>
      <c r="G458" s="15">
        <v>24234.4116655221</v>
      </c>
      <c r="H458" s="15">
        <v>9347.74072004996</v>
      </c>
      <c r="I458" s="15">
        <f t="shared" si="91"/>
        <v>91738126.9813978</v>
      </c>
      <c r="J458" s="15">
        <f t="shared" si="92"/>
        <v>40695866.8942883</v>
      </c>
      <c r="K458" s="15">
        <f t="shared" si="93"/>
        <v>132433993.875686</v>
      </c>
      <c r="L458" s="15">
        <f t="shared" si="94"/>
        <v>0.692708301672991</v>
      </c>
      <c r="M458" s="15">
        <f t="shared" si="95"/>
        <v>0.307291698327009</v>
      </c>
      <c r="N458" s="15">
        <f t="shared" si="96"/>
        <v>0.4651</v>
      </c>
      <c r="O458" s="15">
        <f t="shared" si="97"/>
        <v>0.5349</v>
      </c>
      <c r="P458" s="15">
        <f t="shared" si="98"/>
        <v>1.48937497672112</v>
      </c>
      <c r="Q458" s="15">
        <f t="shared" si="99"/>
        <v>0.574484386477863</v>
      </c>
      <c r="R458" s="7">
        <f t="shared" si="100"/>
        <v>0.105618523807223</v>
      </c>
    </row>
    <row r="459" spans="1:18">
      <c r="A459" s="6">
        <v>2014</v>
      </c>
      <c r="B459" s="19" t="s">
        <v>42</v>
      </c>
      <c r="C459" s="6">
        <v>0.4024</v>
      </c>
      <c r="D459" s="6">
        <v>3677</v>
      </c>
      <c r="E459" s="6">
        <f t="shared" si="90"/>
        <v>1479.6248</v>
      </c>
      <c r="F459" s="6">
        <f t="shared" si="101"/>
        <v>2197.3752</v>
      </c>
      <c r="G459" s="15">
        <v>22548.2078407234</v>
      </c>
      <c r="H459" s="15">
        <v>6671.22422603493</v>
      </c>
      <c r="I459" s="15">
        <f t="shared" si="91"/>
        <v>33362887.5166888</v>
      </c>
      <c r="J459" s="15">
        <f t="shared" si="92"/>
        <v>14659182.6679284</v>
      </c>
      <c r="K459" s="15">
        <f t="shared" si="93"/>
        <v>48022070.1846171</v>
      </c>
      <c r="L459" s="15">
        <f t="shared" si="94"/>
        <v>0.694740717932978</v>
      </c>
      <c r="M459" s="15">
        <f t="shared" si="95"/>
        <v>0.305259282067022</v>
      </c>
      <c r="N459" s="15">
        <f t="shared" si="96"/>
        <v>0.4024</v>
      </c>
      <c r="O459" s="15">
        <f t="shared" si="97"/>
        <v>0.5976</v>
      </c>
      <c r="P459" s="15">
        <f t="shared" si="98"/>
        <v>1.72649283780561</v>
      </c>
      <c r="Q459" s="15">
        <f t="shared" si="99"/>
        <v>0.510808704931428</v>
      </c>
      <c r="R459" s="7">
        <f t="shared" si="100"/>
        <v>0.174331400402734</v>
      </c>
    </row>
    <row r="460" spans="1:18">
      <c r="A460" s="6">
        <v>2014</v>
      </c>
      <c r="B460" s="19" t="s">
        <v>43</v>
      </c>
      <c r="C460" s="6">
        <v>0.4121</v>
      </c>
      <c r="D460" s="6">
        <v>4653</v>
      </c>
      <c r="E460" s="6">
        <f t="shared" si="90"/>
        <v>1917.5013</v>
      </c>
      <c r="F460" s="6">
        <f t="shared" si="101"/>
        <v>2735.4987</v>
      </c>
      <c r="G460" s="15">
        <v>24299.0118180727</v>
      </c>
      <c r="H460" s="15">
        <v>7456.12730077999</v>
      </c>
      <c r="I460" s="15">
        <f t="shared" si="91"/>
        <v>46593386.7498698</v>
      </c>
      <c r="J460" s="15">
        <f t="shared" si="92"/>
        <v>20396226.5383182</v>
      </c>
      <c r="K460" s="15">
        <f t="shared" si="93"/>
        <v>66989613.2881879</v>
      </c>
      <c r="L460" s="15">
        <f t="shared" si="94"/>
        <v>0.695531507988052</v>
      </c>
      <c r="M460" s="15">
        <f t="shared" si="95"/>
        <v>0.304468492011949</v>
      </c>
      <c r="N460" s="15">
        <f t="shared" si="96"/>
        <v>0.4121</v>
      </c>
      <c r="O460" s="15">
        <f t="shared" si="97"/>
        <v>0.5879</v>
      </c>
      <c r="P460" s="15">
        <f t="shared" si="98"/>
        <v>1.68777361802488</v>
      </c>
      <c r="Q460" s="15">
        <f t="shared" si="99"/>
        <v>0.517891634652064</v>
      </c>
      <c r="R460" s="7">
        <f t="shared" si="100"/>
        <v>0.163711340433321</v>
      </c>
    </row>
    <row r="461" spans="1:18">
      <c r="A461" s="6">
        <v>2014</v>
      </c>
      <c r="B461" s="19" t="s">
        <v>44</v>
      </c>
      <c r="C461" s="6">
        <v>0.2623</v>
      </c>
      <c r="D461" s="6">
        <v>325</v>
      </c>
      <c r="E461" s="6">
        <f t="shared" si="90"/>
        <v>85.2475</v>
      </c>
      <c r="F461" s="6">
        <f t="shared" si="101"/>
        <v>239.7525</v>
      </c>
      <c r="G461" s="15">
        <v>22015.8067654008</v>
      </c>
      <c r="H461" s="15">
        <v>7359.19504084542</v>
      </c>
      <c r="I461" s="15">
        <f t="shared" si="91"/>
        <v>1876792.4872335</v>
      </c>
      <c r="J461" s="15">
        <f t="shared" si="92"/>
        <v>1764385.40903029</v>
      </c>
      <c r="K461" s="15">
        <f t="shared" si="93"/>
        <v>3641177.8962638</v>
      </c>
      <c r="L461" s="15">
        <f t="shared" si="94"/>
        <v>0.515435537812991</v>
      </c>
      <c r="M461" s="15">
        <f t="shared" si="95"/>
        <v>0.484564462187009</v>
      </c>
      <c r="N461" s="15">
        <f t="shared" si="96"/>
        <v>0.2623</v>
      </c>
      <c r="O461" s="15">
        <f t="shared" si="97"/>
        <v>0.7377</v>
      </c>
      <c r="P461" s="15">
        <f t="shared" si="98"/>
        <v>1.9650611430156</v>
      </c>
      <c r="Q461" s="15">
        <f t="shared" si="99"/>
        <v>0.656858427798576</v>
      </c>
      <c r="R461" s="7">
        <f t="shared" si="100"/>
        <v>0.144532715835046</v>
      </c>
    </row>
    <row r="462" spans="1:18">
      <c r="A462" s="6">
        <v>2014</v>
      </c>
      <c r="B462" s="19" t="s">
        <v>45</v>
      </c>
      <c r="C462" s="6">
        <v>0.5301</v>
      </c>
      <c r="D462" s="6">
        <v>3827</v>
      </c>
      <c r="E462" s="6">
        <f t="shared" si="90"/>
        <v>2028.6927</v>
      </c>
      <c r="F462" s="6">
        <f t="shared" si="101"/>
        <v>1798.3073</v>
      </c>
      <c r="G462" s="15">
        <v>24365.7602853673</v>
      </c>
      <c r="H462" s="15">
        <v>7932.20734318864</v>
      </c>
      <c r="I462" s="15">
        <f t="shared" si="91"/>
        <v>49430640.0208746</v>
      </c>
      <c r="J462" s="15">
        <f t="shared" si="92"/>
        <v>14264546.3703697</v>
      </c>
      <c r="K462" s="15">
        <f t="shared" si="93"/>
        <v>63695186.3912443</v>
      </c>
      <c r="L462" s="15">
        <f t="shared" si="94"/>
        <v>0.77604985276673</v>
      </c>
      <c r="M462" s="15">
        <f t="shared" si="95"/>
        <v>0.22395014723327</v>
      </c>
      <c r="N462" s="15">
        <f t="shared" si="96"/>
        <v>0.5301</v>
      </c>
      <c r="O462" s="15">
        <f t="shared" si="97"/>
        <v>0.4699</v>
      </c>
      <c r="P462" s="15">
        <f t="shared" si="98"/>
        <v>1.46396878469483</v>
      </c>
      <c r="Q462" s="15">
        <f t="shared" si="99"/>
        <v>0.476591077321281</v>
      </c>
      <c r="R462" s="7">
        <f t="shared" si="100"/>
        <v>0.129823593940833</v>
      </c>
    </row>
    <row r="463" spans="1:18">
      <c r="A463" s="6">
        <v>2014</v>
      </c>
      <c r="B463" s="19" t="s">
        <v>46</v>
      </c>
      <c r="C463" s="6">
        <v>0.4228</v>
      </c>
      <c r="D463" s="6">
        <v>2531</v>
      </c>
      <c r="E463" s="6">
        <f t="shared" si="90"/>
        <v>1070.1068</v>
      </c>
      <c r="F463" s="6">
        <f t="shared" si="101"/>
        <v>1460.8932</v>
      </c>
      <c r="G463" s="15">
        <v>21803.8560101005</v>
      </c>
      <c r="H463" s="15">
        <v>6276.5916255375</v>
      </c>
      <c r="I463" s="15">
        <f t="shared" si="91"/>
        <v>23332454.5826294</v>
      </c>
      <c r="J463" s="15">
        <f t="shared" si="92"/>
        <v>9169430.02492468</v>
      </c>
      <c r="K463" s="15">
        <f t="shared" si="93"/>
        <v>32501884.6075541</v>
      </c>
      <c r="L463" s="15">
        <f t="shared" si="94"/>
        <v>0.717880051091144</v>
      </c>
      <c r="M463" s="15">
        <f t="shared" si="95"/>
        <v>0.282119948908856</v>
      </c>
      <c r="N463" s="15">
        <f t="shared" si="96"/>
        <v>0.4228</v>
      </c>
      <c r="O463" s="15">
        <f t="shared" si="97"/>
        <v>0.5772</v>
      </c>
      <c r="P463" s="15">
        <f t="shared" si="98"/>
        <v>1.69791875849372</v>
      </c>
      <c r="Q463" s="15">
        <f t="shared" si="99"/>
        <v>0.488773300257892</v>
      </c>
      <c r="R463" s="7">
        <f t="shared" si="100"/>
        <v>0.178090627956191</v>
      </c>
    </row>
    <row r="464" spans="1:18">
      <c r="A464" s="6">
        <v>2014</v>
      </c>
      <c r="B464" s="19" t="s">
        <v>47</v>
      </c>
      <c r="C464" s="6">
        <v>0.5084</v>
      </c>
      <c r="D464" s="6">
        <v>576</v>
      </c>
      <c r="E464" s="6">
        <f t="shared" si="90"/>
        <v>292.8384</v>
      </c>
      <c r="F464" s="6">
        <f t="shared" si="101"/>
        <v>283.1616</v>
      </c>
      <c r="G464" s="15">
        <v>22306.5704867489</v>
      </c>
      <c r="H464" s="15">
        <v>7282.72504010813</v>
      </c>
      <c r="I464" s="15">
        <f t="shared" si="91"/>
        <v>6532220.41082677</v>
      </c>
      <c r="J464" s="15">
        <f t="shared" si="92"/>
        <v>2062188.07471708</v>
      </c>
      <c r="K464" s="15">
        <f t="shared" si="93"/>
        <v>8594408.48554385</v>
      </c>
      <c r="L464" s="15">
        <f t="shared" si="94"/>
        <v>0.760054682275602</v>
      </c>
      <c r="M464" s="15">
        <f t="shared" si="95"/>
        <v>0.239945317724398</v>
      </c>
      <c r="N464" s="15">
        <f t="shared" si="96"/>
        <v>0.5084</v>
      </c>
      <c r="O464" s="15">
        <f t="shared" si="97"/>
        <v>0.4916</v>
      </c>
      <c r="P464" s="15">
        <f t="shared" si="98"/>
        <v>1.4949934741849</v>
      </c>
      <c r="Q464" s="15">
        <f t="shared" si="99"/>
        <v>0.488090556803088</v>
      </c>
      <c r="R464" s="7">
        <f t="shared" si="100"/>
        <v>0.133532772207897</v>
      </c>
    </row>
    <row r="465" spans="1:18">
      <c r="A465" s="6">
        <v>2014</v>
      </c>
      <c r="B465" s="19" t="s">
        <v>48</v>
      </c>
      <c r="C465" s="6">
        <v>0.5482</v>
      </c>
      <c r="D465" s="6">
        <v>678</v>
      </c>
      <c r="E465" s="6">
        <f t="shared" si="90"/>
        <v>371.6796</v>
      </c>
      <c r="F465" s="6">
        <f t="shared" si="101"/>
        <v>306.3204</v>
      </c>
      <c r="G465" s="15">
        <v>23284.5623941496</v>
      </c>
      <c r="H465" s="15">
        <v>8410.01606017215</v>
      </c>
      <c r="I465" s="15">
        <f t="shared" si="91"/>
        <v>8654396.83683257</v>
      </c>
      <c r="J465" s="15">
        <f t="shared" si="92"/>
        <v>2576159.48355836</v>
      </c>
      <c r="K465" s="15">
        <f t="shared" si="93"/>
        <v>11230556.3203909</v>
      </c>
      <c r="L465" s="15">
        <f t="shared" si="94"/>
        <v>0.770611587701945</v>
      </c>
      <c r="M465" s="15">
        <f t="shared" si="95"/>
        <v>0.229388412298055</v>
      </c>
      <c r="N465" s="15">
        <f t="shared" si="96"/>
        <v>0.5482</v>
      </c>
      <c r="O465" s="15">
        <f t="shared" si="97"/>
        <v>0.4518</v>
      </c>
      <c r="P465" s="15">
        <f t="shared" si="98"/>
        <v>1.40571249124762</v>
      </c>
      <c r="Q465" s="15">
        <f t="shared" si="99"/>
        <v>0.507721142757979</v>
      </c>
      <c r="R465" s="7">
        <f t="shared" si="100"/>
        <v>0.106942650505485</v>
      </c>
    </row>
    <row r="466" spans="1:18">
      <c r="A466" s="6">
        <v>2014</v>
      </c>
      <c r="B466" s="19" t="s">
        <v>49</v>
      </c>
      <c r="C466" s="6">
        <v>0.4679</v>
      </c>
      <c r="D466" s="6">
        <v>2325</v>
      </c>
      <c r="E466" s="6">
        <f t="shared" si="90"/>
        <v>1087.8675</v>
      </c>
      <c r="F466" s="6">
        <f t="shared" si="101"/>
        <v>1237.1325</v>
      </c>
      <c r="G466" s="15">
        <v>23214.0266171806</v>
      </c>
      <c r="H466" s="15">
        <v>8723.82882287244</v>
      </c>
      <c r="I466" s="15">
        <f t="shared" si="91"/>
        <v>25253785.1009657</v>
      </c>
      <c r="J466" s="15">
        <f t="shared" si="92"/>
        <v>10792532.1612122</v>
      </c>
      <c r="K466" s="15">
        <f t="shared" si="93"/>
        <v>36046317.262178</v>
      </c>
      <c r="L466" s="15">
        <f t="shared" si="94"/>
        <v>0.700592654647235</v>
      </c>
      <c r="M466" s="15">
        <f t="shared" si="95"/>
        <v>0.299407345352765</v>
      </c>
      <c r="N466" s="15">
        <f t="shared" si="96"/>
        <v>0.4679</v>
      </c>
      <c r="O466" s="15">
        <f t="shared" si="97"/>
        <v>0.5321</v>
      </c>
      <c r="P466" s="15">
        <f t="shared" si="98"/>
        <v>1.49731279044077</v>
      </c>
      <c r="Q466" s="15">
        <f t="shared" si="99"/>
        <v>0.562689993145583</v>
      </c>
      <c r="R466" s="7">
        <f t="shared" si="100"/>
        <v>0.110642519214235</v>
      </c>
    </row>
    <row r="467" spans="1:18">
      <c r="A467" s="6">
        <v>2015</v>
      </c>
      <c r="B467" s="19" t="s">
        <v>19</v>
      </c>
      <c r="C467" s="6">
        <v>0.8671</v>
      </c>
      <c r="D467" s="6">
        <v>2188</v>
      </c>
      <c r="E467" s="6">
        <f t="shared" si="90"/>
        <v>1897.2148</v>
      </c>
      <c r="F467" s="6">
        <f t="shared" si="101"/>
        <v>290.7852</v>
      </c>
      <c r="G467" s="15">
        <v>52859.1742737349</v>
      </c>
      <c r="H467" s="15">
        <v>20568.7207973434</v>
      </c>
      <c r="I467" s="15">
        <f t="shared" si="91"/>
        <v>100285207.747909</v>
      </c>
      <c r="J467" s="15">
        <f t="shared" si="92"/>
        <v>5981079.59079966</v>
      </c>
      <c r="K467" s="15">
        <f t="shared" si="93"/>
        <v>106266287.338709</v>
      </c>
      <c r="L467" s="15">
        <f t="shared" si="94"/>
        <v>0.943716114107423</v>
      </c>
      <c r="M467" s="15">
        <f t="shared" si="95"/>
        <v>0.0562838858925768</v>
      </c>
      <c r="N467" s="15">
        <f t="shared" si="96"/>
        <v>0.8671</v>
      </c>
      <c r="O467" s="15">
        <f t="shared" si="97"/>
        <v>0.1329</v>
      </c>
      <c r="P467" s="15">
        <f t="shared" si="98"/>
        <v>1.08835902907095</v>
      </c>
      <c r="Q467" s="15">
        <f t="shared" si="99"/>
        <v>0.423505537190194</v>
      </c>
      <c r="R467" s="7">
        <f t="shared" si="100"/>
        <v>0.0315469881299117</v>
      </c>
    </row>
    <row r="468" spans="1:18">
      <c r="A468" s="6">
        <v>2015</v>
      </c>
      <c r="B468" s="19" t="s">
        <v>20</v>
      </c>
      <c r="C468" s="6">
        <v>0.8288</v>
      </c>
      <c r="D468" s="6">
        <v>1439</v>
      </c>
      <c r="E468" s="6">
        <f t="shared" si="90"/>
        <v>1192.6432</v>
      </c>
      <c r="F468" s="6">
        <f t="shared" si="101"/>
        <v>246.3568</v>
      </c>
      <c r="G468" s="15">
        <v>34101.3472975577</v>
      </c>
      <c r="H468" s="15">
        <v>18481.6288776037</v>
      </c>
      <c r="I468" s="15">
        <f t="shared" si="91"/>
        <v>40670739.9652706</v>
      </c>
      <c r="J468" s="15">
        <f t="shared" si="92"/>
        <v>4553074.94907404</v>
      </c>
      <c r="K468" s="15">
        <f t="shared" si="93"/>
        <v>45223814.9143446</v>
      </c>
      <c r="L468" s="15">
        <f t="shared" si="94"/>
        <v>0.899321298795829</v>
      </c>
      <c r="M468" s="15">
        <f t="shared" si="95"/>
        <v>0.100678701204171</v>
      </c>
      <c r="N468" s="15">
        <f t="shared" si="96"/>
        <v>0.8288</v>
      </c>
      <c r="O468" s="15">
        <f t="shared" si="97"/>
        <v>0.1712</v>
      </c>
      <c r="P468" s="15">
        <f t="shared" si="98"/>
        <v>1.08508843966678</v>
      </c>
      <c r="Q468" s="15">
        <f t="shared" si="99"/>
        <v>0.588076525725299</v>
      </c>
      <c r="R468" s="7">
        <f t="shared" si="100"/>
        <v>0.0199897810214182</v>
      </c>
    </row>
    <row r="469" spans="1:18">
      <c r="A469" s="6">
        <v>2015</v>
      </c>
      <c r="B469" s="19" t="s">
        <v>21</v>
      </c>
      <c r="C469" s="6">
        <v>0.5167</v>
      </c>
      <c r="D469" s="6">
        <v>7345</v>
      </c>
      <c r="E469" s="6">
        <f t="shared" si="90"/>
        <v>3795.1615</v>
      </c>
      <c r="F469" s="6">
        <f t="shared" si="101"/>
        <v>3549.8385</v>
      </c>
      <c r="G469" s="15">
        <v>26152.1620241461</v>
      </c>
      <c r="H469" s="15">
        <v>11050.5136622585</v>
      </c>
      <c r="I469" s="15">
        <f t="shared" si="91"/>
        <v>99251678.4558014</v>
      </c>
      <c r="J469" s="15">
        <f t="shared" si="92"/>
        <v>39227538.8430612</v>
      </c>
      <c r="K469" s="15">
        <f t="shared" si="93"/>
        <v>138479217.298863</v>
      </c>
      <c r="L469" s="15">
        <f t="shared" si="94"/>
        <v>0.71672616578702</v>
      </c>
      <c r="M469" s="15">
        <f t="shared" si="95"/>
        <v>0.28327383421298</v>
      </c>
      <c r="N469" s="15">
        <f t="shared" si="96"/>
        <v>0.5167</v>
      </c>
      <c r="O469" s="15">
        <f t="shared" si="97"/>
        <v>0.4833</v>
      </c>
      <c r="P469" s="15">
        <f t="shared" si="98"/>
        <v>1.38712244201088</v>
      </c>
      <c r="Q469" s="15">
        <f t="shared" si="99"/>
        <v>0.586124217283219</v>
      </c>
      <c r="R469" s="7">
        <f t="shared" si="100"/>
        <v>0.0832037682824626</v>
      </c>
    </row>
    <row r="470" spans="1:18">
      <c r="A470" s="6">
        <v>2015</v>
      </c>
      <c r="B470" s="19" t="s">
        <v>22</v>
      </c>
      <c r="C470" s="6">
        <v>0.5587</v>
      </c>
      <c r="D470" s="6">
        <v>3519</v>
      </c>
      <c r="E470" s="6">
        <f t="shared" si="90"/>
        <v>1966.0653</v>
      </c>
      <c r="F470" s="6">
        <f t="shared" si="101"/>
        <v>1552.9347</v>
      </c>
      <c r="G470" s="15">
        <v>25827.717192732</v>
      </c>
      <c r="H470" s="15">
        <v>9453.90922801357</v>
      </c>
      <c r="I470" s="15">
        <f t="shared" si="91"/>
        <v>50778978.5508438</v>
      </c>
      <c r="J470" s="15">
        <f t="shared" si="92"/>
        <v>14681303.6908325</v>
      </c>
      <c r="K470" s="15">
        <f t="shared" si="93"/>
        <v>65460282.2416763</v>
      </c>
      <c r="L470" s="15">
        <f t="shared" si="94"/>
        <v>0.775721961652567</v>
      </c>
      <c r="M470" s="15">
        <f t="shared" si="95"/>
        <v>0.224278038347433</v>
      </c>
      <c r="N470" s="15">
        <f t="shared" si="96"/>
        <v>0.5587</v>
      </c>
      <c r="O470" s="15">
        <f t="shared" si="97"/>
        <v>0.4413</v>
      </c>
      <c r="P470" s="15">
        <f t="shared" si="98"/>
        <v>1.38844095516837</v>
      </c>
      <c r="Q470" s="15">
        <f t="shared" si="99"/>
        <v>0.508221251637057</v>
      </c>
      <c r="R470" s="7">
        <f t="shared" si="100"/>
        <v>0.102777612308661</v>
      </c>
    </row>
    <row r="471" spans="1:18">
      <c r="A471" s="6">
        <v>2015</v>
      </c>
      <c r="B471" s="19" t="s">
        <v>23</v>
      </c>
      <c r="C471" s="6">
        <v>0.6209</v>
      </c>
      <c r="D471" s="6">
        <v>2440</v>
      </c>
      <c r="E471" s="6">
        <f t="shared" si="90"/>
        <v>1514.996</v>
      </c>
      <c r="F471" s="6">
        <f t="shared" si="101"/>
        <v>925.004</v>
      </c>
      <c r="G471" s="15">
        <v>30594.0958452009</v>
      </c>
      <c r="H471" s="15">
        <v>10775.8902514869</v>
      </c>
      <c r="I471" s="15">
        <f t="shared" si="91"/>
        <v>46349932.829096</v>
      </c>
      <c r="J471" s="15">
        <f t="shared" si="92"/>
        <v>9967741.58618639</v>
      </c>
      <c r="K471" s="15">
        <f t="shared" si="93"/>
        <v>56317674.4152824</v>
      </c>
      <c r="L471" s="15">
        <f t="shared" si="94"/>
        <v>0.823008643562144</v>
      </c>
      <c r="M471" s="15">
        <f t="shared" si="95"/>
        <v>0.176991356437856</v>
      </c>
      <c r="N471" s="15">
        <f t="shared" si="96"/>
        <v>0.6209</v>
      </c>
      <c r="O471" s="15">
        <f t="shared" si="97"/>
        <v>0.3791</v>
      </c>
      <c r="P471" s="15">
        <f t="shared" si="98"/>
        <v>1.32550916985367</v>
      </c>
      <c r="Q471" s="15">
        <f t="shared" si="99"/>
        <v>0.466872478074008</v>
      </c>
      <c r="R471" s="7">
        <f t="shared" si="100"/>
        <v>0.0971069295214032</v>
      </c>
    </row>
    <row r="472" spans="1:18">
      <c r="A472" s="6">
        <v>2015</v>
      </c>
      <c r="B472" s="19" t="s">
        <v>24</v>
      </c>
      <c r="C472" s="6">
        <v>0.6805</v>
      </c>
      <c r="D472" s="6">
        <v>4338</v>
      </c>
      <c r="E472" s="6">
        <f t="shared" ref="E472:E535" si="102">C472*D472</f>
        <v>2952.009</v>
      </c>
      <c r="F472" s="6">
        <f t="shared" si="101"/>
        <v>1385.991</v>
      </c>
      <c r="G472" s="15">
        <v>31125.7339978765</v>
      </c>
      <c r="H472" s="15">
        <v>12056.8743575302</v>
      </c>
      <c r="I472" s="15">
        <f t="shared" si="91"/>
        <v>91883446.8933374</v>
      </c>
      <c r="J472" s="15">
        <f t="shared" si="92"/>
        <v>16710719.3476676</v>
      </c>
      <c r="K472" s="15">
        <f t="shared" si="93"/>
        <v>108594166.241005</v>
      </c>
      <c r="L472" s="15">
        <f t="shared" si="94"/>
        <v>0.846117706630932</v>
      </c>
      <c r="M472" s="15">
        <f t="shared" si="95"/>
        <v>0.153882293369068</v>
      </c>
      <c r="N472" s="15">
        <f t="shared" si="96"/>
        <v>0.6805</v>
      </c>
      <c r="O472" s="15">
        <f t="shared" si="97"/>
        <v>0.3195</v>
      </c>
      <c r="P472" s="15">
        <f t="shared" si="98"/>
        <v>1.24337649762077</v>
      </c>
      <c r="Q472" s="15">
        <f t="shared" si="99"/>
        <v>0.481634721029946</v>
      </c>
      <c r="R472" s="7">
        <f t="shared" si="100"/>
        <v>0.0718887011106154</v>
      </c>
    </row>
    <row r="473" spans="1:18">
      <c r="A473" s="6">
        <v>2015</v>
      </c>
      <c r="B473" s="19" t="s">
        <v>25</v>
      </c>
      <c r="C473" s="6">
        <v>0.5764</v>
      </c>
      <c r="D473" s="6">
        <v>2613</v>
      </c>
      <c r="E473" s="6">
        <f t="shared" si="102"/>
        <v>1506.1332</v>
      </c>
      <c r="F473" s="6">
        <f t="shared" si="101"/>
        <v>1106.8668</v>
      </c>
      <c r="G473" s="15">
        <v>24900.856242399</v>
      </c>
      <c r="H473" s="15">
        <v>11326.1725246481</v>
      </c>
      <c r="I473" s="15">
        <f t="shared" si="91"/>
        <v>37504006.2951044</v>
      </c>
      <c r="J473" s="15">
        <f t="shared" si="92"/>
        <v>12536564.3386052</v>
      </c>
      <c r="K473" s="15">
        <f t="shared" si="93"/>
        <v>50040570.6337095</v>
      </c>
      <c r="L473" s="15">
        <f t="shared" si="94"/>
        <v>0.749471994826534</v>
      </c>
      <c r="M473" s="15">
        <f t="shared" si="95"/>
        <v>0.250528005173466</v>
      </c>
      <c r="N473" s="15">
        <f t="shared" si="96"/>
        <v>0.5764</v>
      </c>
      <c r="O473" s="15">
        <f t="shared" si="97"/>
        <v>0.4236</v>
      </c>
      <c r="P473" s="15">
        <f t="shared" si="98"/>
        <v>1.30026369678441</v>
      </c>
      <c r="Q473" s="15">
        <f t="shared" si="99"/>
        <v>0.591425885678625</v>
      </c>
      <c r="R473" s="7">
        <f t="shared" si="100"/>
        <v>0.0652046350172158</v>
      </c>
    </row>
    <row r="474" spans="1:18">
      <c r="A474" s="6">
        <v>2015</v>
      </c>
      <c r="B474" s="19" t="s">
        <v>26</v>
      </c>
      <c r="C474" s="6">
        <v>0.6047</v>
      </c>
      <c r="D474" s="6">
        <v>3529</v>
      </c>
      <c r="E474" s="6">
        <f t="shared" si="102"/>
        <v>2133.9863</v>
      </c>
      <c r="F474" s="6">
        <f t="shared" si="101"/>
        <v>1395.0137</v>
      </c>
      <c r="G474" s="15">
        <v>24202.6249808147</v>
      </c>
      <c r="H474" s="15">
        <v>11095.2181571742</v>
      </c>
      <c r="I474" s="15">
        <f t="shared" si="91"/>
        <v>51648070.1330963</v>
      </c>
      <c r="J474" s="15">
        <f t="shared" si="92"/>
        <v>15477981.3337468</v>
      </c>
      <c r="K474" s="15">
        <f t="shared" si="93"/>
        <v>67126051.4668431</v>
      </c>
      <c r="L474" s="15">
        <f t="shared" si="94"/>
        <v>0.769419159990483</v>
      </c>
      <c r="M474" s="15">
        <f t="shared" si="95"/>
        <v>0.230580840009517</v>
      </c>
      <c r="N474" s="15">
        <f t="shared" si="96"/>
        <v>0.6047</v>
      </c>
      <c r="O474" s="15">
        <f t="shared" si="97"/>
        <v>0.3953</v>
      </c>
      <c r="P474" s="15">
        <f t="shared" si="98"/>
        <v>1.27239814782617</v>
      </c>
      <c r="Q474" s="15">
        <f t="shared" si="99"/>
        <v>0.583305944876087</v>
      </c>
      <c r="R474" s="7">
        <f t="shared" si="100"/>
        <v>0.0610626187813693</v>
      </c>
    </row>
    <row r="475" spans="1:18">
      <c r="A475" s="6">
        <v>2015</v>
      </c>
      <c r="B475" s="19" t="s">
        <v>27</v>
      </c>
      <c r="C475" s="6">
        <v>0.8853</v>
      </c>
      <c r="D475" s="6">
        <v>2458</v>
      </c>
      <c r="E475" s="6">
        <f t="shared" si="102"/>
        <v>2176.0674</v>
      </c>
      <c r="F475" s="6">
        <f t="shared" si="101"/>
        <v>281.9326</v>
      </c>
      <c r="G475" s="15">
        <v>52961.8649458039</v>
      </c>
      <c r="H475" s="15">
        <v>23205.199313012</v>
      </c>
      <c r="I475" s="15">
        <f t="shared" si="91"/>
        <v>115248587.751767</v>
      </c>
      <c r="J475" s="15">
        <f t="shared" si="92"/>
        <v>6542302.17583569</v>
      </c>
      <c r="K475" s="15">
        <f t="shared" si="93"/>
        <v>121790889.927602</v>
      </c>
      <c r="L475" s="15">
        <f t="shared" si="94"/>
        <v>0.946282499621074</v>
      </c>
      <c r="M475" s="15">
        <f t="shared" si="95"/>
        <v>0.0537175003789258</v>
      </c>
      <c r="N475" s="15">
        <f t="shared" si="96"/>
        <v>0.8853</v>
      </c>
      <c r="O475" s="15">
        <f t="shared" si="97"/>
        <v>0.1147</v>
      </c>
      <c r="P475" s="15">
        <f t="shared" si="98"/>
        <v>1.06888342891796</v>
      </c>
      <c r="Q475" s="15">
        <f t="shared" si="99"/>
        <v>0.46833043050502</v>
      </c>
      <c r="R475" s="7">
        <f t="shared" si="100"/>
        <v>0.0222871255165198</v>
      </c>
    </row>
    <row r="476" spans="1:18">
      <c r="A476" s="6">
        <v>2015</v>
      </c>
      <c r="B476" s="19" t="s">
        <v>28</v>
      </c>
      <c r="C476" s="6">
        <v>0.6749</v>
      </c>
      <c r="D476" s="6">
        <v>8315</v>
      </c>
      <c r="E476" s="6">
        <f t="shared" si="102"/>
        <v>5611.7935</v>
      </c>
      <c r="F476" s="6">
        <f t="shared" si="101"/>
        <v>2703.2065</v>
      </c>
      <c r="G476" s="15">
        <v>37173.4833783378</v>
      </c>
      <c r="H476" s="15">
        <v>16256.7002060062</v>
      </c>
      <c r="I476" s="15">
        <f t="shared" si="91"/>
        <v>208609912.394914</v>
      </c>
      <c r="J476" s="15">
        <f t="shared" si="92"/>
        <v>43945217.6654273</v>
      </c>
      <c r="K476" s="15">
        <f t="shared" si="93"/>
        <v>252555130.060341</v>
      </c>
      <c r="L476" s="15">
        <f t="shared" si="94"/>
        <v>0.825997525154497</v>
      </c>
      <c r="M476" s="15">
        <f t="shared" si="95"/>
        <v>0.174002474845503</v>
      </c>
      <c r="N476" s="15">
        <f t="shared" si="96"/>
        <v>0.6749</v>
      </c>
      <c r="O476" s="15">
        <f t="shared" si="97"/>
        <v>0.3251</v>
      </c>
      <c r="P476" s="15">
        <f t="shared" si="98"/>
        <v>1.22388135302192</v>
      </c>
      <c r="Q476" s="15">
        <f t="shared" si="99"/>
        <v>0.535227544895426</v>
      </c>
      <c r="R476" s="7">
        <f t="shared" si="100"/>
        <v>0.0581114428721311</v>
      </c>
    </row>
    <row r="477" spans="1:18">
      <c r="A477" s="6">
        <v>2015</v>
      </c>
      <c r="B477" s="19" t="s">
        <v>29</v>
      </c>
      <c r="C477" s="6">
        <v>0.6632</v>
      </c>
      <c r="D477" s="6">
        <v>5985</v>
      </c>
      <c r="E477" s="6">
        <f t="shared" si="102"/>
        <v>3969.252</v>
      </c>
      <c r="F477" s="6">
        <f t="shared" si="101"/>
        <v>2015.748</v>
      </c>
      <c r="G477" s="15">
        <v>43714.4793780758</v>
      </c>
      <c r="H477" s="15">
        <v>21124.9978495466</v>
      </c>
      <c r="I477" s="15">
        <f t="shared" si="91"/>
        <v>173513784.700386</v>
      </c>
      <c r="J477" s="15">
        <f t="shared" si="92"/>
        <v>42582672.1652279</v>
      </c>
      <c r="K477" s="15">
        <f t="shared" si="93"/>
        <v>216096456.865614</v>
      </c>
      <c r="L477" s="15">
        <f t="shared" si="94"/>
        <v>0.802945995585161</v>
      </c>
      <c r="M477" s="15">
        <f t="shared" si="95"/>
        <v>0.197054004414839</v>
      </c>
      <c r="N477" s="15">
        <f t="shared" si="96"/>
        <v>0.6632</v>
      </c>
      <c r="O477" s="15">
        <f t="shared" si="97"/>
        <v>0.3368</v>
      </c>
      <c r="P477" s="15">
        <f t="shared" si="98"/>
        <v>1.21071470986906</v>
      </c>
      <c r="Q477" s="15">
        <f t="shared" si="99"/>
        <v>0.585077210257837</v>
      </c>
      <c r="R477" s="7">
        <f t="shared" si="100"/>
        <v>0.0479087859334304</v>
      </c>
    </row>
    <row r="478" spans="1:18">
      <c r="A478" s="6">
        <v>2015</v>
      </c>
      <c r="B478" s="19" t="s">
        <v>30</v>
      </c>
      <c r="C478" s="6">
        <v>0.5097</v>
      </c>
      <c r="D478" s="6">
        <v>6011</v>
      </c>
      <c r="E478" s="6">
        <f t="shared" si="102"/>
        <v>3063.8067</v>
      </c>
      <c r="F478" s="6">
        <f t="shared" si="101"/>
        <v>2947.1933</v>
      </c>
      <c r="G478" s="15">
        <v>26935.7633973873</v>
      </c>
      <c r="H478" s="15">
        <v>10820.7272573334</v>
      </c>
      <c r="I478" s="15">
        <f t="shared" si="91"/>
        <v>82525972.36653</v>
      </c>
      <c r="J478" s="15">
        <f t="shared" si="92"/>
        <v>31890774.8739404</v>
      </c>
      <c r="K478" s="15">
        <f t="shared" si="93"/>
        <v>114416747.24047</v>
      </c>
      <c r="L478" s="15">
        <f t="shared" si="94"/>
        <v>0.721275288425082</v>
      </c>
      <c r="M478" s="15">
        <f t="shared" si="95"/>
        <v>0.278724711574918</v>
      </c>
      <c r="N478" s="15">
        <f t="shared" si="96"/>
        <v>0.5097</v>
      </c>
      <c r="O478" s="15">
        <f t="shared" si="97"/>
        <v>0.4903</v>
      </c>
      <c r="P478" s="15">
        <f t="shared" si="98"/>
        <v>1.4150976818228</v>
      </c>
      <c r="Q478" s="15">
        <f t="shared" si="99"/>
        <v>0.568477894299241</v>
      </c>
      <c r="R478" s="7">
        <f t="shared" si="100"/>
        <v>0.0930040183647245</v>
      </c>
    </row>
    <row r="479" spans="1:18">
      <c r="A479" s="6">
        <v>2015</v>
      </c>
      <c r="B479" s="19" t="s">
        <v>31</v>
      </c>
      <c r="C479" s="6">
        <v>0.6322</v>
      </c>
      <c r="D479" s="6">
        <v>3984</v>
      </c>
      <c r="E479" s="6">
        <f t="shared" si="102"/>
        <v>2518.6848</v>
      </c>
      <c r="F479" s="6">
        <f t="shared" si="101"/>
        <v>1465.3152</v>
      </c>
      <c r="G479" s="15">
        <v>33275.3449652886</v>
      </c>
      <c r="H479" s="15">
        <v>13792.704929342</v>
      </c>
      <c r="I479" s="15">
        <f t="shared" si="91"/>
        <v>83810105.5788289</v>
      </c>
      <c r="J479" s="15">
        <f t="shared" si="92"/>
        <v>20210660.1820798</v>
      </c>
      <c r="K479" s="15">
        <f t="shared" si="93"/>
        <v>104020765.760909</v>
      </c>
      <c r="L479" s="15">
        <f t="shared" si="94"/>
        <v>0.805705523947652</v>
      </c>
      <c r="M479" s="15">
        <f t="shared" si="95"/>
        <v>0.194294476052348</v>
      </c>
      <c r="N479" s="15">
        <f t="shared" si="96"/>
        <v>0.6322</v>
      </c>
      <c r="O479" s="15">
        <f t="shared" si="97"/>
        <v>0.3678</v>
      </c>
      <c r="P479" s="15">
        <f t="shared" si="98"/>
        <v>1.27444720649739</v>
      </c>
      <c r="Q479" s="15">
        <f t="shared" si="99"/>
        <v>0.528261218195617</v>
      </c>
      <c r="R479" s="7">
        <f t="shared" si="100"/>
        <v>0.0714018627981086</v>
      </c>
    </row>
    <row r="480" spans="1:18">
      <c r="A480" s="6">
        <v>2015</v>
      </c>
      <c r="B480" s="19" t="s">
        <v>32</v>
      </c>
      <c r="C480" s="6">
        <v>0.523</v>
      </c>
      <c r="D480" s="6">
        <v>4485</v>
      </c>
      <c r="E480" s="6">
        <f t="shared" si="102"/>
        <v>2345.655</v>
      </c>
      <c r="F480" s="6">
        <f t="shared" si="101"/>
        <v>2139.345</v>
      </c>
      <c r="G480" s="15">
        <v>26500.1177097501</v>
      </c>
      <c r="H480" s="15">
        <v>11139.0823075655</v>
      </c>
      <c r="I480" s="15">
        <f t="shared" ref="I480:I543" si="103">E480*G480</f>
        <v>62160133.6064639</v>
      </c>
      <c r="J480" s="15">
        <f t="shared" ref="J480:J543" si="104">F480*H480</f>
        <v>23830340.0392787</v>
      </c>
      <c r="K480" s="15">
        <f t="shared" ref="K480:K543" si="105">I480+J480</f>
        <v>85990473.6457426</v>
      </c>
      <c r="L480" s="15">
        <f t="shared" ref="L480:L543" si="106">I480/K480</f>
        <v>0.722872324933885</v>
      </c>
      <c r="M480" s="15">
        <f t="shared" ref="M480:M543" si="107">J480/K480</f>
        <v>0.277127675066115</v>
      </c>
      <c r="N480" s="15">
        <f t="shared" ref="N480:N543" si="108">C480</f>
        <v>0.523</v>
      </c>
      <c r="O480" s="15">
        <f t="shared" ref="O480:O543" si="109">F480/D480</f>
        <v>0.477</v>
      </c>
      <c r="P480" s="15">
        <f t="shared" ref="P480:P543" si="110">(L480/N480)</f>
        <v>1.38216505723496</v>
      </c>
      <c r="Q480" s="15">
        <f t="shared" ref="Q480:Q543" si="111">M480/O480</f>
        <v>0.580980450872359</v>
      </c>
      <c r="R480" s="7">
        <f t="shared" ref="R480:R543" si="112">L480*LN(P480)+M480*LN(Q480)</f>
        <v>0.0834675550337455</v>
      </c>
    </row>
    <row r="481" spans="1:18">
      <c r="A481" s="6">
        <v>2015</v>
      </c>
      <c r="B481" s="19" t="s">
        <v>33</v>
      </c>
      <c r="C481" s="6">
        <v>0.5697</v>
      </c>
      <c r="D481" s="6">
        <v>9866</v>
      </c>
      <c r="E481" s="6">
        <f t="shared" si="102"/>
        <v>5620.6602</v>
      </c>
      <c r="F481" s="6">
        <f t="shared" si="101"/>
        <v>4245.3398</v>
      </c>
      <c r="G481" s="15">
        <v>31545.267012219</v>
      </c>
      <c r="H481" s="15">
        <v>12930.3679510726</v>
      </c>
      <c r="I481" s="15">
        <f t="shared" si="103"/>
        <v>177305226.793952</v>
      </c>
      <c r="J481" s="15">
        <f t="shared" si="104"/>
        <v>54893805.691333</v>
      </c>
      <c r="K481" s="15">
        <f t="shared" si="105"/>
        <v>232199032.485285</v>
      </c>
      <c r="L481" s="15">
        <f t="shared" si="106"/>
        <v>0.763591583032063</v>
      </c>
      <c r="M481" s="15">
        <f t="shared" si="107"/>
        <v>0.236408416967937</v>
      </c>
      <c r="N481" s="15">
        <f t="shared" si="108"/>
        <v>0.5697</v>
      </c>
      <c r="O481" s="15">
        <f t="shared" si="109"/>
        <v>0.4303</v>
      </c>
      <c r="P481" s="15">
        <f t="shared" si="110"/>
        <v>1.34033979819565</v>
      </c>
      <c r="Q481" s="15">
        <f t="shared" si="111"/>
        <v>0.549403711289652</v>
      </c>
      <c r="R481" s="7">
        <f t="shared" si="112"/>
        <v>0.0820835185591345</v>
      </c>
    </row>
    <row r="482" spans="1:18">
      <c r="A482" s="6">
        <v>2015</v>
      </c>
      <c r="B482" s="19" t="s">
        <v>34</v>
      </c>
      <c r="C482" s="6">
        <v>0.4702</v>
      </c>
      <c r="D482" s="6">
        <v>9701</v>
      </c>
      <c r="E482" s="6">
        <f t="shared" si="102"/>
        <v>4561.4102</v>
      </c>
      <c r="F482" s="6">
        <f t="shared" si="101"/>
        <v>5139.5898</v>
      </c>
      <c r="G482" s="15">
        <v>25575.6137468047</v>
      </c>
      <c r="H482" s="15">
        <v>10852.8597850464</v>
      </c>
      <c r="I482" s="15">
        <f t="shared" si="103"/>
        <v>116660865.415935</v>
      </c>
      <c r="J482" s="15">
        <f t="shared" si="104"/>
        <v>55779247.4520547</v>
      </c>
      <c r="K482" s="15">
        <f t="shared" si="105"/>
        <v>172440112.86799</v>
      </c>
      <c r="L482" s="15">
        <f t="shared" si="106"/>
        <v>0.676529744011731</v>
      </c>
      <c r="M482" s="15">
        <f t="shared" si="107"/>
        <v>0.323470255988269</v>
      </c>
      <c r="N482" s="15">
        <f t="shared" si="108"/>
        <v>0.4702</v>
      </c>
      <c r="O482" s="15">
        <f t="shared" si="109"/>
        <v>0.5298</v>
      </c>
      <c r="P482" s="15">
        <f t="shared" si="110"/>
        <v>1.43881272652431</v>
      </c>
      <c r="Q482" s="15">
        <f t="shared" si="111"/>
        <v>0.610551634556944</v>
      </c>
      <c r="R482" s="7">
        <f t="shared" si="112"/>
        <v>0.0865361168493221</v>
      </c>
    </row>
    <row r="483" spans="1:18">
      <c r="A483" s="6">
        <v>2015</v>
      </c>
      <c r="B483" s="19" t="s">
        <v>35</v>
      </c>
      <c r="C483" s="6">
        <v>0.5718</v>
      </c>
      <c r="D483" s="6">
        <v>5850</v>
      </c>
      <c r="E483" s="6">
        <f t="shared" si="102"/>
        <v>3345.03</v>
      </c>
      <c r="F483" s="6">
        <f t="shared" si="101"/>
        <v>2504.97</v>
      </c>
      <c r="G483" s="15">
        <v>27051.4658207533</v>
      </c>
      <c r="H483" s="15">
        <v>11843.8856860307</v>
      </c>
      <c r="I483" s="15">
        <f t="shared" si="103"/>
        <v>90487964.7143944</v>
      </c>
      <c r="J483" s="15">
        <f t="shared" si="104"/>
        <v>29668578.3269363</v>
      </c>
      <c r="K483" s="15">
        <f t="shared" si="105"/>
        <v>120156543.041331</v>
      </c>
      <c r="L483" s="15">
        <f t="shared" si="106"/>
        <v>0.753083955513508</v>
      </c>
      <c r="M483" s="15">
        <f t="shared" si="107"/>
        <v>0.246916044486492</v>
      </c>
      <c r="N483" s="15">
        <f t="shared" si="108"/>
        <v>0.5718</v>
      </c>
      <c r="O483" s="15">
        <f t="shared" si="109"/>
        <v>0.4282</v>
      </c>
      <c r="P483" s="15">
        <f t="shared" si="110"/>
        <v>1.317040845599</v>
      </c>
      <c r="Q483" s="15">
        <f t="shared" si="111"/>
        <v>0.576637189365932</v>
      </c>
      <c r="R483" s="7">
        <f t="shared" si="112"/>
        <v>0.0714522073925195</v>
      </c>
    </row>
    <row r="484" spans="1:18">
      <c r="A484" s="6">
        <v>2015</v>
      </c>
      <c r="B484" s="19" t="s">
        <v>36</v>
      </c>
      <c r="C484" s="6">
        <v>0.5079</v>
      </c>
      <c r="D484" s="6">
        <v>6615</v>
      </c>
      <c r="E484" s="6">
        <f t="shared" si="102"/>
        <v>3359.7585</v>
      </c>
      <c r="F484" s="6">
        <f t="shared" si="101"/>
        <v>3255.2415</v>
      </c>
      <c r="G484" s="15">
        <v>28838.0682521647</v>
      </c>
      <c r="H484" s="15">
        <v>10992.5476804517</v>
      </c>
      <c r="I484" s="15">
        <f t="shared" si="103"/>
        <v>96888944.9337905</v>
      </c>
      <c r="J484" s="15">
        <f t="shared" si="104"/>
        <v>35783397.4001351</v>
      </c>
      <c r="K484" s="15">
        <f t="shared" si="105"/>
        <v>132672342.333926</v>
      </c>
      <c r="L484" s="15">
        <f t="shared" si="106"/>
        <v>0.730287437678072</v>
      </c>
      <c r="M484" s="15">
        <f t="shared" si="107"/>
        <v>0.269712562321928</v>
      </c>
      <c r="N484" s="15">
        <f t="shared" si="108"/>
        <v>0.5079</v>
      </c>
      <c r="O484" s="15">
        <f t="shared" si="109"/>
        <v>0.4921</v>
      </c>
      <c r="P484" s="15">
        <f t="shared" si="110"/>
        <v>1.43785673888181</v>
      </c>
      <c r="Q484" s="15">
        <f t="shared" si="111"/>
        <v>0.548084865519058</v>
      </c>
      <c r="R484" s="7">
        <f t="shared" si="112"/>
        <v>0.103021588982851</v>
      </c>
    </row>
    <row r="485" spans="1:18">
      <c r="A485" s="6">
        <v>2015</v>
      </c>
      <c r="B485" s="19" t="s">
        <v>37</v>
      </c>
      <c r="C485" s="6">
        <v>0.6951</v>
      </c>
      <c r="D485" s="6">
        <v>11678</v>
      </c>
      <c r="E485" s="6">
        <f t="shared" si="102"/>
        <v>8117.3778</v>
      </c>
      <c r="F485" s="6">
        <f t="shared" si="101"/>
        <v>3560.6222</v>
      </c>
      <c r="G485" s="15">
        <v>34757.1584254654</v>
      </c>
      <c r="H485" s="15">
        <v>13360.4436942153</v>
      </c>
      <c r="I485" s="15">
        <f t="shared" si="103"/>
        <v>282136986.193956</v>
      </c>
      <c r="J485" s="15">
        <f t="shared" si="104"/>
        <v>47571492.419473</v>
      </c>
      <c r="K485" s="15">
        <f t="shared" si="105"/>
        <v>329708478.613429</v>
      </c>
      <c r="L485" s="15">
        <f t="shared" si="106"/>
        <v>0.855716502591828</v>
      </c>
      <c r="M485" s="15">
        <f t="shared" si="107"/>
        <v>0.144283497408172</v>
      </c>
      <c r="N485" s="15">
        <f t="shared" si="108"/>
        <v>0.6951</v>
      </c>
      <c r="O485" s="15">
        <f t="shared" si="109"/>
        <v>0.3049</v>
      </c>
      <c r="P485" s="15">
        <f t="shared" si="110"/>
        <v>1.23106963399774</v>
      </c>
      <c r="Q485" s="15">
        <f t="shared" si="111"/>
        <v>0.473215799961207</v>
      </c>
      <c r="R485" s="7">
        <f t="shared" si="112"/>
        <v>0.0699358118397902</v>
      </c>
    </row>
    <row r="486" spans="1:18">
      <c r="A486" s="6">
        <v>2015</v>
      </c>
      <c r="B486" s="19" t="s">
        <v>38</v>
      </c>
      <c r="C486" s="6">
        <v>0.4799</v>
      </c>
      <c r="D486" s="6">
        <v>4811</v>
      </c>
      <c r="E486" s="6">
        <f t="shared" si="102"/>
        <v>2308.7989</v>
      </c>
      <c r="F486" s="6">
        <f t="shared" si="101"/>
        <v>2502.2011</v>
      </c>
      <c r="G486" s="15">
        <v>26415.8716987881</v>
      </c>
      <c r="H486" s="15">
        <v>9466.5755927019</v>
      </c>
      <c r="I486" s="15">
        <f t="shared" si="103"/>
        <v>60988935.5207031</v>
      </c>
      <c r="J486" s="15">
        <f t="shared" si="104"/>
        <v>23687275.8612918</v>
      </c>
      <c r="K486" s="15">
        <f t="shared" si="105"/>
        <v>84676211.3819949</v>
      </c>
      <c r="L486" s="15">
        <f t="shared" si="106"/>
        <v>0.720260561086835</v>
      </c>
      <c r="M486" s="15">
        <f t="shared" si="107"/>
        <v>0.279739438913165</v>
      </c>
      <c r="N486" s="15">
        <f t="shared" si="108"/>
        <v>0.4799</v>
      </c>
      <c r="O486" s="15">
        <f t="shared" si="109"/>
        <v>0.5201</v>
      </c>
      <c r="P486" s="15">
        <f t="shared" si="110"/>
        <v>1.50085551382962</v>
      </c>
      <c r="Q486" s="15">
        <f t="shared" si="111"/>
        <v>0.537857025405048</v>
      </c>
      <c r="R486" s="7">
        <f t="shared" si="112"/>
        <v>0.118967292899861</v>
      </c>
    </row>
    <row r="487" spans="1:18">
      <c r="A487" s="6">
        <v>2015</v>
      </c>
      <c r="B487" s="19" t="s">
        <v>39</v>
      </c>
      <c r="C487" s="6">
        <v>0.5491</v>
      </c>
      <c r="D487" s="6">
        <v>945</v>
      </c>
      <c r="E487" s="6">
        <f t="shared" si="102"/>
        <v>518.8995</v>
      </c>
      <c r="F487" s="6">
        <f t="shared" si="101"/>
        <v>426.1005</v>
      </c>
      <c r="G487" s="15">
        <v>26356.4244939588</v>
      </c>
      <c r="H487" s="15">
        <v>10857.5541159031</v>
      </c>
      <c r="I487" s="15">
        <f t="shared" si="103"/>
        <v>13676335.491703</v>
      </c>
      <c r="J487" s="15">
        <f t="shared" si="104"/>
        <v>4626409.23756337</v>
      </c>
      <c r="K487" s="15">
        <f t="shared" si="105"/>
        <v>18302744.7292663</v>
      </c>
      <c r="L487" s="15">
        <f t="shared" si="106"/>
        <v>0.74722866400657</v>
      </c>
      <c r="M487" s="15">
        <f t="shared" si="107"/>
        <v>0.25277133599343</v>
      </c>
      <c r="N487" s="15">
        <f t="shared" si="108"/>
        <v>0.5491</v>
      </c>
      <c r="O487" s="15">
        <f t="shared" si="109"/>
        <v>0.4509</v>
      </c>
      <c r="P487" s="15">
        <f t="shared" si="110"/>
        <v>1.36082437444285</v>
      </c>
      <c r="Q487" s="15">
        <f t="shared" si="111"/>
        <v>0.560592894197007</v>
      </c>
      <c r="R487" s="7">
        <f t="shared" si="112"/>
        <v>0.0839201643512018</v>
      </c>
    </row>
    <row r="488" spans="1:18">
      <c r="A488" s="6">
        <v>2015</v>
      </c>
      <c r="B488" s="19" t="s">
        <v>40</v>
      </c>
      <c r="C488" s="6">
        <v>0.6147</v>
      </c>
      <c r="D488" s="6">
        <v>3070</v>
      </c>
      <c r="E488" s="6">
        <f t="shared" si="102"/>
        <v>1887.129</v>
      </c>
      <c r="F488" s="6">
        <f t="shared" si="101"/>
        <v>1182.871</v>
      </c>
      <c r="G488" s="15">
        <v>27238.8424352384</v>
      </c>
      <c r="H488" s="15">
        <v>10504.7139052849</v>
      </c>
      <c r="I488" s="15">
        <f t="shared" si="103"/>
        <v>51403209.485969</v>
      </c>
      <c r="J488" s="15">
        <f t="shared" si="104"/>
        <v>12425721.4418583</v>
      </c>
      <c r="K488" s="15">
        <f t="shared" si="105"/>
        <v>63828930.9278273</v>
      </c>
      <c r="L488" s="15">
        <f t="shared" si="106"/>
        <v>0.805327752459018</v>
      </c>
      <c r="M488" s="15">
        <f t="shared" si="107"/>
        <v>0.194672247540982</v>
      </c>
      <c r="N488" s="15">
        <f t="shared" si="108"/>
        <v>0.6147</v>
      </c>
      <c r="O488" s="15">
        <f t="shared" si="109"/>
        <v>0.3853</v>
      </c>
      <c r="P488" s="15">
        <f t="shared" si="110"/>
        <v>1.31011510079554</v>
      </c>
      <c r="Q488" s="15">
        <f t="shared" si="111"/>
        <v>0.505248501274286</v>
      </c>
      <c r="R488" s="7">
        <f t="shared" si="112"/>
        <v>0.084627407931522</v>
      </c>
    </row>
    <row r="489" spans="1:18">
      <c r="A489" s="6">
        <v>2015</v>
      </c>
      <c r="B489" s="19" t="s">
        <v>41</v>
      </c>
      <c r="C489" s="6">
        <v>0.4827</v>
      </c>
      <c r="D489" s="6">
        <v>8196</v>
      </c>
      <c r="E489" s="6">
        <f t="shared" si="102"/>
        <v>3956.2092</v>
      </c>
      <c r="F489" s="6">
        <f t="shared" si="101"/>
        <v>4239.7908</v>
      </c>
      <c r="G489" s="15">
        <v>26205.252940432</v>
      </c>
      <c r="H489" s="15">
        <v>10247.3547107899</v>
      </c>
      <c r="I489" s="15">
        <f t="shared" si="103"/>
        <v>103673462.771264</v>
      </c>
      <c r="J489" s="15">
        <f t="shared" si="104"/>
        <v>43446640.2271437</v>
      </c>
      <c r="K489" s="15">
        <f t="shared" si="105"/>
        <v>147120102.998408</v>
      </c>
      <c r="L489" s="15">
        <f t="shared" si="106"/>
        <v>0.704685903954174</v>
      </c>
      <c r="M489" s="15">
        <f t="shared" si="107"/>
        <v>0.295314096045826</v>
      </c>
      <c r="N489" s="15">
        <f t="shared" si="108"/>
        <v>0.4827</v>
      </c>
      <c r="O489" s="15">
        <f t="shared" si="109"/>
        <v>0.5173</v>
      </c>
      <c r="P489" s="15">
        <f t="shared" si="110"/>
        <v>1.45988378693634</v>
      </c>
      <c r="Q489" s="15">
        <f t="shared" si="111"/>
        <v>0.57087588642147</v>
      </c>
      <c r="R489" s="7">
        <f t="shared" si="112"/>
        <v>0.101074531787792</v>
      </c>
    </row>
    <row r="490" spans="1:18">
      <c r="A490" s="6">
        <v>2015</v>
      </c>
      <c r="B490" s="19" t="s">
        <v>42</v>
      </c>
      <c r="C490" s="6">
        <v>0.4296</v>
      </c>
      <c r="D490" s="6">
        <v>3708</v>
      </c>
      <c r="E490" s="6">
        <f t="shared" si="102"/>
        <v>1592.9568</v>
      </c>
      <c r="F490" s="6">
        <f t="shared" si="101"/>
        <v>2115.0432</v>
      </c>
      <c r="G490" s="15">
        <v>24579.6354308824</v>
      </c>
      <c r="H490" s="15">
        <v>7386.86573434666</v>
      </c>
      <c r="I490" s="15">
        <f t="shared" si="103"/>
        <v>39154297.401145</v>
      </c>
      <c r="J490" s="15">
        <f t="shared" si="104"/>
        <v>15623540.1407429</v>
      </c>
      <c r="K490" s="15">
        <f t="shared" si="105"/>
        <v>54777837.541888</v>
      </c>
      <c r="L490" s="15">
        <f t="shared" si="106"/>
        <v>0.714783554045999</v>
      </c>
      <c r="M490" s="15">
        <f t="shared" si="107"/>
        <v>0.285216445954001</v>
      </c>
      <c r="N490" s="15">
        <f t="shared" si="108"/>
        <v>0.4296</v>
      </c>
      <c r="O490" s="15">
        <f t="shared" si="109"/>
        <v>0.5704</v>
      </c>
      <c r="P490" s="15">
        <f t="shared" si="110"/>
        <v>1.66383508856145</v>
      </c>
      <c r="Q490" s="15">
        <f t="shared" si="111"/>
        <v>0.500028832317673</v>
      </c>
      <c r="R490" s="7">
        <f t="shared" si="112"/>
        <v>0.166233813889254</v>
      </c>
    </row>
    <row r="491" spans="1:18">
      <c r="A491" s="6">
        <v>2015</v>
      </c>
      <c r="B491" s="19" t="s">
        <v>43</v>
      </c>
      <c r="C491" s="6">
        <v>0.4293</v>
      </c>
      <c r="D491" s="6">
        <v>4663</v>
      </c>
      <c r="E491" s="6">
        <f t="shared" si="102"/>
        <v>2001.8259</v>
      </c>
      <c r="F491" s="6">
        <f t="shared" si="101"/>
        <v>2661.1741</v>
      </c>
      <c r="G491" s="15">
        <v>26373.2329205527</v>
      </c>
      <c r="H491" s="15">
        <v>8242.07673336673</v>
      </c>
      <c r="I491" s="15">
        <f t="shared" si="103"/>
        <v>52794620.727095</v>
      </c>
      <c r="J491" s="15">
        <f t="shared" si="104"/>
        <v>21933601.1330482</v>
      </c>
      <c r="K491" s="15">
        <f t="shared" si="105"/>
        <v>74728221.8601432</v>
      </c>
      <c r="L491" s="15">
        <f t="shared" si="106"/>
        <v>0.706488384346977</v>
      </c>
      <c r="M491" s="15">
        <f t="shared" si="107"/>
        <v>0.293511615653023</v>
      </c>
      <c r="N491" s="15">
        <f t="shared" si="108"/>
        <v>0.4293</v>
      </c>
      <c r="O491" s="15">
        <f t="shared" si="109"/>
        <v>0.5707</v>
      </c>
      <c r="P491" s="15">
        <f t="shared" si="110"/>
        <v>1.64567524888651</v>
      </c>
      <c r="Q491" s="15">
        <f t="shared" si="111"/>
        <v>0.514301061245878</v>
      </c>
      <c r="R491" s="7">
        <f t="shared" si="112"/>
        <v>0.156768233107686</v>
      </c>
    </row>
    <row r="492" spans="1:18">
      <c r="A492" s="6">
        <v>2015</v>
      </c>
      <c r="B492" s="19" t="s">
        <v>44</v>
      </c>
      <c r="C492" s="6">
        <v>0.2887</v>
      </c>
      <c r="D492" s="6">
        <v>330</v>
      </c>
      <c r="E492" s="6">
        <f t="shared" si="102"/>
        <v>95.271</v>
      </c>
      <c r="F492" s="6">
        <f t="shared" si="101"/>
        <v>234.729</v>
      </c>
      <c r="G492" s="15">
        <v>25456.63345658</v>
      </c>
      <c r="H492" s="15">
        <v>8243.67651248448</v>
      </c>
      <c r="I492" s="15">
        <f t="shared" si="103"/>
        <v>2425278.92604183</v>
      </c>
      <c r="J492" s="15">
        <f t="shared" si="104"/>
        <v>1935029.94409897</v>
      </c>
      <c r="K492" s="15">
        <f t="shared" si="105"/>
        <v>4360308.8701408</v>
      </c>
      <c r="L492" s="15">
        <f t="shared" si="106"/>
        <v>0.556217230997105</v>
      </c>
      <c r="M492" s="15">
        <f t="shared" si="107"/>
        <v>0.443782769002895</v>
      </c>
      <c r="N492" s="15">
        <f t="shared" si="108"/>
        <v>0.2887</v>
      </c>
      <c r="O492" s="15">
        <f t="shared" si="109"/>
        <v>0.7113</v>
      </c>
      <c r="P492" s="15">
        <f t="shared" si="110"/>
        <v>1.92662705575721</v>
      </c>
      <c r="Q492" s="15">
        <f t="shared" si="111"/>
        <v>0.623903794464916</v>
      </c>
      <c r="R492" s="7">
        <f t="shared" si="112"/>
        <v>0.155392478910691</v>
      </c>
    </row>
    <row r="493" spans="1:18">
      <c r="A493" s="6">
        <v>2015</v>
      </c>
      <c r="B493" s="19" t="s">
        <v>45</v>
      </c>
      <c r="C493" s="6">
        <v>0.5474</v>
      </c>
      <c r="D493" s="6">
        <v>3846</v>
      </c>
      <c r="E493" s="6">
        <f t="shared" si="102"/>
        <v>2105.3004</v>
      </c>
      <c r="F493" s="6">
        <f t="shared" si="101"/>
        <v>1740.6996</v>
      </c>
      <c r="G493" s="15">
        <v>26420.2113146678</v>
      </c>
      <c r="H493" s="15">
        <v>8688.90501464788</v>
      </c>
      <c r="I493" s="15">
        <f t="shared" si="103"/>
        <v>55622481.4488546</v>
      </c>
      <c r="J493" s="15">
        <f t="shared" si="104"/>
        <v>15124773.4834356</v>
      </c>
      <c r="K493" s="15">
        <f t="shared" si="105"/>
        <v>70747254.9322902</v>
      </c>
      <c r="L493" s="15">
        <f t="shared" si="106"/>
        <v>0.786213988119949</v>
      </c>
      <c r="M493" s="15">
        <f t="shared" si="107"/>
        <v>0.213786011880051</v>
      </c>
      <c r="N493" s="15">
        <f t="shared" si="108"/>
        <v>0.5474</v>
      </c>
      <c r="O493" s="15">
        <f t="shared" si="109"/>
        <v>0.4526</v>
      </c>
      <c r="P493" s="15">
        <f t="shared" si="110"/>
        <v>1.43626961658741</v>
      </c>
      <c r="Q493" s="15">
        <f t="shared" si="111"/>
        <v>0.472350887936479</v>
      </c>
      <c r="R493" s="7">
        <f t="shared" si="112"/>
        <v>0.124301553259139</v>
      </c>
    </row>
    <row r="494" spans="1:18">
      <c r="A494" s="6">
        <v>2015</v>
      </c>
      <c r="B494" s="19" t="s">
        <v>46</v>
      </c>
      <c r="C494" s="6">
        <v>0.4424</v>
      </c>
      <c r="D494" s="6">
        <v>2523</v>
      </c>
      <c r="E494" s="6">
        <f t="shared" si="102"/>
        <v>1116.1752</v>
      </c>
      <c r="F494" s="6">
        <f t="shared" si="101"/>
        <v>1406.8248</v>
      </c>
      <c r="G494" s="15">
        <v>23767.0843280591</v>
      </c>
      <c r="H494" s="15">
        <v>6936.20970012844</v>
      </c>
      <c r="I494" s="15">
        <f t="shared" si="103"/>
        <v>26528230.1032882</v>
      </c>
      <c r="J494" s="15">
        <f t="shared" si="104"/>
        <v>9758031.82414125</v>
      </c>
      <c r="K494" s="15">
        <f t="shared" si="105"/>
        <v>36286261.9274295</v>
      </c>
      <c r="L494" s="15">
        <f t="shared" si="106"/>
        <v>0.731081921757144</v>
      </c>
      <c r="M494" s="15">
        <f t="shared" si="107"/>
        <v>0.268918078242856</v>
      </c>
      <c r="N494" s="15">
        <f t="shared" si="108"/>
        <v>0.4424</v>
      </c>
      <c r="O494" s="15">
        <f t="shared" si="109"/>
        <v>0.5576</v>
      </c>
      <c r="P494" s="15">
        <f t="shared" si="110"/>
        <v>1.6525359895053</v>
      </c>
      <c r="Q494" s="15">
        <f t="shared" si="111"/>
        <v>0.482277758685179</v>
      </c>
      <c r="R494" s="7">
        <f t="shared" si="112"/>
        <v>0.17112605025363</v>
      </c>
    </row>
    <row r="495" spans="1:18">
      <c r="A495" s="6">
        <v>2015</v>
      </c>
      <c r="B495" s="19" t="s">
        <v>47</v>
      </c>
      <c r="C495" s="6">
        <v>0.5167</v>
      </c>
      <c r="D495" s="6">
        <v>577</v>
      </c>
      <c r="E495" s="6">
        <f t="shared" si="102"/>
        <v>298.1359</v>
      </c>
      <c r="F495" s="6">
        <f t="shared" si="101"/>
        <v>278.8641</v>
      </c>
      <c r="G495" s="15">
        <v>24542.3489447427</v>
      </c>
      <c r="H495" s="15">
        <v>7933.41191960776</v>
      </c>
      <c r="I495" s="15">
        <f t="shared" si="103"/>
        <v>7316955.29075492</v>
      </c>
      <c r="J495" s="15">
        <f t="shared" si="104"/>
        <v>2212343.77489069</v>
      </c>
      <c r="K495" s="15">
        <f t="shared" si="105"/>
        <v>9529299.06564561</v>
      </c>
      <c r="L495" s="15">
        <f t="shared" si="106"/>
        <v>0.767837722412713</v>
      </c>
      <c r="M495" s="15">
        <f t="shared" si="107"/>
        <v>0.232162277587287</v>
      </c>
      <c r="N495" s="15">
        <f t="shared" si="108"/>
        <v>0.5167</v>
      </c>
      <c r="O495" s="15">
        <f t="shared" si="109"/>
        <v>0.4833</v>
      </c>
      <c r="P495" s="15">
        <f t="shared" si="110"/>
        <v>1.48604165359534</v>
      </c>
      <c r="Q495" s="15">
        <f t="shared" si="111"/>
        <v>0.480368875620292</v>
      </c>
      <c r="R495" s="7">
        <f t="shared" si="112"/>
        <v>0.133931179979686</v>
      </c>
    </row>
    <row r="496" spans="1:18">
      <c r="A496" s="6">
        <v>2015</v>
      </c>
      <c r="B496" s="19" t="s">
        <v>48</v>
      </c>
      <c r="C496" s="6">
        <v>0.5698</v>
      </c>
      <c r="D496" s="6">
        <v>684</v>
      </c>
      <c r="E496" s="6">
        <f t="shared" si="102"/>
        <v>389.7432</v>
      </c>
      <c r="F496" s="6">
        <f t="shared" si="101"/>
        <v>294.2568</v>
      </c>
      <c r="G496" s="15">
        <v>25186.0131896961</v>
      </c>
      <c r="H496" s="15">
        <v>9118.69161657525</v>
      </c>
      <c r="I496" s="15">
        <f t="shared" si="103"/>
        <v>9816077.37579436</v>
      </c>
      <c r="J496" s="15">
        <f t="shared" si="104"/>
        <v>2683237.01528026</v>
      </c>
      <c r="K496" s="15">
        <f t="shared" si="105"/>
        <v>12499314.3910746</v>
      </c>
      <c r="L496" s="15">
        <f t="shared" si="106"/>
        <v>0.78532926436379</v>
      </c>
      <c r="M496" s="15">
        <f t="shared" si="107"/>
        <v>0.21467073563621</v>
      </c>
      <c r="N496" s="15">
        <f t="shared" si="108"/>
        <v>0.5698</v>
      </c>
      <c r="O496" s="15">
        <f t="shared" si="109"/>
        <v>0.4302</v>
      </c>
      <c r="P496" s="15">
        <f t="shared" si="110"/>
        <v>1.37825423721269</v>
      </c>
      <c r="Q496" s="15">
        <f t="shared" si="111"/>
        <v>0.499002174886588</v>
      </c>
      <c r="R496" s="7">
        <f t="shared" si="112"/>
        <v>0.102720240385613</v>
      </c>
    </row>
    <row r="497" spans="1:18">
      <c r="A497" s="6">
        <v>2015</v>
      </c>
      <c r="B497" s="19" t="s">
        <v>49</v>
      </c>
      <c r="C497" s="6">
        <v>0.4878</v>
      </c>
      <c r="D497" s="6">
        <v>2385</v>
      </c>
      <c r="E497" s="6">
        <f t="shared" si="102"/>
        <v>1163.403</v>
      </c>
      <c r="F497" s="6">
        <f t="shared" si="101"/>
        <v>1221.597</v>
      </c>
      <c r="G497" s="15">
        <v>26274.6557853125</v>
      </c>
      <c r="H497" s="15">
        <v>9425.07564755213</v>
      </c>
      <c r="I497" s="15">
        <f t="shared" si="103"/>
        <v>30568013.3645999</v>
      </c>
      <c r="J497" s="15">
        <f t="shared" si="104"/>
        <v>11513644.1358227</v>
      </c>
      <c r="K497" s="15">
        <f t="shared" si="105"/>
        <v>42081657.5004227</v>
      </c>
      <c r="L497" s="15">
        <f t="shared" si="106"/>
        <v>0.726397560844482</v>
      </c>
      <c r="M497" s="15">
        <f t="shared" si="107"/>
        <v>0.273602439155518</v>
      </c>
      <c r="N497" s="15">
        <f t="shared" si="108"/>
        <v>0.4878</v>
      </c>
      <c r="O497" s="15">
        <f t="shared" si="109"/>
        <v>0.5122</v>
      </c>
      <c r="P497" s="15">
        <f t="shared" si="110"/>
        <v>1.4891298910301</v>
      </c>
      <c r="Q497" s="15">
        <f t="shared" si="111"/>
        <v>0.53417110338836</v>
      </c>
      <c r="R497" s="7">
        <f t="shared" si="112"/>
        <v>0.117686265835008</v>
      </c>
    </row>
    <row r="498" spans="1:18">
      <c r="A498" s="6">
        <v>2016</v>
      </c>
      <c r="B498" s="19" t="s">
        <v>19</v>
      </c>
      <c r="C498" s="6">
        <v>0.8676</v>
      </c>
      <c r="D498" s="6">
        <v>2195</v>
      </c>
      <c r="E498" s="6">
        <f t="shared" si="102"/>
        <v>1904.382</v>
      </c>
      <c r="F498" s="6">
        <f t="shared" si="101"/>
        <v>290.618</v>
      </c>
      <c r="G498" s="15">
        <v>57275.310785</v>
      </c>
      <c r="H498" s="15">
        <v>22309.523199</v>
      </c>
      <c r="I498" s="15">
        <f t="shared" si="103"/>
        <v>109074070.90336</v>
      </c>
      <c r="J498" s="15">
        <f t="shared" si="104"/>
        <v>6483549.01304698</v>
      </c>
      <c r="K498" s="15">
        <f t="shared" si="105"/>
        <v>115557619.916407</v>
      </c>
      <c r="L498" s="15">
        <f t="shared" si="106"/>
        <v>0.943893366636167</v>
      </c>
      <c r="M498" s="15">
        <f t="shared" si="107"/>
        <v>0.0561066333638328</v>
      </c>
      <c r="N498" s="15">
        <f t="shared" si="108"/>
        <v>0.8676</v>
      </c>
      <c r="O498" s="15">
        <f t="shared" si="109"/>
        <v>0.1324</v>
      </c>
      <c r="P498" s="15">
        <f t="shared" si="110"/>
        <v>1.08793610723394</v>
      </c>
      <c r="Q498" s="15">
        <f t="shared" si="111"/>
        <v>0.423766113019885</v>
      </c>
      <c r="R498" s="7">
        <f t="shared" si="112"/>
        <v>0.0313819448279508</v>
      </c>
    </row>
    <row r="499" spans="1:18">
      <c r="A499" s="6">
        <v>2016</v>
      </c>
      <c r="B499" s="19" t="s">
        <v>20</v>
      </c>
      <c r="C499" s="6">
        <v>0.8327</v>
      </c>
      <c r="D499" s="6">
        <v>1443</v>
      </c>
      <c r="E499" s="6">
        <f t="shared" si="102"/>
        <v>1201.5861</v>
      </c>
      <c r="F499" s="6">
        <f t="shared" si="101"/>
        <v>241.4139</v>
      </c>
      <c r="G499" s="15">
        <v>37109.572858</v>
      </c>
      <c r="H499" s="15">
        <v>20075.6406</v>
      </c>
      <c r="I499" s="15">
        <f t="shared" si="103"/>
        <v>44590346.9231101</v>
      </c>
      <c r="J499" s="15">
        <f t="shared" si="104"/>
        <v>4846538.69224434</v>
      </c>
      <c r="K499" s="15">
        <f t="shared" si="105"/>
        <v>49436885.6153544</v>
      </c>
      <c r="L499" s="15">
        <f t="shared" si="106"/>
        <v>0.901965129236639</v>
      </c>
      <c r="M499" s="15">
        <f t="shared" si="107"/>
        <v>0.0980348707633612</v>
      </c>
      <c r="N499" s="15">
        <f t="shared" si="108"/>
        <v>0.8327</v>
      </c>
      <c r="O499" s="15">
        <f t="shared" si="109"/>
        <v>0.1673</v>
      </c>
      <c r="P499" s="15">
        <f t="shared" si="110"/>
        <v>1.08318137292739</v>
      </c>
      <c r="Q499" s="15">
        <f t="shared" si="111"/>
        <v>0.585982491113934</v>
      </c>
      <c r="R499" s="7">
        <f t="shared" si="112"/>
        <v>0.0196729592883113</v>
      </c>
    </row>
    <row r="500" spans="1:18">
      <c r="A500" s="6">
        <v>2016</v>
      </c>
      <c r="B500" s="19" t="s">
        <v>21</v>
      </c>
      <c r="C500" s="6">
        <v>0.5387</v>
      </c>
      <c r="D500" s="6">
        <v>7375</v>
      </c>
      <c r="E500" s="6">
        <f t="shared" si="102"/>
        <v>3972.9125</v>
      </c>
      <c r="F500" s="6">
        <f t="shared" si="101"/>
        <v>3402.0875</v>
      </c>
      <c r="G500" s="15">
        <v>28249.39182</v>
      </c>
      <c r="H500" s="15">
        <v>11919.354067</v>
      </c>
      <c r="I500" s="15">
        <f t="shared" si="103"/>
        <v>112232361.879076</v>
      </c>
      <c r="J500" s="15">
        <f t="shared" si="104"/>
        <v>40550685.4794149</v>
      </c>
      <c r="K500" s="15">
        <f t="shared" si="105"/>
        <v>152783047.358491</v>
      </c>
      <c r="L500" s="15">
        <f t="shared" si="106"/>
        <v>0.734586485997582</v>
      </c>
      <c r="M500" s="15">
        <f t="shared" si="107"/>
        <v>0.265413514002418</v>
      </c>
      <c r="N500" s="15">
        <f t="shared" si="108"/>
        <v>0.5387</v>
      </c>
      <c r="O500" s="15">
        <f t="shared" si="109"/>
        <v>0.4613</v>
      </c>
      <c r="P500" s="15">
        <f t="shared" si="110"/>
        <v>1.36362815295634</v>
      </c>
      <c r="Q500" s="15">
        <f t="shared" si="111"/>
        <v>0.575359882944761</v>
      </c>
      <c r="R500" s="7">
        <f t="shared" si="112"/>
        <v>0.0811213410981341</v>
      </c>
    </row>
    <row r="501" spans="1:18">
      <c r="A501" s="6">
        <v>2016</v>
      </c>
      <c r="B501" s="19" t="s">
        <v>22</v>
      </c>
      <c r="C501" s="6">
        <v>0.5727</v>
      </c>
      <c r="D501" s="6">
        <v>3514</v>
      </c>
      <c r="E501" s="6">
        <f t="shared" si="102"/>
        <v>2012.4678</v>
      </c>
      <c r="F501" s="6">
        <f t="shared" si="101"/>
        <v>1501.5322</v>
      </c>
      <c r="G501" s="15">
        <v>27352.330971</v>
      </c>
      <c r="H501" s="15">
        <v>10082.451579</v>
      </c>
      <c r="I501" s="15">
        <f t="shared" si="103"/>
        <v>55045685.3340802</v>
      </c>
      <c r="J501" s="15">
        <f t="shared" si="104"/>
        <v>15139125.7008093</v>
      </c>
      <c r="K501" s="15">
        <f t="shared" si="105"/>
        <v>70184811.0348896</v>
      </c>
      <c r="L501" s="15">
        <f t="shared" si="106"/>
        <v>0.784296267560177</v>
      </c>
      <c r="M501" s="15">
        <f t="shared" si="107"/>
        <v>0.215703732439823</v>
      </c>
      <c r="N501" s="15">
        <f t="shared" si="108"/>
        <v>0.5727</v>
      </c>
      <c r="O501" s="15">
        <f t="shared" si="109"/>
        <v>0.4273</v>
      </c>
      <c r="P501" s="15">
        <f t="shared" si="110"/>
        <v>1.36947139437782</v>
      </c>
      <c r="Q501" s="15">
        <f t="shared" si="111"/>
        <v>0.50480630105271</v>
      </c>
      <c r="R501" s="7">
        <f t="shared" si="112"/>
        <v>0.0991513520579903</v>
      </c>
    </row>
    <row r="502" spans="1:18">
      <c r="A502" s="6">
        <v>2016</v>
      </c>
      <c r="B502" s="19" t="s">
        <v>23</v>
      </c>
      <c r="C502" s="6">
        <v>0.634</v>
      </c>
      <c r="D502" s="6">
        <v>2436</v>
      </c>
      <c r="E502" s="6">
        <f t="shared" si="102"/>
        <v>1544.424</v>
      </c>
      <c r="F502" s="6">
        <f t="shared" si="101"/>
        <v>891.576</v>
      </c>
      <c r="G502" s="15">
        <v>32974.946429</v>
      </c>
      <c r="H502" s="15">
        <v>11609.001521</v>
      </c>
      <c r="I502" s="15">
        <f t="shared" si="103"/>
        <v>50927298.6636619</v>
      </c>
      <c r="J502" s="15">
        <f t="shared" si="104"/>
        <v>10350307.1400871</v>
      </c>
      <c r="K502" s="15">
        <f t="shared" si="105"/>
        <v>61277605.803749</v>
      </c>
      <c r="L502" s="15">
        <f t="shared" si="106"/>
        <v>0.831091521864683</v>
      </c>
      <c r="M502" s="15">
        <f t="shared" si="107"/>
        <v>0.168908478135317</v>
      </c>
      <c r="N502" s="15">
        <f t="shared" si="108"/>
        <v>0.634</v>
      </c>
      <c r="O502" s="15">
        <f t="shared" si="109"/>
        <v>0.366</v>
      </c>
      <c r="P502" s="15">
        <f t="shared" si="110"/>
        <v>1.31086990830392</v>
      </c>
      <c r="Q502" s="15">
        <f t="shared" si="111"/>
        <v>0.46149857414021</v>
      </c>
      <c r="R502" s="7">
        <f t="shared" si="112"/>
        <v>0.0943560438669245</v>
      </c>
    </row>
    <row r="503" spans="1:18">
      <c r="A503" s="6">
        <v>2016</v>
      </c>
      <c r="B503" s="19" t="s">
        <v>24</v>
      </c>
      <c r="C503" s="6">
        <v>0.6887</v>
      </c>
      <c r="D503" s="6">
        <v>4327</v>
      </c>
      <c r="E503" s="6">
        <f t="shared" si="102"/>
        <v>2980.0049</v>
      </c>
      <c r="F503" s="6">
        <f t="shared" si="101"/>
        <v>1346.9951</v>
      </c>
      <c r="G503" s="15">
        <v>32876.090384</v>
      </c>
      <c r="H503" s="15">
        <v>12880.708763</v>
      </c>
      <c r="I503" s="15">
        <f t="shared" si="103"/>
        <v>97970910.4371629</v>
      </c>
      <c r="J503" s="15">
        <f t="shared" si="104"/>
        <v>17350251.5882881</v>
      </c>
      <c r="K503" s="15">
        <f t="shared" si="105"/>
        <v>115321162.025451</v>
      </c>
      <c r="L503" s="15">
        <f t="shared" si="106"/>
        <v>0.849548415194958</v>
      </c>
      <c r="M503" s="15">
        <f t="shared" si="107"/>
        <v>0.150451584805041</v>
      </c>
      <c r="N503" s="15">
        <f t="shared" si="108"/>
        <v>0.6887</v>
      </c>
      <c r="O503" s="15">
        <f t="shared" si="109"/>
        <v>0.3113</v>
      </c>
      <c r="P503" s="15">
        <f t="shared" si="110"/>
        <v>1.233553673871</v>
      </c>
      <c r="Q503" s="15">
        <f t="shared" si="111"/>
        <v>0.483300947012661</v>
      </c>
      <c r="R503" s="7">
        <f t="shared" si="112"/>
        <v>0.0689237912932342</v>
      </c>
    </row>
    <row r="504" spans="1:18">
      <c r="A504" s="6">
        <v>2016</v>
      </c>
      <c r="B504" s="19" t="s">
        <v>25</v>
      </c>
      <c r="C504" s="6">
        <v>0.5875</v>
      </c>
      <c r="D504" s="6">
        <v>2567</v>
      </c>
      <c r="E504" s="6">
        <f t="shared" si="102"/>
        <v>1508.1125</v>
      </c>
      <c r="F504" s="6">
        <f t="shared" si="101"/>
        <v>1058.8875</v>
      </c>
      <c r="G504" s="15">
        <v>26530.416606</v>
      </c>
      <c r="H504" s="15">
        <v>12122.941413</v>
      </c>
      <c r="I504" s="15">
        <f t="shared" si="103"/>
        <v>40010852.9137162</v>
      </c>
      <c r="J504" s="15">
        <f t="shared" si="104"/>
        <v>12836831.125458</v>
      </c>
      <c r="K504" s="15">
        <f t="shared" si="105"/>
        <v>52847684.0391742</v>
      </c>
      <c r="L504" s="15">
        <f t="shared" si="106"/>
        <v>0.757097565222678</v>
      </c>
      <c r="M504" s="15">
        <f t="shared" si="107"/>
        <v>0.242902434777322</v>
      </c>
      <c r="N504" s="15">
        <f t="shared" si="108"/>
        <v>0.5875</v>
      </c>
      <c r="O504" s="15">
        <f t="shared" si="109"/>
        <v>0.4125</v>
      </c>
      <c r="P504" s="15">
        <f t="shared" si="110"/>
        <v>1.288676706762</v>
      </c>
      <c r="Q504" s="15">
        <f t="shared" si="111"/>
        <v>0.588854387338963</v>
      </c>
      <c r="R504" s="7">
        <f t="shared" si="112"/>
        <v>0.0633765837906503</v>
      </c>
    </row>
    <row r="505" spans="1:18">
      <c r="A505" s="6">
        <v>2016</v>
      </c>
      <c r="B505" s="19" t="s">
        <v>26</v>
      </c>
      <c r="C505" s="6">
        <v>0.6109</v>
      </c>
      <c r="D505" s="6">
        <v>3463</v>
      </c>
      <c r="E505" s="6">
        <f t="shared" si="102"/>
        <v>2115.5467</v>
      </c>
      <c r="F505" s="6">
        <f t="shared" si="101"/>
        <v>1347.4533</v>
      </c>
      <c r="G505" s="15">
        <v>25736.432322</v>
      </c>
      <c r="H505" s="15">
        <v>11831.850736</v>
      </c>
      <c r="I505" s="15">
        <f t="shared" si="103"/>
        <v>54446624.4685804</v>
      </c>
      <c r="J505" s="15">
        <f t="shared" si="104"/>
        <v>15942866.3193306</v>
      </c>
      <c r="K505" s="15">
        <f t="shared" si="105"/>
        <v>70389490.7879111</v>
      </c>
      <c r="L505" s="15">
        <f t="shared" si="106"/>
        <v>0.773505019842128</v>
      </c>
      <c r="M505" s="15">
        <f t="shared" si="107"/>
        <v>0.226494980157872</v>
      </c>
      <c r="N505" s="15">
        <f t="shared" si="108"/>
        <v>0.6109</v>
      </c>
      <c r="O505" s="15">
        <f t="shared" si="109"/>
        <v>0.3891</v>
      </c>
      <c r="P505" s="15">
        <f t="shared" si="110"/>
        <v>1.26617289219533</v>
      </c>
      <c r="Q505" s="15">
        <f t="shared" si="111"/>
        <v>0.582099666301393</v>
      </c>
      <c r="R505" s="7">
        <f t="shared" si="112"/>
        <v>0.0599868048087177</v>
      </c>
    </row>
    <row r="506" spans="1:18">
      <c r="A506" s="6">
        <v>2016</v>
      </c>
      <c r="B506" s="19" t="s">
        <v>27</v>
      </c>
      <c r="C506" s="6">
        <v>0.89</v>
      </c>
      <c r="D506" s="6">
        <v>2467</v>
      </c>
      <c r="E506" s="6">
        <f t="shared" si="102"/>
        <v>2195.63</v>
      </c>
      <c r="F506" s="6">
        <f t="shared" ref="F506:F569" si="113">D506-E506</f>
        <v>271.37</v>
      </c>
      <c r="G506" s="15">
        <v>57691.669364</v>
      </c>
      <c r="H506" s="15">
        <v>25520.404908</v>
      </c>
      <c r="I506" s="15">
        <f t="shared" si="103"/>
        <v>126669560.005679</v>
      </c>
      <c r="J506" s="15">
        <f t="shared" si="104"/>
        <v>6925472.27988396</v>
      </c>
      <c r="K506" s="15">
        <f t="shared" si="105"/>
        <v>133595032.285563</v>
      </c>
      <c r="L506" s="15">
        <f t="shared" si="106"/>
        <v>0.948160705069627</v>
      </c>
      <c r="M506" s="15">
        <f t="shared" si="107"/>
        <v>0.0518392949303726</v>
      </c>
      <c r="N506" s="15">
        <f t="shared" si="108"/>
        <v>0.89</v>
      </c>
      <c r="O506" s="15">
        <f t="shared" si="109"/>
        <v>0.11</v>
      </c>
      <c r="P506" s="15">
        <f t="shared" si="110"/>
        <v>1.06534910681981</v>
      </c>
      <c r="Q506" s="15">
        <f t="shared" si="111"/>
        <v>0.471266317548842</v>
      </c>
      <c r="R506" s="7">
        <f t="shared" si="112"/>
        <v>0.0210206299503226</v>
      </c>
    </row>
    <row r="507" spans="1:18">
      <c r="A507" s="6">
        <v>2016</v>
      </c>
      <c r="B507" s="19" t="s">
        <v>28</v>
      </c>
      <c r="C507" s="6">
        <v>0.6893</v>
      </c>
      <c r="D507" s="6">
        <v>8381</v>
      </c>
      <c r="E507" s="6">
        <f t="shared" si="102"/>
        <v>5777.0233</v>
      </c>
      <c r="F507" s="6">
        <f t="shared" si="113"/>
        <v>2603.9767</v>
      </c>
      <c r="G507" s="15">
        <v>40151.594436</v>
      </c>
      <c r="H507" s="15">
        <v>17605.643728</v>
      </c>
      <c r="I507" s="15">
        <f t="shared" si="103"/>
        <v>231956696.588922</v>
      </c>
      <c r="J507" s="15">
        <f t="shared" si="104"/>
        <v>45844686.0562131</v>
      </c>
      <c r="K507" s="15">
        <f t="shared" si="105"/>
        <v>277801382.645136</v>
      </c>
      <c r="L507" s="15">
        <f t="shared" si="106"/>
        <v>0.834973153770169</v>
      </c>
      <c r="M507" s="15">
        <f t="shared" si="107"/>
        <v>0.165026846229831</v>
      </c>
      <c r="N507" s="15">
        <f t="shared" si="108"/>
        <v>0.6893</v>
      </c>
      <c r="O507" s="15">
        <f t="shared" si="109"/>
        <v>0.3107</v>
      </c>
      <c r="P507" s="15">
        <f t="shared" si="110"/>
        <v>1.21133491044562</v>
      </c>
      <c r="Q507" s="15">
        <f t="shared" si="111"/>
        <v>0.531145304891634</v>
      </c>
      <c r="R507" s="7">
        <f t="shared" si="112"/>
        <v>0.055667815386942</v>
      </c>
    </row>
    <row r="508" spans="1:18">
      <c r="A508" s="6">
        <v>2016</v>
      </c>
      <c r="B508" s="19" t="s">
        <v>29</v>
      </c>
      <c r="C508" s="6">
        <v>0.6772</v>
      </c>
      <c r="D508" s="6">
        <v>6072</v>
      </c>
      <c r="E508" s="6">
        <f t="shared" si="102"/>
        <v>4111.9584</v>
      </c>
      <c r="F508" s="6">
        <f t="shared" si="113"/>
        <v>1960.0416</v>
      </c>
      <c r="G508" s="15">
        <v>47237.178335</v>
      </c>
      <c r="H508" s="15">
        <v>22866.068862</v>
      </c>
      <c r="I508" s="15">
        <f t="shared" si="103"/>
        <v>194237312.246901</v>
      </c>
      <c r="J508" s="15">
        <f t="shared" si="104"/>
        <v>44818446.1979847</v>
      </c>
      <c r="K508" s="15">
        <f t="shared" si="105"/>
        <v>239055758.444886</v>
      </c>
      <c r="L508" s="15">
        <f t="shared" si="106"/>
        <v>0.812518859660444</v>
      </c>
      <c r="M508" s="15">
        <f t="shared" si="107"/>
        <v>0.187481140339556</v>
      </c>
      <c r="N508" s="15">
        <f t="shared" si="108"/>
        <v>0.6772</v>
      </c>
      <c r="O508" s="15">
        <f t="shared" si="109"/>
        <v>0.3228</v>
      </c>
      <c r="P508" s="15">
        <f t="shared" si="110"/>
        <v>1.19982111586008</v>
      </c>
      <c r="Q508" s="15">
        <f t="shared" si="111"/>
        <v>0.580796593369133</v>
      </c>
      <c r="R508" s="7">
        <f t="shared" si="112"/>
        <v>0.0461498169238636</v>
      </c>
    </row>
    <row r="509" spans="1:18">
      <c r="A509" s="6">
        <v>2016</v>
      </c>
      <c r="B509" s="19" t="s">
        <v>30</v>
      </c>
      <c r="C509" s="6">
        <v>0.5262</v>
      </c>
      <c r="D509" s="6">
        <v>6033</v>
      </c>
      <c r="E509" s="6">
        <f t="shared" si="102"/>
        <v>3174.5646</v>
      </c>
      <c r="F509" s="6">
        <f t="shared" si="113"/>
        <v>2858.4354</v>
      </c>
      <c r="G509" s="15">
        <v>29155.98415</v>
      </c>
      <c r="H509" s="15">
        <v>11720.473908</v>
      </c>
      <c r="I509" s="15">
        <f t="shared" si="103"/>
        <v>92557555.1607511</v>
      </c>
      <c r="J509" s="15">
        <f t="shared" si="104"/>
        <v>33502217.5234035</v>
      </c>
      <c r="K509" s="15">
        <f t="shared" si="105"/>
        <v>126059772.684155</v>
      </c>
      <c r="L509" s="15">
        <f t="shared" si="106"/>
        <v>0.734235459813623</v>
      </c>
      <c r="M509" s="15">
        <f t="shared" si="107"/>
        <v>0.265764540186377</v>
      </c>
      <c r="N509" s="15">
        <f t="shared" si="108"/>
        <v>0.5262</v>
      </c>
      <c r="O509" s="15">
        <f t="shared" si="109"/>
        <v>0.4738</v>
      </c>
      <c r="P509" s="15">
        <f t="shared" si="110"/>
        <v>1.39535435160324</v>
      </c>
      <c r="Q509" s="15">
        <f t="shared" si="111"/>
        <v>0.560921359616667</v>
      </c>
      <c r="R509" s="7">
        <f t="shared" si="112"/>
        <v>0.0909510708847089</v>
      </c>
    </row>
    <row r="510" spans="1:18">
      <c r="A510" s="6">
        <v>2016</v>
      </c>
      <c r="B510" s="19" t="s">
        <v>31</v>
      </c>
      <c r="C510" s="6">
        <v>0.6439</v>
      </c>
      <c r="D510" s="6">
        <v>4016</v>
      </c>
      <c r="E510" s="6">
        <f t="shared" si="102"/>
        <v>2585.9024</v>
      </c>
      <c r="F510" s="6">
        <f t="shared" si="113"/>
        <v>1430.0976</v>
      </c>
      <c r="G510" s="15">
        <v>36014.260499</v>
      </c>
      <c r="H510" s="15">
        <v>14999.188504</v>
      </c>
      <c r="I510" s="15">
        <f t="shared" si="103"/>
        <v>93129362.6585893</v>
      </c>
      <c r="J510" s="15">
        <f t="shared" si="104"/>
        <v>21450303.481518</v>
      </c>
      <c r="K510" s="15">
        <f t="shared" si="105"/>
        <v>114579666.140107</v>
      </c>
      <c r="L510" s="15">
        <f t="shared" si="106"/>
        <v>0.812791359897238</v>
      </c>
      <c r="M510" s="15">
        <f t="shared" si="107"/>
        <v>0.187208640102762</v>
      </c>
      <c r="N510" s="15">
        <f t="shared" si="108"/>
        <v>0.6439</v>
      </c>
      <c r="O510" s="15">
        <f t="shared" si="109"/>
        <v>0.3561</v>
      </c>
      <c r="P510" s="15">
        <f t="shared" si="110"/>
        <v>1.26229439337978</v>
      </c>
      <c r="Q510" s="15">
        <f t="shared" si="111"/>
        <v>0.525719292622191</v>
      </c>
      <c r="R510" s="7">
        <f t="shared" si="112"/>
        <v>0.0689514288585914</v>
      </c>
    </row>
    <row r="511" spans="1:18">
      <c r="A511" s="6">
        <v>2016</v>
      </c>
      <c r="B511" s="19" t="s">
        <v>32</v>
      </c>
      <c r="C511" s="6">
        <v>0.5399</v>
      </c>
      <c r="D511" s="6">
        <v>4496</v>
      </c>
      <c r="E511" s="6">
        <f t="shared" si="102"/>
        <v>2427.3904</v>
      </c>
      <c r="F511" s="6">
        <f t="shared" si="113"/>
        <v>2068.6096</v>
      </c>
      <c r="G511" s="15">
        <v>28673.276314</v>
      </c>
      <c r="H511" s="15">
        <v>12137.724504</v>
      </c>
      <c r="I511" s="15">
        <f t="shared" si="103"/>
        <v>69601235.661151</v>
      </c>
      <c r="J511" s="15">
        <f t="shared" si="104"/>
        <v>25108213.4311296</v>
      </c>
      <c r="K511" s="15">
        <f t="shared" si="105"/>
        <v>94709449.0922806</v>
      </c>
      <c r="L511" s="15">
        <f t="shared" si="106"/>
        <v>0.734892202712896</v>
      </c>
      <c r="M511" s="15">
        <f t="shared" si="107"/>
        <v>0.265107797287104</v>
      </c>
      <c r="N511" s="15">
        <f t="shared" si="108"/>
        <v>0.5399</v>
      </c>
      <c r="O511" s="15">
        <f t="shared" si="109"/>
        <v>0.4601</v>
      </c>
      <c r="P511" s="15">
        <f t="shared" si="110"/>
        <v>1.36116355383015</v>
      </c>
      <c r="Q511" s="15">
        <f t="shared" si="111"/>
        <v>0.576196038441869</v>
      </c>
      <c r="R511" s="7">
        <f t="shared" si="112"/>
        <v>0.0804407073372403</v>
      </c>
    </row>
    <row r="512" spans="1:18">
      <c r="A512" s="6">
        <v>2016</v>
      </c>
      <c r="B512" s="19" t="s">
        <v>33</v>
      </c>
      <c r="C512" s="6">
        <v>0.5913</v>
      </c>
      <c r="D512" s="6">
        <v>9973</v>
      </c>
      <c r="E512" s="6">
        <f t="shared" si="102"/>
        <v>5897.0349</v>
      </c>
      <c r="F512" s="6">
        <f t="shared" si="113"/>
        <v>4075.9651</v>
      </c>
      <c r="G512" s="15">
        <v>34012.084263</v>
      </c>
      <c r="H512" s="15">
        <v>13954.064255</v>
      </c>
      <c r="I512" s="15">
        <f t="shared" si="103"/>
        <v>200570447.920652</v>
      </c>
      <c r="J512" s="15">
        <f t="shared" si="104"/>
        <v>56876278.9065375</v>
      </c>
      <c r="K512" s="15">
        <f t="shared" si="105"/>
        <v>257446726.827189</v>
      </c>
      <c r="L512" s="15">
        <f t="shared" si="106"/>
        <v>0.779075540763369</v>
      </c>
      <c r="M512" s="15">
        <f t="shared" si="107"/>
        <v>0.220924459236631</v>
      </c>
      <c r="N512" s="15">
        <f t="shared" si="108"/>
        <v>0.5913</v>
      </c>
      <c r="O512" s="15">
        <f t="shared" si="109"/>
        <v>0.4087</v>
      </c>
      <c r="P512" s="15">
        <f t="shared" si="110"/>
        <v>1.31756391131975</v>
      </c>
      <c r="Q512" s="15">
        <f t="shared" si="111"/>
        <v>0.540554096492858</v>
      </c>
      <c r="R512" s="7">
        <f t="shared" si="112"/>
        <v>0.0789529518456322</v>
      </c>
    </row>
    <row r="513" spans="1:18">
      <c r="A513" s="6">
        <v>2016</v>
      </c>
      <c r="B513" s="19" t="s">
        <v>34</v>
      </c>
      <c r="C513" s="6">
        <v>0.4878</v>
      </c>
      <c r="D513" s="6">
        <v>9778</v>
      </c>
      <c r="E513" s="6">
        <f t="shared" si="102"/>
        <v>4769.7084</v>
      </c>
      <c r="F513" s="6">
        <f t="shared" si="113"/>
        <v>5008.2916</v>
      </c>
      <c r="G513" s="15">
        <v>27232.920142</v>
      </c>
      <c r="H513" s="15">
        <v>11696.737476</v>
      </c>
      <c r="I513" s="15">
        <f t="shared" si="103"/>
        <v>129893087.957827</v>
      </c>
      <c r="J513" s="15">
        <f t="shared" si="104"/>
        <v>58580672.048456</v>
      </c>
      <c r="K513" s="15">
        <f t="shared" si="105"/>
        <v>188473760.006283</v>
      </c>
      <c r="L513" s="15">
        <f t="shared" si="106"/>
        <v>0.689183937082259</v>
      </c>
      <c r="M513" s="15">
        <f t="shared" si="107"/>
        <v>0.310816062917741</v>
      </c>
      <c r="N513" s="15">
        <f t="shared" si="108"/>
        <v>0.4878</v>
      </c>
      <c r="O513" s="15">
        <f t="shared" si="109"/>
        <v>0.5122</v>
      </c>
      <c r="P513" s="15">
        <f t="shared" si="110"/>
        <v>1.41284119943062</v>
      </c>
      <c r="Q513" s="15">
        <f t="shared" si="111"/>
        <v>0.606825581643384</v>
      </c>
      <c r="R513" s="7">
        <f t="shared" si="112"/>
        <v>0.0829269019875696</v>
      </c>
    </row>
    <row r="514" spans="1:18">
      <c r="A514" s="6">
        <v>2016</v>
      </c>
      <c r="B514" s="19" t="s">
        <v>35</v>
      </c>
      <c r="C514" s="6">
        <v>0.5857</v>
      </c>
      <c r="D514" s="6">
        <v>5885</v>
      </c>
      <c r="E514" s="6">
        <f t="shared" si="102"/>
        <v>3446.8445</v>
      </c>
      <c r="F514" s="6">
        <f t="shared" si="113"/>
        <v>2438.1555</v>
      </c>
      <c r="G514" s="15">
        <v>29385.796965</v>
      </c>
      <c r="H514" s="15">
        <v>12724.969248</v>
      </c>
      <c r="I514" s="15">
        <f t="shared" si="103"/>
        <v>101288272.646927</v>
      </c>
      <c r="J514" s="15">
        <f t="shared" si="104"/>
        <v>31025453.7593421</v>
      </c>
      <c r="K514" s="15">
        <f t="shared" si="105"/>
        <v>132313726.406269</v>
      </c>
      <c r="L514" s="15">
        <f t="shared" si="106"/>
        <v>0.76551598536286</v>
      </c>
      <c r="M514" s="15">
        <f t="shared" si="107"/>
        <v>0.23448401463714</v>
      </c>
      <c r="N514" s="15">
        <f t="shared" si="108"/>
        <v>0.5857</v>
      </c>
      <c r="O514" s="15">
        <f t="shared" si="109"/>
        <v>0.4143</v>
      </c>
      <c r="P514" s="15">
        <f t="shared" si="110"/>
        <v>1.30701038989732</v>
      </c>
      <c r="Q514" s="15">
        <f t="shared" si="111"/>
        <v>0.565976380973062</v>
      </c>
      <c r="R514" s="7">
        <f t="shared" si="112"/>
        <v>0.0714920864446204</v>
      </c>
    </row>
    <row r="515" spans="1:18">
      <c r="A515" s="6">
        <v>2016</v>
      </c>
      <c r="B515" s="19" t="s">
        <v>36</v>
      </c>
      <c r="C515" s="6">
        <v>0.527</v>
      </c>
      <c r="D515" s="6">
        <v>6625</v>
      </c>
      <c r="E515" s="6">
        <f t="shared" si="102"/>
        <v>3491.375</v>
      </c>
      <c r="F515" s="6">
        <f t="shared" si="113"/>
        <v>3133.625</v>
      </c>
      <c r="G515" s="15">
        <v>31283.893426</v>
      </c>
      <c r="H515" s="15">
        <v>11930.409904</v>
      </c>
      <c r="I515" s="15">
        <f t="shared" si="103"/>
        <v>109223803.410201</v>
      </c>
      <c r="J515" s="15">
        <f t="shared" si="104"/>
        <v>37385430.735422</v>
      </c>
      <c r="K515" s="15">
        <f t="shared" si="105"/>
        <v>146609234.145623</v>
      </c>
      <c r="L515" s="15">
        <f t="shared" si="106"/>
        <v>0.74499948142224</v>
      </c>
      <c r="M515" s="15">
        <f t="shared" si="107"/>
        <v>0.25500051857776</v>
      </c>
      <c r="N515" s="15">
        <f t="shared" si="108"/>
        <v>0.527</v>
      </c>
      <c r="O515" s="15">
        <f t="shared" si="109"/>
        <v>0.473</v>
      </c>
      <c r="P515" s="15">
        <f t="shared" si="110"/>
        <v>1.41366125507066</v>
      </c>
      <c r="Q515" s="15">
        <f t="shared" si="111"/>
        <v>0.539113147098858</v>
      </c>
      <c r="R515" s="7">
        <f t="shared" si="112"/>
        <v>0.100359214063115</v>
      </c>
    </row>
    <row r="516" spans="1:18">
      <c r="A516" s="6">
        <v>2016</v>
      </c>
      <c r="B516" s="19" t="s">
        <v>37</v>
      </c>
      <c r="C516" s="6">
        <v>0.7015</v>
      </c>
      <c r="D516" s="6">
        <v>11908</v>
      </c>
      <c r="E516" s="6">
        <f t="shared" si="102"/>
        <v>8353.462</v>
      </c>
      <c r="F516" s="6">
        <f t="shared" si="113"/>
        <v>3554.538</v>
      </c>
      <c r="G516" s="15">
        <v>37684.252344</v>
      </c>
      <c r="H516" s="15">
        <v>14512.152965</v>
      </c>
      <c r="I516" s="15">
        <f t="shared" si="103"/>
        <v>314793969.954015</v>
      </c>
      <c r="J516" s="15">
        <f t="shared" si="104"/>
        <v>51583999.1759052</v>
      </c>
      <c r="K516" s="15">
        <f t="shared" si="105"/>
        <v>366377969.12992</v>
      </c>
      <c r="L516" s="15">
        <f t="shared" si="106"/>
        <v>0.859205510368411</v>
      </c>
      <c r="M516" s="15">
        <f t="shared" si="107"/>
        <v>0.140794489631589</v>
      </c>
      <c r="N516" s="15">
        <f t="shared" si="108"/>
        <v>0.7015</v>
      </c>
      <c r="O516" s="15">
        <f t="shared" si="109"/>
        <v>0.2985</v>
      </c>
      <c r="P516" s="15">
        <f t="shared" si="110"/>
        <v>1.22481184656937</v>
      </c>
      <c r="Q516" s="15">
        <f t="shared" si="111"/>
        <v>0.471673332099126</v>
      </c>
      <c r="R516" s="7">
        <f t="shared" si="112"/>
        <v>0.0684332702723826</v>
      </c>
    </row>
    <row r="517" spans="1:18">
      <c r="A517" s="6">
        <v>2016</v>
      </c>
      <c r="B517" s="19" t="s">
        <v>38</v>
      </c>
      <c r="C517" s="6">
        <v>0.4924</v>
      </c>
      <c r="D517" s="6">
        <v>4857</v>
      </c>
      <c r="E517" s="6">
        <f t="shared" si="102"/>
        <v>2391.5868</v>
      </c>
      <c r="F517" s="6">
        <f t="shared" si="113"/>
        <v>2465.4132</v>
      </c>
      <c r="G517" s="15">
        <v>28324.434878</v>
      </c>
      <c r="H517" s="15">
        <v>10359.471865</v>
      </c>
      <c r="I517" s="15">
        <f t="shared" si="103"/>
        <v>67740344.5716844</v>
      </c>
      <c r="J517" s="15">
        <f t="shared" si="104"/>
        <v>25540378.6809996</v>
      </c>
      <c r="K517" s="15">
        <f t="shared" si="105"/>
        <v>93280723.252684</v>
      </c>
      <c r="L517" s="15">
        <f t="shared" si="106"/>
        <v>0.726198749426348</v>
      </c>
      <c r="M517" s="15">
        <f t="shared" si="107"/>
        <v>0.273801250573652</v>
      </c>
      <c r="N517" s="15">
        <f t="shared" si="108"/>
        <v>0.4924</v>
      </c>
      <c r="O517" s="15">
        <f t="shared" si="109"/>
        <v>0.5076</v>
      </c>
      <c r="P517" s="15">
        <f t="shared" si="110"/>
        <v>1.47481468201939</v>
      </c>
      <c r="Q517" s="15">
        <f t="shared" si="111"/>
        <v>0.539403566929968</v>
      </c>
      <c r="R517" s="7">
        <f t="shared" si="112"/>
        <v>0.11313658356935</v>
      </c>
    </row>
    <row r="518" spans="1:18">
      <c r="A518" s="6">
        <v>2016</v>
      </c>
      <c r="B518" s="19" t="s">
        <v>39</v>
      </c>
      <c r="C518" s="6">
        <v>0.567</v>
      </c>
      <c r="D518" s="6">
        <v>957</v>
      </c>
      <c r="E518" s="6">
        <f t="shared" si="102"/>
        <v>542.619</v>
      </c>
      <c r="F518" s="6">
        <f t="shared" si="113"/>
        <v>414.381</v>
      </c>
      <c r="G518" s="15">
        <v>28453.471222</v>
      </c>
      <c r="H518" s="15">
        <v>11842.864839</v>
      </c>
      <c r="I518" s="15">
        <f t="shared" si="103"/>
        <v>15439394.1010104</v>
      </c>
      <c r="J518" s="15">
        <f t="shared" si="104"/>
        <v>4907458.17484966</v>
      </c>
      <c r="K518" s="15">
        <f t="shared" si="105"/>
        <v>20346852.2758601</v>
      </c>
      <c r="L518" s="15">
        <f t="shared" si="106"/>
        <v>0.758809957023575</v>
      </c>
      <c r="M518" s="15">
        <f t="shared" si="107"/>
        <v>0.241190042976425</v>
      </c>
      <c r="N518" s="15">
        <f t="shared" si="108"/>
        <v>0.567</v>
      </c>
      <c r="O518" s="15">
        <f t="shared" si="109"/>
        <v>0.433</v>
      </c>
      <c r="P518" s="15">
        <f t="shared" si="110"/>
        <v>1.33828916582641</v>
      </c>
      <c r="Q518" s="15">
        <f t="shared" si="111"/>
        <v>0.557020884472113</v>
      </c>
      <c r="R518" s="7">
        <f t="shared" si="112"/>
        <v>0.0799782262047216</v>
      </c>
    </row>
    <row r="519" spans="1:18">
      <c r="A519" s="6">
        <v>2016</v>
      </c>
      <c r="B519" s="19" t="s">
        <v>40</v>
      </c>
      <c r="C519" s="6">
        <v>0.6333</v>
      </c>
      <c r="D519" s="6">
        <v>3110</v>
      </c>
      <c r="E519" s="6">
        <f t="shared" si="102"/>
        <v>1969.563</v>
      </c>
      <c r="F519" s="6">
        <f t="shared" si="113"/>
        <v>1140.437</v>
      </c>
      <c r="G519" s="15">
        <v>29609.963736</v>
      </c>
      <c r="H519" s="15">
        <v>11548.793718</v>
      </c>
      <c r="I519" s="15">
        <f t="shared" si="103"/>
        <v>58318689.0057674</v>
      </c>
      <c r="J519" s="15">
        <f t="shared" si="104"/>
        <v>13170671.6613748</v>
      </c>
      <c r="K519" s="15">
        <f t="shared" si="105"/>
        <v>71489360.6671421</v>
      </c>
      <c r="L519" s="15">
        <f t="shared" si="106"/>
        <v>0.815767387783784</v>
      </c>
      <c r="M519" s="15">
        <f t="shared" si="107"/>
        <v>0.184232612216216</v>
      </c>
      <c r="N519" s="15">
        <f t="shared" si="108"/>
        <v>0.6333</v>
      </c>
      <c r="O519" s="15">
        <f t="shared" si="109"/>
        <v>0.3667</v>
      </c>
      <c r="P519" s="15">
        <f t="shared" si="110"/>
        <v>1.28812156605682</v>
      </c>
      <c r="Q519" s="15">
        <f t="shared" si="111"/>
        <v>0.502406905416459</v>
      </c>
      <c r="R519" s="7">
        <f t="shared" si="112"/>
        <v>0.0797244890885916</v>
      </c>
    </row>
    <row r="520" spans="1:18">
      <c r="A520" s="6">
        <v>2016</v>
      </c>
      <c r="B520" s="19" t="s">
        <v>41</v>
      </c>
      <c r="C520" s="6">
        <v>0.5</v>
      </c>
      <c r="D520" s="6">
        <v>8251</v>
      </c>
      <c r="E520" s="6">
        <f t="shared" si="102"/>
        <v>4125.5</v>
      </c>
      <c r="F520" s="6">
        <f t="shared" si="113"/>
        <v>4125.5</v>
      </c>
      <c r="G520" s="15">
        <v>28335.297947</v>
      </c>
      <c r="H520" s="15">
        <v>11203.132562</v>
      </c>
      <c r="I520" s="15">
        <f t="shared" si="103"/>
        <v>116897271.680349</v>
      </c>
      <c r="J520" s="15">
        <f t="shared" si="104"/>
        <v>46218523.384531</v>
      </c>
      <c r="K520" s="15">
        <f t="shared" si="105"/>
        <v>163115795.06488</v>
      </c>
      <c r="L520" s="15">
        <f t="shared" si="106"/>
        <v>0.716652066918795</v>
      </c>
      <c r="M520" s="15">
        <f t="shared" si="107"/>
        <v>0.283347933081205</v>
      </c>
      <c r="N520" s="15">
        <f t="shared" si="108"/>
        <v>0.5</v>
      </c>
      <c r="O520" s="15">
        <f t="shared" si="109"/>
        <v>0.5</v>
      </c>
      <c r="P520" s="15">
        <f t="shared" si="110"/>
        <v>1.43330413383759</v>
      </c>
      <c r="Q520" s="15">
        <f t="shared" si="111"/>
        <v>0.56669586616241</v>
      </c>
      <c r="R520" s="7">
        <f t="shared" si="112"/>
        <v>0.0970596008861223</v>
      </c>
    </row>
    <row r="521" spans="1:18">
      <c r="A521" s="6">
        <v>2016</v>
      </c>
      <c r="B521" s="19" t="s">
        <v>42</v>
      </c>
      <c r="C521" s="6">
        <v>0.4556</v>
      </c>
      <c r="D521" s="6">
        <v>3758</v>
      </c>
      <c r="E521" s="6">
        <f t="shared" si="102"/>
        <v>1712.1448</v>
      </c>
      <c r="F521" s="6">
        <f t="shared" si="113"/>
        <v>2045.8552</v>
      </c>
      <c r="G521" s="15">
        <v>26742.611493</v>
      </c>
      <c r="H521" s="15">
        <v>8090.282179</v>
      </c>
      <c r="I521" s="15">
        <f t="shared" si="103"/>
        <v>45787223.2061602</v>
      </c>
      <c r="J521" s="15">
        <f t="shared" si="104"/>
        <v>16551545.8653745</v>
      </c>
      <c r="K521" s="15">
        <f t="shared" si="105"/>
        <v>62338769.0715347</v>
      </c>
      <c r="L521" s="15">
        <f t="shared" si="106"/>
        <v>0.734490332229991</v>
      </c>
      <c r="M521" s="15">
        <f t="shared" si="107"/>
        <v>0.265509667770009</v>
      </c>
      <c r="N521" s="15">
        <f t="shared" si="108"/>
        <v>0.4556</v>
      </c>
      <c r="O521" s="15">
        <f t="shared" si="109"/>
        <v>0.5444</v>
      </c>
      <c r="P521" s="15">
        <f t="shared" si="110"/>
        <v>1.61213856942491</v>
      </c>
      <c r="Q521" s="15">
        <f t="shared" si="111"/>
        <v>0.48771063146585</v>
      </c>
      <c r="R521" s="7">
        <f t="shared" si="112"/>
        <v>0.160119671524298</v>
      </c>
    </row>
    <row r="522" spans="1:18">
      <c r="A522" s="6">
        <v>2016</v>
      </c>
      <c r="B522" s="19" t="s">
        <v>43</v>
      </c>
      <c r="C522" s="6">
        <v>0.4464</v>
      </c>
      <c r="D522" s="6">
        <v>4677</v>
      </c>
      <c r="E522" s="6">
        <f t="shared" si="102"/>
        <v>2087.8128</v>
      </c>
      <c r="F522" s="6">
        <f t="shared" si="113"/>
        <v>2589.1872</v>
      </c>
      <c r="G522" s="15">
        <v>28610.573071</v>
      </c>
      <c r="H522" s="15">
        <v>9019.814185</v>
      </c>
      <c r="I522" s="15">
        <f t="shared" si="103"/>
        <v>59733520.6729691</v>
      </c>
      <c r="J522" s="15">
        <f t="shared" si="104"/>
        <v>23353987.4341804</v>
      </c>
      <c r="K522" s="15">
        <f t="shared" si="105"/>
        <v>83087508.1071495</v>
      </c>
      <c r="L522" s="15">
        <f t="shared" si="106"/>
        <v>0.718923000987547</v>
      </c>
      <c r="M522" s="15">
        <f t="shared" si="107"/>
        <v>0.281076999012453</v>
      </c>
      <c r="N522" s="15">
        <f t="shared" si="108"/>
        <v>0.4464</v>
      </c>
      <c r="O522" s="15">
        <f t="shared" si="109"/>
        <v>0.5536</v>
      </c>
      <c r="P522" s="15">
        <f t="shared" si="110"/>
        <v>1.6104905936101</v>
      </c>
      <c r="Q522" s="15">
        <f t="shared" si="111"/>
        <v>0.507725793013824</v>
      </c>
      <c r="R522" s="7">
        <f t="shared" si="112"/>
        <v>0.152076883436283</v>
      </c>
    </row>
    <row r="523" spans="1:18">
      <c r="A523" s="6">
        <v>2016</v>
      </c>
      <c r="B523" s="19" t="s">
        <v>44</v>
      </c>
      <c r="C523" s="6">
        <v>0.3157</v>
      </c>
      <c r="D523" s="6">
        <v>340</v>
      </c>
      <c r="E523" s="6">
        <f t="shared" si="102"/>
        <v>107.338</v>
      </c>
      <c r="F523" s="6">
        <f t="shared" si="113"/>
        <v>232.662</v>
      </c>
      <c r="G523" s="15">
        <v>27802.393074</v>
      </c>
      <c r="H523" s="15">
        <v>9093.846033</v>
      </c>
      <c r="I523" s="15">
        <f t="shared" si="103"/>
        <v>2984253.26777701</v>
      </c>
      <c r="J523" s="15">
        <f t="shared" si="104"/>
        <v>2115792.40572985</v>
      </c>
      <c r="K523" s="15">
        <f t="shared" si="105"/>
        <v>5100045.67350686</v>
      </c>
      <c r="L523" s="15">
        <f t="shared" si="106"/>
        <v>0.585142459268409</v>
      </c>
      <c r="M523" s="15">
        <f t="shared" si="107"/>
        <v>0.414857540731591</v>
      </c>
      <c r="N523" s="15">
        <f t="shared" si="108"/>
        <v>0.3157</v>
      </c>
      <c r="O523" s="15">
        <f t="shared" si="109"/>
        <v>0.6843</v>
      </c>
      <c r="P523" s="15">
        <f t="shared" si="110"/>
        <v>1.85347627262721</v>
      </c>
      <c r="Q523" s="15">
        <f t="shared" si="111"/>
        <v>0.606250972865105</v>
      </c>
      <c r="R523" s="7">
        <f t="shared" si="112"/>
        <v>0.15344961154498</v>
      </c>
    </row>
    <row r="524" spans="1:18">
      <c r="A524" s="6">
        <v>2016</v>
      </c>
      <c r="B524" s="19" t="s">
        <v>45</v>
      </c>
      <c r="C524" s="6">
        <v>0.5639</v>
      </c>
      <c r="D524" s="6">
        <v>3874</v>
      </c>
      <c r="E524" s="6">
        <f t="shared" si="102"/>
        <v>2184.5486</v>
      </c>
      <c r="F524" s="6">
        <f t="shared" si="113"/>
        <v>1689.4514</v>
      </c>
      <c r="G524" s="15">
        <v>28440.090127</v>
      </c>
      <c r="H524" s="15">
        <v>9396.445563</v>
      </c>
      <c r="I524" s="15">
        <f t="shared" si="103"/>
        <v>62128759.0708117</v>
      </c>
      <c r="J524" s="15">
        <f t="shared" si="104"/>
        <v>15874838.1114341</v>
      </c>
      <c r="K524" s="15">
        <f t="shared" si="105"/>
        <v>78003597.1822458</v>
      </c>
      <c r="L524" s="15">
        <f t="shared" si="106"/>
        <v>0.796485820078982</v>
      </c>
      <c r="M524" s="15">
        <f t="shared" si="107"/>
        <v>0.203514179921017</v>
      </c>
      <c r="N524" s="15">
        <f t="shared" si="108"/>
        <v>0.5639</v>
      </c>
      <c r="O524" s="15">
        <f t="shared" si="109"/>
        <v>0.4361</v>
      </c>
      <c r="P524" s="15">
        <f t="shared" si="110"/>
        <v>1.4124593369019</v>
      </c>
      <c r="Q524" s="15">
        <f t="shared" si="111"/>
        <v>0.466668607936293</v>
      </c>
      <c r="R524" s="7">
        <f t="shared" si="112"/>
        <v>0.119946895213519</v>
      </c>
    </row>
    <row r="525" spans="1:18">
      <c r="A525" s="6">
        <v>2016</v>
      </c>
      <c r="B525" s="19" t="s">
        <v>46</v>
      </c>
      <c r="C525" s="6">
        <v>0.4607</v>
      </c>
      <c r="D525" s="6">
        <v>2520</v>
      </c>
      <c r="E525" s="6">
        <f t="shared" si="102"/>
        <v>1160.964</v>
      </c>
      <c r="F525" s="6">
        <f t="shared" si="113"/>
        <v>1359.036</v>
      </c>
      <c r="G525" s="15">
        <v>25693.492311</v>
      </c>
      <c r="H525" s="15">
        <v>7456.852912</v>
      </c>
      <c r="I525" s="15">
        <f t="shared" si="103"/>
        <v>29829219.6073478</v>
      </c>
      <c r="J525" s="15">
        <f t="shared" si="104"/>
        <v>10134131.5541128</v>
      </c>
      <c r="K525" s="15">
        <f t="shared" si="105"/>
        <v>39963351.1614606</v>
      </c>
      <c r="L525" s="15">
        <f t="shared" si="106"/>
        <v>0.746414370677556</v>
      </c>
      <c r="M525" s="15">
        <f t="shared" si="107"/>
        <v>0.253585629322444</v>
      </c>
      <c r="N525" s="15">
        <f t="shared" si="108"/>
        <v>0.4607</v>
      </c>
      <c r="O525" s="15">
        <f t="shared" si="109"/>
        <v>0.5393</v>
      </c>
      <c r="P525" s="15">
        <f t="shared" si="110"/>
        <v>1.6201744533917</v>
      </c>
      <c r="Q525" s="15">
        <f t="shared" si="111"/>
        <v>0.470212552053485</v>
      </c>
      <c r="R525" s="7">
        <f t="shared" si="112"/>
        <v>0.168821963643051</v>
      </c>
    </row>
    <row r="526" spans="1:18">
      <c r="A526" s="6">
        <v>2016</v>
      </c>
      <c r="B526" s="19" t="s">
        <v>47</v>
      </c>
      <c r="C526" s="6">
        <v>0.5355</v>
      </c>
      <c r="D526" s="6">
        <v>582</v>
      </c>
      <c r="E526" s="6">
        <f t="shared" si="102"/>
        <v>311.661</v>
      </c>
      <c r="F526" s="6">
        <f t="shared" si="113"/>
        <v>270.339</v>
      </c>
      <c r="G526" s="15">
        <v>26757.405242</v>
      </c>
      <c r="H526" s="15">
        <v>8664.364354</v>
      </c>
      <c r="I526" s="15">
        <f t="shared" si="103"/>
        <v>8339239.67512696</v>
      </c>
      <c r="J526" s="15">
        <f t="shared" si="104"/>
        <v>2342315.59509601</v>
      </c>
      <c r="K526" s="15">
        <f t="shared" si="105"/>
        <v>10681555.270223</v>
      </c>
      <c r="L526" s="15">
        <f t="shared" si="106"/>
        <v>0.780713993810837</v>
      </c>
      <c r="M526" s="15">
        <f t="shared" si="107"/>
        <v>0.219286006189163</v>
      </c>
      <c r="N526" s="15">
        <f t="shared" si="108"/>
        <v>0.5355</v>
      </c>
      <c r="O526" s="15">
        <f t="shared" si="109"/>
        <v>0.4645</v>
      </c>
      <c r="P526" s="15">
        <f t="shared" si="110"/>
        <v>1.45791595482883</v>
      </c>
      <c r="Q526" s="15">
        <f t="shared" si="111"/>
        <v>0.4720904331306</v>
      </c>
      <c r="R526" s="7">
        <f t="shared" si="112"/>
        <v>0.129742687126704</v>
      </c>
    </row>
    <row r="527" spans="1:18">
      <c r="A527" s="6">
        <v>2016</v>
      </c>
      <c r="B527" s="19" t="s">
        <v>48</v>
      </c>
      <c r="C527" s="6">
        <v>0.5874</v>
      </c>
      <c r="D527" s="6">
        <v>695</v>
      </c>
      <c r="E527" s="6">
        <f t="shared" si="102"/>
        <v>408.243</v>
      </c>
      <c r="F527" s="6">
        <f t="shared" si="113"/>
        <v>286.757</v>
      </c>
      <c r="G527" s="15">
        <v>27153.008068</v>
      </c>
      <c r="H527" s="15">
        <v>9851.625247</v>
      </c>
      <c r="I527" s="15">
        <f t="shared" si="103"/>
        <v>11085025.4727045</v>
      </c>
      <c r="J527" s="15">
        <f t="shared" si="104"/>
        <v>2825022.50095398</v>
      </c>
      <c r="K527" s="15">
        <f t="shared" si="105"/>
        <v>13910047.9736585</v>
      </c>
      <c r="L527" s="15">
        <f t="shared" si="106"/>
        <v>0.796907781604799</v>
      </c>
      <c r="M527" s="15">
        <f t="shared" si="107"/>
        <v>0.203092218395201</v>
      </c>
      <c r="N527" s="15">
        <f t="shared" si="108"/>
        <v>0.5874</v>
      </c>
      <c r="O527" s="15">
        <f t="shared" si="109"/>
        <v>0.4126</v>
      </c>
      <c r="P527" s="15">
        <f t="shared" si="110"/>
        <v>1.35666969970173</v>
      </c>
      <c r="Q527" s="15">
        <f t="shared" si="111"/>
        <v>0.492225444486673</v>
      </c>
      <c r="R527" s="7">
        <f t="shared" si="112"/>
        <v>0.0991276178325433</v>
      </c>
    </row>
    <row r="528" spans="1:18">
      <c r="A528" s="6">
        <v>2016</v>
      </c>
      <c r="B528" s="19" t="s">
        <v>49</v>
      </c>
      <c r="C528" s="6">
        <v>0.5042</v>
      </c>
      <c r="D528" s="6">
        <v>2428</v>
      </c>
      <c r="E528" s="6">
        <f t="shared" si="102"/>
        <v>1224.1976</v>
      </c>
      <c r="F528" s="6">
        <f t="shared" si="113"/>
        <v>1203.8024</v>
      </c>
      <c r="G528" s="15">
        <v>28463.427385</v>
      </c>
      <c r="H528" s="15">
        <v>10183.180771</v>
      </c>
      <c r="I528" s="15">
        <f t="shared" si="103"/>
        <v>34844859.4924913</v>
      </c>
      <c r="J528" s="15">
        <f t="shared" si="104"/>
        <v>12258537.4517637</v>
      </c>
      <c r="K528" s="15">
        <f t="shared" si="105"/>
        <v>47103396.9442549</v>
      </c>
      <c r="L528" s="15">
        <f t="shared" si="106"/>
        <v>0.739752581618027</v>
      </c>
      <c r="M528" s="15">
        <f t="shared" si="107"/>
        <v>0.260247418381973</v>
      </c>
      <c r="N528" s="15">
        <f t="shared" si="108"/>
        <v>0.5042</v>
      </c>
      <c r="O528" s="15">
        <f t="shared" si="109"/>
        <v>0.4958</v>
      </c>
      <c r="P528" s="15">
        <f t="shared" si="110"/>
        <v>1.46718084414523</v>
      </c>
      <c r="Q528" s="15">
        <f t="shared" si="111"/>
        <v>0.524904030621163</v>
      </c>
      <c r="R528" s="7">
        <f t="shared" si="112"/>
        <v>0.115838973767825</v>
      </c>
    </row>
    <row r="529" spans="1:18">
      <c r="A529" s="6">
        <v>2017</v>
      </c>
      <c r="B529" s="19" t="s">
        <v>19</v>
      </c>
      <c r="C529" s="6">
        <v>0.8693</v>
      </c>
      <c r="D529" s="6">
        <v>2194</v>
      </c>
      <c r="E529" s="6">
        <f t="shared" si="102"/>
        <v>1907.2442</v>
      </c>
      <c r="F529" s="6">
        <f t="shared" si="113"/>
        <v>286.7558</v>
      </c>
      <c r="G529" s="15">
        <v>62406.3422178236</v>
      </c>
      <c r="H529" s="15">
        <v>24240.4948005553</v>
      </c>
      <c r="I529" s="15">
        <f t="shared" si="103"/>
        <v>119024134.238159</v>
      </c>
      <c r="J529" s="15">
        <f t="shared" si="104"/>
        <v>6951102.47892908</v>
      </c>
      <c r="K529" s="15">
        <f t="shared" si="105"/>
        <v>125975236.717088</v>
      </c>
      <c r="L529" s="15">
        <f t="shared" si="106"/>
        <v>0.944821675592167</v>
      </c>
      <c r="M529" s="15">
        <f t="shared" si="107"/>
        <v>0.0551783244078332</v>
      </c>
      <c r="N529" s="15">
        <f t="shared" si="108"/>
        <v>0.8693</v>
      </c>
      <c r="O529" s="15">
        <f t="shared" si="109"/>
        <v>0.1307</v>
      </c>
      <c r="P529" s="15">
        <f t="shared" si="110"/>
        <v>1.08687642424039</v>
      </c>
      <c r="Q529" s="15">
        <f t="shared" si="111"/>
        <v>0.422175397152511</v>
      </c>
      <c r="R529" s="7">
        <f t="shared" si="112"/>
        <v>0.03112895700383</v>
      </c>
    </row>
    <row r="530" spans="1:18">
      <c r="A530" s="6">
        <v>2017</v>
      </c>
      <c r="B530" s="19" t="s">
        <v>20</v>
      </c>
      <c r="C530" s="6">
        <v>0.8357</v>
      </c>
      <c r="D530" s="6">
        <v>1410</v>
      </c>
      <c r="E530" s="6">
        <f t="shared" si="102"/>
        <v>1178.337</v>
      </c>
      <c r="F530" s="6">
        <f t="shared" si="113"/>
        <v>231.663</v>
      </c>
      <c r="G530" s="15">
        <v>40277.5393126148</v>
      </c>
      <c r="H530" s="15">
        <v>21753.6753384205</v>
      </c>
      <c r="I530" s="15">
        <f t="shared" si="103"/>
        <v>47460514.8410086</v>
      </c>
      <c r="J530" s="15">
        <f t="shared" si="104"/>
        <v>5039521.68992451</v>
      </c>
      <c r="K530" s="15">
        <f t="shared" si="105"/>
        <v>52500036.5309331</v>
      </c>
      <c r="L530" s="15">
        <f t="shared" si="106"/>
        <v>0.904009177461139</v>
      </c>
      <c r="M530" s="15">
        <f t="shared" si="107"/>
        <v>0.0959908225388608</v>
      </c>
      <c r="N530" s="15">
        <f t="shared" si="108"/>
        <v>0.8357</v>
      </c>
      <c r="O530" s="15">
        <f t="shared" si="109"/>
        <v>0.1643</v>
      </c>
      <c r="P530" s="15">
        <f t="shared" si="110"/>
        <v>1.08173887454965</v>
      </c>
      <c r="Q530" s="15">
        <f t="shared" si="111"/>
        <v>0.584241159700918</v>
      </c>
      <c r="R530" s="7">
        <f t="shared" si="112"/>
        <v>0.0194383886106482</v>
      </c>
    </row>
    <row r="531" spans="1:18">
      <c r="A531" s="6">
        <v>2017</v>
      </c>
      <c r="B531" s="19" t="s">
        <v>21</v>
      </c>
      <c r="C531" s="6">
        <v>0.5574</v>
      </c>
      <c r="D531" s="6">
        <v>7409</v>
      </c>
      <c r="E531" s="6">
        <f t="shared" si="102"/>
        <v>4129.7766</v>
      </c>
      <c r="F531" s="6">
        <f t="shared" si="113"/>
        <v>3279.2234</v>
      </c>
      <c r="G531" s="15">
        <v>30547.7581097804</v>
      </c>
      <c r="H531" s="15">
        <v>12880.9386407945</v>
      </c>
      <c r="I531" s="15">
        <f t="shared" si="103"/>
        <v>126155416.624231</v>
      </c>
      <c r="J531" s="15">
        <f t="shared" si="104"/>
        <v>42239475.4048575</v>
      </c>
      <c r="K531" s="15">
        <f t="shared" si="105"/>
        <v>168394892.029089</v>
      </c>
      <c r="L531" s="15">
        <f t="shared" si="106"/>
        <v>0.749164152808382</v>
      </c>
      <c r="M531" s="15">
        <f t="shared" si="107"/>
        <v>0.250835847191618</v>
      </c>
      <c r="N531" s="15">
        <f t="shared" si="108"/>
        <v>0.5574</v>
      </c>
      <c r="O531" s="15">
        <f t="shared" si="109"/>
        <v>0.4426</v>
      </c>
      <c r="P531" s="15">
        <f t="shared" si="110"/>
        <v>1.34403328455038</v>
      </c>
      <c r="Q531" s="15">
        <f t="shared" si="111"/>
        <v>0.566732596456434</v>
      </c>
      <c r="R531" s="7">
        <f t="shared" si="112"/>
        <v>0.0790675411474828</v>
      </c>
    </row>
    <row r="532" spans="1:18">
      <c r="A532" s="6">
        <v>2017</v>
      </c>
      <c r="B532" s="19" t="s">
        <v>22</v>
      </c>
      <c r="C532" s="6">
        <v>0.5859</v>
      </c>
      <c r="D532" s="6">
        <v>3510</v>
      </c>
      <c r="E532" s="6">
        <f t="shared" si="102"/>
        <v>2056.509</v>
      </c>
      <c r="F532" s="6">
        <f t="shared" si="113"/>
        <v>1453.491</v>
      </c>
      <c r="G532" s="15">
        <v>29131.8079614008</v>
      </c>
      <c r="H532" s="15">
        <v>10787.5058994835</v>
      </c>
      <c r="I532" s="15">
        <f t="shared" si="103"/>
        <v>59909825.2588924</v>
      </c>
      <c r="J532" s="15">
        <f t="shared" si="104"/>
        <v>15679542.7373462</v>
      </c>
      <c r="K532" s="15">
        <f t="shared" si="105"/>
        <v>75589367.9962386</v>
      </c>
      <c r="L532" s="15">
        <f t="shared" si="106"/>
        <v>0.792569469053817</v>
      </c>
      <c r="M532" s="15">
        <f t="shared" si="107"/>
        <v>0.207430530946183</v>
      </c>
      <c r="N532" s="15">
        <f t="shared" si="108"/>
        <v>0.5859</v>
      </c>
      <c r="O532" s="15">
        <f t="shared" si="109"/>
        <v>0.4141</v>
      </c>
      <c r="P532" s="15">
        <f t="shared" si="110"/>
        <v>1.35273846911387</v>
      </c>
      <c r="Q532" s="15">
        <f t="shared" si="111"/>
        <v>0.500918934909884</v>
      </c>
      <c r="R532" s="7">
        <f t="shared" si="112"/>
        <v>0.0960608255107322</v>
      </c>
    </row>
    <row r="533" spans="1:18">
      <c r="A533" s="6">
        <v>2017</v>
      </c>
      <c r="B533" s="19" t="s">
        <v>23</v>
      </c>
      <c r="C533" s="6">
        <v>0.646</v>
      </c>
      <c r="D533" s="6">
        <v>2433</v>
      </c>
      <c r="E533" s="6">
        <f t="shared" si="102"/>
        <v>1571.718</v>
      </c>
      <c r="F533" s="6">
        <f t="shared" si="113"/>
        <v>861.282</v>
      </c>
      <c r="G533" s="15">
        <v>35670.0204880806</v>
      </c>
      <c r="H533" s="15">
        <v>12584.2874231023</v>
      </c>
      <c r="I533" s="15">
        <f t="shared" si="103"/>
        <v>56063213.2614851</v>
      </c>
      <c r="J533" s="15">
        <f t="shared" si="104"/>
        <v>10838620.2403444</v>
      </c>
      <c r="K533" s="15">
        <f t="shared" si="105"/>
        <v>66901833.5018295</v>
      </c>
      <c r="L533" s="15">
        <f t="shared" si="106"/>
        <v>0.837992179391496</v>
      </c>
      <c r="M533" s="15">
        <f t="shared" si="107"/>
        <v>0.162007820608504</v>
      </c>
      <c r="N533" s="15">
        <f t="shared" si="108"/>
        <v>0.646</v>
      </c>
      <c r="O533" s="15">
        <f t="shared" si="109"/>
        <v>0.354</v>
      </c>
      <c r="P533" s="15">
        <f t="shared" si="110"/>
        <v>1.29720151608591</v>
      </c>
      <c r="Q533" s="15">
        <f t="shared" si="111"/>
        <v>0.457649210758486</v>
      </c>
      <c r="R533" s="7">
        <f t="shared" si="112"/>
        <v>0.0914195421974435</v>
      </c>
    </row>
    <row r="534" spans="1:18">
      <c r="A534" s="6">
        <v>2017</v>
      </c>
      <c r="B534" s="19" t="s">
        <v>24</v>
      </c>
      <c r="C534" s="6">
        <v>0.6949</v>
      </c>
      <c r="D534" s="6">
        <v>4312</v>
      </c>
      <c r="E534" s="6">
        <f t="shared" si="102"/>
        <v>2996.4088</v>
      </c>
      <c r="F534" s="6">
        <f t="shared" si="113"/>
        <v>1315.5912</v>
      </c>
      <c r="G534" s="15">
        <v>34993.3903147476</v>
      </c>
      <c r="H534" s="15">
        <v>13746.8022120025</v>
      </c>
      <c r="I534" s="15">
        <f t="shared" si="103"/>
        <v>104854502.680944</v>
      </c>
      <c r="J534" s="15">
        <f t="shared" si="104"/>
        <v>18085172.018251</v>
      </c>
      <c r="K534" s="15">
        <f t="shared" si="105"/>
        <v>122939674.699196</v>
      </c>
      <c r="L534" s="15">
        <f t="shared" si="106"/>
        <v>0.852893933040727</v>
      </c>
      <c r="M534" s="15">
        <f t="shared" si="107"/>
        <v>0.147106066959272</v>
      </c>
      <c r="N534" s="15">
        <f t="shared" si="108"/>
        <v>0.6949</v>
      </c>
      <c r="O534" s="15">
        <f t="shared" si="109"/>
        <v>0.3051</v>
      </c>
      <c r="P534" s="15">
        <f t="shared" si="110"/>
        <v>1.22736211403184</v>
      </c>
      <c r="Q534" s="15">
        <f t="shared" si="111"/>
        <v>0.482156889410922</v>
      </c>
      <c r="R534" s="7">
        <f t="shared" si="112"/>
        <v>0.0674182538399572</v>
      </c>
    </row>
    <row r="535" spans="1:18">
      <c r="A535" s="6">
        <v>2017</v>
      </c>
      <c r="B535" s="19" t="s">
        <v>25</v>
      </c>
      <c r="C535" s="6">
        <v>0.5971</v>
      </c>
      <c r="D535" s="6">
        <v>2526</v>
      </c>
      <c r="E535" s="6">
        <f t="shared" si="102"/>
        <v>1508.2746</v>
      </c>
      <c r="F535" s="6">
        <f t="shared" si="113"/>
        <v>1017.7254</v>
      </c>
      <c r="G535" s="15">
        <v>28318.7493691352</v>
      </c>
      <c r="H535" s="15">
        <v>12950.4410346707</v>
      </c>
      <c r="I535" s="15">
        <f t="shared" si="103"/>
        <v>42712450.3772326</v>
      </c>
      <c r="J535" s="15">
        <f t="shared" si="104"/>
        <v>13179992.7821867</v>
      </c>
      <c r="K535" s="15">
        <f t="shared" si="105"/>
        <v>55892443.1594193</v>
      </c>
      <c r="L535" s="15">
        <f t="shared" si="106"/>
        <v>0.764190075846318</v>
      </c>
      <c r="M535" s="15">
        <f t="shared" si="107"/>
        <v>0.235809924153682</v>
      </c>
      <c r="N535" s="15">
        <f t="shared" si="108"/>
        <v>0.5971</v>
      </c>
      <c r="O535" s="15">
        <f t="shared" si="109"/>
        <v>0.4029</v>
      </c>
      <c r="P535" s="15">
        <f t="shared" si="110"/>
        <v>1.27983600041252</v>
      </c>
      <c r="Q535" s="15">
        <f t="shared" si="111"/>
        <v>0.585281519368782</v>
      </c>
      <c r="R535" s="7">
        <f t="shared" si="112"/>
        <v>0.0622356132620686</v>
      </c>
    </row>
    <row r="536" spans="1:18">
      <c r="A536" s="6">
        <v>2017</v>
      </c>
      <c r="B536" s="19" t="s">
        <v>26</v>
      </c>
      <c r="C536" s="6">
        <v>0.619</v>
      </c>
      <c r="D536" s="6">
        <v>3399</v>
      </c>
      <c r="E536" s="6">
        <f t="shared" ref="E536:E599" si="114">C536*D536</f>
        <v>2103.981</v>
      </c>
      <c r="F536" s="6">
        <f t="shared" si="113"/>
        <v>1295.019</v>
      </c>
      <c r="G536" s="15">
        <v>27445.9926407321</v>
      </c>
      <c r="H536" s="15">
        <v>12664.8236289515</v>
      </c>
      <c r="I536" s="15">
        <f t="shared" si="103"/>
        <v>57745847.0422402</v>
      </c>
      <c r="J536" s="15">
        <f t="shared" si="104"/>
        <v>16401187.2311411</v>
      </c>
      <c r="K536" s="15">
        <f t="shared" si="105"/>
        <v>74147034.2733813</v>
      </c>
      <c r="L536" s="15">
        <f t="shared" si="106"/>
        <v>0.778801844310189</v>
      </c>
      <c r="M536" s="15">
        <f t="shared" si="107"/>
        <v>0.221198155689811</v>
      </c>
      <c r="N536" s="15">
        <f t="shared" si="108"/>
        <v>0.619</v>
      </c>
      <c r="O536" s="15">
        <f t="shared" si="109"/>
        <v>0.381</v>
      </c>
      <c r="P536" s="15">
        <f t="shared" si="110"/>
        <v>1.25816129937026</v>
      </c>
      <c r="Q536" s="15">
        <f t="shared" si="111"/>
        <v>0.580572587112365</v>
      </c>
      <c r="R536" s="7">
        <f t="shared" si="112"/>
        <v>0.0585785264661916</v>
      </c>
    </row>
    <row r="537" spans="1:18">
      <c r="A537" s="6">
        <v>2017</v>
      </c>
      <c r="B537" s="19" t="s">
        <v>27</v>
      </c>
      <c r="C537" s="6">
        <v>0.891</v>
      </c>
      <c r="D537" s="6">
        <v>2466</v>
      </c>
      <c r="E537" s="6">
        <f t="shared" si="114"/>
        <v>2197.206</v>
      </c>
      <c r="F537" s="6">
        <f t="shared" si="113"/>
        <v>268.794</v>
      </c>
      <c r="G537" s="15">
        <v>62595.7375781593</v>
      </c>
      <c r="H537" s="15">
        <v>27825.0386631685</v>
      </c>
      <c r="I537" s="15">
        <f t="shared" si="103"/>
        <v>137535730.181157</v>
      </c>
      <c r="J537" s="15">
        <f t="shared" si="104"/>
        <v>7479203.44242771</v>
      </c>
      <c r="K537" s="15">
        <f t="shared" si="105"/>
        <v>145014933.623585</v>
      </c>
      <c r="L537" s="15">
        <f t="shared" si="106"/>
        <v>0.948424598380733</v>
      </c>
      <c r="M537" s="15">
        <f t="shared" si="107"/>
        <v>0.0515754016192668</v>
      </c>
      <c r="N537" s="15">
        <f t="shared" si="108"/>
        <v>0.891</v>
      </c>
      <c r="O537" s="15">
        <f t="shared" si="109"/>
        <v>0.109</v>
      </c>
      <c r="P537" s="15">
        <f t="shared" si="110"/>
        <v>1.06444960536558</v>
      </c>
      <c r="Q537" s="15">
        <f t="shared" si="111"/>
        <v>0.473168822195109</v>
      </c>
      <c r="R537" s="7">
        <f t="shared" si="112"/>
        <v>0.0206425441002424</v>
      </c>
    </row>
    <row r="538" spans="1:18">
      <c r="A538" s="6">
        <v>2017</v>
      </c>
      <c r="B538" s="19" t="s">
        <v>28</v>
      </c>
      <c r="C538" s="6">
        <v>0.7018</v>
      </c>
      <c r="D538" s="6">
        <v>8423</v>
      </c>
      <c r="E538" s="6">
        <f t="shared" si="114"/>
        <v>5911.2614</v>
      </c>
      <c r="F538" s="6">
        <f t="shared" si="113"/>
        <v>2511.7386</v>
      </c>
      <c r="G538" s="15">
        <v>43621.7530357611</v>
      </c>
      <c r="H538" s="15">
        <v>19158.033363326</v>
      </c>
      <c r="I538" s="15">
        <f t="shared" si="103"/>
        <v>257859584.920627</v>
      </c>
      <c r="J538" s="15">
        <f t="shared" si="104"/>
        <v>48119971.8987538</v>
      </c>
      <c r="K538" s="15">
        <f t="shared" si="105"/>
        <v>305979556.819381</v>
      </c>
      <c r="L538" s="15">
        <f t="shared" si="106"/>
        <v>0.842734683326707</v>
      </c>
      <c r="M538" s="15">
        <f t="shared" si="107"/>
        <v>0.157265316673293</v>
      </c>
      <c r="N538" s="15">
        <f t="shared" si="108"/>
        <v>0.7018</v>
      </c>
      <c r="O538" s="15">
        <f t="shared" si="109"/>
        <v>0.2982</v>
      </c>
      <c r="P538" s="15">
        <f t="shared" si="110"/>
        <v>1.20081887051397</v>
      </c>
      <c r="Q538" s="15">
        <f t="shared" si="111"/>
        <v>0.527382014330291</v>
      </c>
      <c r="R538" s="7">
        <f t="shared" si="112"/>
        <v>0.0536004942123993</v>
      </c>
    </row>
    <row r="539" spans="1:18">
      <c r="A539" s="6">
        <v>2017</v>
      </c>
      <c r="B539" s="19" t="s">
        <v>29</v>
      </c>
      <c r="C539" s="6">
        <v>0.6891</v>
      </c>
      <c r="D539" s="6">
        <v>6170</v>
      </c>
      <c r="E539" s="6">
        <f t="shared" si="114"/>
        <v>4251.747</v>
      </c>
      <c r="F539" s="6">
        <f t="shared" si="113"/>
        <v>1918.253</v>
      </c>
      <c r="G539" s="15">
        <v>51260.7310230297</v>
      </c>
      <c r="H539" s="15">
        <v>24955.7717625927</v>
      </c>
      <c r="I539" s="15">
        <f t="shared" si="103"/>
        <v>217947659.344973</v>
      </c>
      <c r="J539" s="15">
        <f t="shared" si="104"/>
        <v>47871484.0509087</v>
      </c>
      <c r="K539" s="15">
        <f t="shared" si="105"/>
        <v>265819143.395882</v>
      </c>
      <c r="L539" s="15">
        <f t="shared" si="106"/>
        <v>0.819909569193013</v>
      </c>
      <c r="M539" s="15">
        <f t="shared" si="107"/>
        <v>0.180090430806987</v>
      </c>
      <c r="N539" s="15">
        <f t="shared" si="108"/>
        <v>0.6891</v>
      </c>
      <c r="O539" s="15">
        <f t="shared" si="109"/>
        <v>0.3109</v>
      </c>
      <c r="P539" s="15">
        <f t="shared" si="110"/>
        <v>1.18982668581195</v>
      </c>
      <c r="Q539" s="15">
        <f t="shared" si="111"/>
        <v>0.579255165027299</v>
      </c>
      <c r="R539" s="7">
        <f t="shared" si="112"/>
        <v>0.0441749868572813</v>
      </c>
    </row>
    <row r="540" spans="1:18">
      <c r="A540" s="6">
        <v>2017</v>
      </c>
      <c r="B540" s="19" t="s">
        <v>30</v>
      </c>
      <c r="C540" s="6">
        <v>0.5429</v>
      </c>
      <c r="D540" s="6">
        <v>6057</v>
      </c>
      <c r="E540" s="6">
        <f t="shared" si="114"/>
        <v>3288.3453</v>
      </c>
      <c r="F540" s="6">
        <f t="shared" si="113"/>
        <v>2768.6547</v>
      </c>
      <c r="G540" s="15">
        <v>31640.3167243844</v>
      </c>
      <c r="H540" s="15">
        <v>12758.2244866007</v>
      </c>
      <c r="I540" s="15">
        <f t="shared" si="103"/>
        <v>104044286.791141</v>
      </c>
      <c r="J540" s="15">
        <f t="shared" si="104"/>
        <v>35323118.1884821</v>
      </c>
      <c r="K540" s="15">
        <f t="shared" si="105"/>
        <v>139367404.979623</v>
      </c>
      <c r="L540" s="15">
        <f t="shared" si="106"/>
        <v>0.746546775455518</v>
      </c>
      <c r="M540" s="15">
        <f t="shared" si="107"/>
        <v>0.253453224544482</v>
      </c>
      <c r="N540" s="15">
        <f t="shared" si="108"/>
        <v>0.5429</v>
      </c>
      <c r="O540" s="15">
        <f t="shared" si="109"/>
        <v>0.4571</v>
      </c>
      <c r="P540" s="15">
        <f t="shared" si="110"/>
        <v>1.37510918300887</v>
      </c>
      <c r="Q540" s="15">
        <f t="shared" si="111"/>
        <v>0.554480911276486</v>
      </c>
      <c r="R540" s="7">
        <f t="shared" si="112"/>
        <v>0.0883327138481564</v>
      </c>
    </row>
    <row r="541" spans="1:18">
      <c r="A541" s="6">
        <v>2017</v>
      </c>
      <c r="B541" s="19" t="s">
        <v>31</v>
      </c>
      <c r="C541" s="6">
        <v>0.6578</v>
      </c>
      <c r="D541" s="6">
        <v>4065</v>
      </c>
      <c r="E541" s="6">
        <f t="shared" si="114"/>
        <v>2673.957</v>
      </c>
      <c r="F541" s="6">
        <f t="shared" si="113"/>
        <v>1391.043</v>
      </c>
      <c r="G541" s="15">
        <v>39001.3587612981</v>
      </c>
      <c r="H541" s="15">
        <v>16334.7874822876</v>
      </c>
      <c r="I541" s="15">
        <f t="shared" si="103"/>
        <v>104287956.269284</v>
      </c>
      <c r="J541" s="15">
        <f t="shared" si="104"/>
        <v>22722391.7837238</v>
      </c>
      <c r="K541" s="15">
        <f t="shared" si="105"/>
        <v>127010348.053008</v>
      </c>
      <c r="L541" s="15">
        <f t="shared" si="106"/>
        <v>0.821098106319333</v>
      </c>
      <c r="M541" s="15">
        <f t="shared" si="107"/>
        <v>0.178901893680667</v>
      </c>
      <c r="N541" s="15">
        <f t="shared" si="108"/>
        <v>0.6578</v>
      </c>
      <c r="O541" s="15">
        <f t="shared" si="109"/>
        <v>0.3422</v>
      </c>
      <c r="P541" s="15">
        <f t="shared" si="110"/>
        <v>1.24824886944259</v>
      </c>
      <c r="Q541" s="15">
        <f t="shared" si="111"/>
        <v>0.522799221743621</v>
      </c>
      <c r="R541" s="7">
        <f t="shared" si="112"/>
        <v>0.0660434449118528</v>
      </c>
    </row>
    <row r="542" spans="1:18">
      <c r="A542" s="6">
        <v>2017</v>
      </c>
      <c r="B542" s="19" t="s">
        <v>32</v>
      </c>
      <c r="C542" s="6">
        <v>0.557</v>
      </c>
      <c r="D542" s="6">
        <v>4511</v>
      </c>
      <c r="E542" s="6">
        <f t="shared" si="114"/>
        <v>2512.627</v>
      </c>
      <c r="F542" s="6">
        <f t="shared" si="113"/>
        <v>1998.373</v>
      </c>
      <c r="G542" s="15">
        <v>31198.0646442771</v>
      </c>
      <c r="H542" s="15">
        <v>13241.8220260911</v>
      </c>
      <c r="I542" s="15">
        <f t="shared" si="103"/>
        <v>78389099.5729561</v>
      </c>
      <c r="J542" s="15">
        <f t="shared" si="104"/>
        <v>26462099.6077457</v>
      </c>
      <c r="K542" s="15">
        <f t="shared" si="105"/>
        <v>104851199.180702</v>
      </c>
      <c r="L542" s="15">
        <f t="shared" si="106"/>
        <v>0.747622346577642</v>
      </c>
      <c r="M542" s="15">
        <f t="shared" si="107"/>
        <v>0.252377653422358</v>
      </c>
      <c r="N542" s="15">
        <f t="shared" si="108"/>
        <v>0.557</v>
      </c>
      <c r="O542" s="15">
        <f t="shared" si="109"/>
        <v>0.443</v>
      </c>
      <c r="P542" s="15">
        <f t="shared" si="110"/>
        <v>1.34223042473544</v>
      </c>
      <c r="Q542" s="15">
        <f t="shared" si="111"/>
        <v>0.569701249260401</v>
      </c>
      <c r="R542" s="7">
        <f t="shared" si="112"/>
        <v>0.0780511581113405</v>
      </c>
    </row>
    <row r="543" spans="1:18">
      <c r="A543" s="6">
        <v>2017</v>
      </c>
      <c r="B543" s="19" t="s">
        <v>33</v>
      </c>
      <c r="C543" s="6">
        <v>0.6079</v>
      </c>
      <c r="D543" s="6">
        <v>10033</v>
      </c>
      <c r="E543" s="6">
        <f t="shared" si="114"/>
        <v>6099.0607</v>
      </c>
      <c r="F543" s="6">
        <f t="shared" si="113"/>
        <v>3933.9393</v>
      </c>
      <c r="G543" s="15">
        <v>36789.3548470469</v>
      </c>
      <c r="H543" s="15">
        <v>15117.5448519082</v>
      </c>
      <c r="I543" s="15">
        <f t="shared" si="103"/>
        <v>224380508.325978</v>
      </c>
      <c r="J543" s="15">
        <f t="shared" si="104"/>
        <v>59471503.8124343</v>
      </c>
      <c r="K543" s="15">
        <f t="shared" si="105"/>
        <v>283852012.138413</v>
      </c>
      <c r="L543" s="15">
        <f t="shared" si="106"/>
        <v>0.790484121058706</v>
      </c>
      <c r="M543" s="15">
        <f t="shared" si="107"/>
        <v>0.209515878941294</v>
      </c>
      <c r="N543" s="15">
        <f t="shared" si="108"/>
        <v>0.6079</v>
      </c>
      <c r="O543" s="15">
        <f t="shared" si="109"/>
        <v>0.3921</v>
      </c>
      <c r="P543" s="15">
        <f t="shared" si="110"/>
        <v>1.30035223072661</v>
      </c>
      <c r="Q543" s="15">
        <f t="shared" si="111"/>
        <v>0.534342971031099</v>
      </c>
      <c r="R543" s="7">
        <f t="shared" si="112"/>
        <v>0.0763016926880699</v>
      </c>
    </row>
    <row r="544" spans="1:18">
      <c r="A544" s="6">
        <v>2017</v>
      </c>
      <c r="B544" s="19" t="s">
        <v>34</v>
      </c>
      <c r="C544" s="6">
        <v>0.5056</v>
      </c>
      <c r="D544" s="6">
        <v>9829</v>
      </c>
      <c r="E544" s="6">
        <f t="shared" si="114"/>
        <v>4969.5424</v>
      </c>
      <c r="F544" s="6">
        <f t="shared" si="113"/>
        <v>4859.4576</v>
      </c>
      <c r="G544" s="15">
        <v>29557.8588948447</v>
      </c>
      <c r="H544" s="15">
        <v>12719.1833338518</v>
      </c>
      <c r="I544" s="15">
        <f t="shared" ref="I544:I607" si="115">E544*G544</f>
        <v>146889033.031148</v>
      </c>
      <c r="J544" s="15">
        <f t="shared" ref="J544:J607" si="116">F544*H544</f>
        <v>61808332.1174795</v>
      </c>
      <c r="K544" s="15">
        <f t="shared" ref="K544:K607" si="117">I544+J544</f>
        <v>208697365.148627</v>
      </c>
      <c r="L544" s="15">
        <f t="shared" ref="L544:L607" si="118">I544/K544</f>
        <v>0.703837506173297</v>
      </c>
      <c r="M544" s="15">
        <f t="shared" ref="M544:M607" si="119">J544/K544</f>
        <v>0.296162493826703</v>
      </c>
      <c r="N544" s="15">
        <f t="shared" ref="N544:N607" si="120">C544</f>
        <v>0.5056</v>
      </c>
      <c r="O544" s="15">
        <f t="shared" ref="O544:O607" si="121">F544/D544</f>
        <v>0.4944</v>
      </c>
      <c r="P544" s="15">
        <f t="shared" ref="P544:P607" si="122">(L544/N544)</f>
        <v>1.39208367518453</v>
      </c>
      <c r="Q544" s="15">
        <f t="shared" ref="Q544:Q607" si="123">M544/O544</f>
        <v>0.599034170361454</v>
      </c>
      <c r="R544" s="7">
        <f t="shared" ref="R544:R607" si="124">L544*LN(P544)+M544*LN(Q544)</f>
        <v>0.0810661112816278</v>
      </c>
    </row>
    <row r="545" spans="1:18">
      <c r="A545" s="6">
        <v>2017</v>
      </c>
      <c r="B545" s="19" t="s">
        <v>35</v>
      </c>
      <c r="C545" s="6">
        <v>0.5988</v>
      </c>
      <c r="D545" s="6">
        <v>5904</v>
      </c>
      <c r="E545" s="6">
        <f t="shared" si="114"/>
        <v>3535.3152</v>
      </c>
      <c r="F545" s="6">
        <f t="shared" si="113"/>
        <v>2368.6848</v>
      </c>
      <c r="G545" s="15">
        <v>31889.4151808686</v>
      </c>
      <c r="H545" s="15">
        <v>13812.0877019639</v>
      </c>
      <c r="I545" s="15">
        <f t="shared" si="115"/>
        <v>112739134.208036</v>
      </c>
      <c r="J545" s="15">
        <f t="shared" si="116"/>
        <v>32716482.1959088</v>
      </c>
      <c r="K545" s="15">
        <f t="shared" si="117"/>
        <v>145455616.403944</v>
      </c>
      <c r="L545" s="15">
        <f t="shared" si="118"/>
        <v>0.775075840969578</v>
      </c>
      <c r="M545" s="15">
        <f t="shared" si="119"/>
        <v>0.224924159030422</v>
      </c>
      <c r="N545" s="15">
        <f t="shared" si="120"/>
        <v>0.5988</v>
      </c>
      <c r="O545" s="15">
        <f t="shared" si="121"/>
        <v>0.4012</v>
      </c>
      <c r="P545" s="15">
        <f t="shared" si="122"/>
        <v>1.29438183194652</v>
      </c>
      <c r="Q545" s="15">
        <f t="shared" si="123"/>
        <v>0.560628512039935</v>
      </c>
      <c r="R545" s="7">
        <f t="shared" si="124"/>
        <v>0.0698324368224099</v>
      </c>
    </row>
    <row r="546" spans="1:18">
      <c r="A546" s="6">
        <v>2017</v>
      </c>
      <c r="B546" s="19" t="s">
        <v>36</v>
      </c>
      <c r="C546" s="6">
        <v>0.5462</v>
      </c>
      <c r="D546" s="6">
        <v>6633</v>
      </c>
      <c r="E546" s="6">
        <f t="shared" si="114"/>
        <v>3622.9446</v>
      </c>
      <c r="F546" s="6">
        <f t="shared" si="113"/>
        <v>3010.0554</v>
      </c>
      <c r="G546" s="15">
        <v>33947.9351117875</v>
      </c>
      <c r="H546" s="15">
        <v>12935.7774834709</v>
      </c>
      <c r="I546" s="15">
        <f t="shared" si="115"/>
        <v>122991488.194401</v>
      </c>
      <c r="J546" s="15">
        <f t="shared" si="116"/>
        <v>38937406.86732</v>
      </c>
      <c r="K546" s="15">
        <f t="shared" si="117"/>
        <v>161928895.061721</v>
      </c>
      <c r="L546" s="15">
        <f t="shared" si="118"/>
        <v>0.759540094110575</v>
      </c>
      <c r="M546" s="15">
        <f t="shared" si="119"/>
        <v>0.240459905889425</v>
      </c>
      <c r="N546" s="15">
        <f t="shared" si="120"/>
        <v>0.5462</v>
      </c>
      <c r="O546" s="15">
        <f t="shared" si="121"/>
        <v>0.4538</v>
      </c>
      <c r="P546" s="15">
        <f t="shared" si="122"/>
        <v>1.39058969994613</v>
      </c>
      <c r="Q546" s="15">
        <f t="shared" si="123"/>
        <v>0.529880797464577</v>
      </c>
      <c r="R546" s="7">
        <f t="shared" si="124"/>
        <v>0.0977247038517612</v>
      </c>
    </row>
    <row r="547" spans="1:18">
      <c r="A547" s="6">
        <v>2017</v>
      </c>
      <c r="B547" s="19" t="s">
        <v>37</v>
      </c>
      <c r="C547" s="6">
        <v>0.7074</v>
      </c>
      <c r="D547" s="6">
        <v>12141</v>
      </c>
      <c r="E547" s="6">
        <f t="shared" si="114"/>
        <v>8588.5434</v>
      </c>
      <c r="F547" s="6">
        <f t="shared" si="113"/>
        <v>3552.4566</v>
      </c>
      <c r="G547" s="15">
        <v>40975.1401401831</v>
      </c>
      <c r="H547" s="15">
        <v>15779.7408027927</v>
      </c>
      <c r="I547" s="15">
        <f t="shared" si="115"/>
        <v>351916769.415045</v>
      </c>
      <c r="J547" s="15">
        <f t="shared" si="116"/>
        <v>56056844.3611702</v>
      </c>
      <c r="K547" s="15">
        <f t="shared" si="117"/>
        <v>407973613.776215</v>
      </c>
      <c r="L547" s="15">
        <f t="shared" si="118"/>
        <v>0.862596887474397</v>
      </c>
      <c r="M547" s="15">
        <f t="shared" si="119"/>
        <v>0.137403112525603</v>
      </c>
      <c r="N547" s="15">
        <f t="shared" si="120"/>
        <v>0.7074</v>
      </c>
      <c r="O547" s="15">
        <f t="shared" si="121"/>
        <v>0.2926</v>
      </c>
      <c r="P547" s="15">
        <f t="shared" si="122"/>
        <v>1.21939056753519</v>
      </c>
      <c r="Q547" s="15">
        <f t="shared" si="123"/>
        <v>0.469593686006846</v>
      </c>
      <c r="R547" s="7">
        <f t="shared" si="124"/>
        <v>0.0672358378178528</v>
      </c>
    </row>
    <row r="548" spans="1:18">
      <c r="A548" s="6">
        <v>2017</v>
      </c>
      <c r="B548" s="19" t="s">
        <v>38</v>
      </c>
      <c r="C548" s="6">
        <v>0.5059</v>
      </c>
      <c r="D548" s="6">
        <v>4907</v>
      </c>
      <c r="E548" s="6">
        <f t="shared" si="114"/>
        <v>2482.4513</v>
      </c>
      <c r="F548" s="6">
        <f t="shared" si="113"/>
        <v>2424.5487</v>
      </c>
      <c r="G548" s="15">
        <v>30502.0682234023</v>
      </c>
      <c r="H548" s="15">
        <v>11325.4570942003</v>
      </c>
      <c r="I548" s="15">
        <f t="shared" si="115"/>
        <v>75719898.9138737</v>
      </c>
      <c r="J548" s="15">
        <f t="shared" si="116"/>
        <v>27459122.2746491</v>
      </c>
      <c r="K548" s="15">
        <f t="shared" si="117"/>
        <v>103179021.188523</v>
      </c>
      <c r="L548" s="15">
        <f t="shared" si="118"/>
        <v>0.733869133876766</v>
      </c>
      <c r="M548" s="15">
        <f t="shared" si="119"/>
        <v>0.266130866123234</v>
      </c>
      <c r="N548" s="15">
        <f t="shared" si="120"/>
        <v>0.5059</v>
      </c>
      <c r="O548" s="15">
        <f t="shared" si="121"/>
        <v>0.4941</v>
      </c>
      <c r="P548" s="15">
        <f t="shared" si="122"/>
        <v>1.45062094065382</v>
      </c>
      <c r="Q548" s="15">
        <f t="shared" si="123"/>
        <v>0.538617417776228</v>
      </c>
      <c r="R548" s="7">
        <f t="shared" si="124"/>
        <v>0.108324816887178</v>
      </c>
    </row>
    <row r="549" spans="1:18">
      <c r="A549" s="6">
        <v>2017</v>
      </c>
      <c r="B549" s="19" t="s">
        <v>39</v>
      </c>
      <c r="C549" s="6">
        <v>0.5804</v>
      </c>
      <c r="D549" s="6">
        <v>972</v>
      </c>
      <c r="E549" s="6">
        <f t="shared" si="114"/>
        <v>564.1488</v>
      </c>
      <c r="F549" s="6">
        <f t="shared" si="113"/>
        <v>407.8512</v>
      </c>
      <c r="G549" s="15">
        <v>30817.3741801636</v>
      </c>
      <c r="H549" s="15">
        <v>12901.7571300443</v>
      </c>
      <c r="I549" s="15">
        <f t="shared" si="115"/>
        <v>17385584.6628903</v>
      </c>
      <c r="J549" s="15">
        <f t="shared" si="116"/>
        <v>5261997.12759712</v>
      </c>
      <c r="K549" s="15">
        <f t="shared" si="117"/>
        <v>22647581.7904874</v>
      </c>
      <c r="L549" s="15">
        <f t="shared" si="118"/>
        <v>0.767657440150749</v>
      </c>
      <c r="M549" s="15">
        <f t="shared" si="119"/>
        <v>0.232342559849251</v>
      </c>
      <c r="N549" s="15">
        <f t="shared" si="120"/>
        <v>0.5804</v>
      </c>
      <c r="O549" s="15">
        <f t="shared" si="121"/>
        <v>0.4196</v>
      </c>
      <c r="P549" s="15">
        <f t="shared" si="122"/>
        <v>1.32263514843341</v>
      </c>
      <c r="Q549" s="15">
        <f t="shared" si="123"/>
        <v>0.553723927190779</v>
      </c>
      <c r="R549" s="7">
        <f t="shared" si="124"/>
        <v>0.0773218926814143</v>
      </c>
    </row>
    <row r="550" spans="1:18">
      <c r="A550" s="6">
        <v>2017</v>
      </c>
      <c r="B550" s="19" t="s">
        <v>40</v>
      </c>
      <c r="C550" s="6">
        <v>0.65</v>
      </c>
      <c r="D550" s="6">
        <v>3144</v>
      </c>
      <c r="E550" s="6">
        <f t="shared" si="114"/>
        <v>2043.6</v>
      </c>
      <c r="F550" s="6">
        <f t="shared" si="113"/>
        <v>1100.4</v>
      </c>
      <c r="G550" s="15">
        <v>32193.2278614704</v>
      </c>
      <c r="H550" s="15">
        <v>12637.9101810187</v>
      </c>
      <c r="I550" s="15">
        <f t="shared" si="115"/>
        <v>65790080.4577009</v>
      </c>
      <c r="J550" s="15">
        <f t="shared" si="116"/>
        <v>13906756.363193</v>
      </c>
      <c r="K550" s="15">
        <f t="shared" si="117"/>
        <v>79696836.8208939</v>
      </c>
      <c r="L550" s="15">
        <f t="shared" si="118"/>
        <v>0.825504287021501</v>
      </c>
      <c r="M550" s="15">
        <f t="shared" si="119"/>
        <v>0.174495712978499</v>
      </c>
      <c r="N550" s="15">
        <f t="shared" si="120"/>
        <v>0.65</v>
      </c>
      <c r="O550" s="15">
        <f t="shared" si="121"/>
        <v>0.35</v>
      </c>
      <c r="P550" s="15">
        <f t="shared" si="122"/>
        <v>1.27000659541769</v>
      </c>
      <c r="Q550" s="15">
        <f t="shared" si="123"/>
        <v>0.498559179938569</v>
      </c>
      <c r="R550" s="7">
        <f t="shared" si="124"/>
        <v>0.0758589918350621</v>
      </c>
    </row>
    <row r="551" spans="1:18">
      <c r="A551" s="6">
        <v>2017</v>
      </c>
      <c r="B551" s="19" t="s">
        <v>41</v>
      </c>
      <c r="C551" s="6">
        <v>0.5178</v>
      </c>
      <c r="D551" s="6">
        <v>8289</v>
      </c>
      <c r="E551" s="6">
        <f t="shared" si="114"/>
        <v>4292.0442</v>
      </c>
      <c r="F551" s="6">
        <f t="shared" si="113"/>
        <v>3996.9558</v>
      </c>
      <c r="G551" s="15">
        <v>30726.8681244003</v>
      </c>
      <c r="H551" s="15">
        <v>12226.9220561176</v>
      </c>
      <c r="I551" s="15">
        <f t="shared" si="115"/>
        <v>131881076.117497</v>
      </c>
      <c r="J551" s="15">
        <f t="shared" si="116"/>
        <v>48870467.0283472</v>
      </c>
      <c r="K551" s="15">
        <f t="shared" si="117"/>
        <v>180751543.145844</v>
      </c>
      <c r="L551" s="15">
        <f t="shared" si="118"/>
        <v>0.729626280485392</v>
      </c>
      <c r="M551" s="15">
        <f t="shared" si="119"/>
        <v>0.270373719514608</v>
      </c>
      <c r="N551" s="15">
        <f t="shared" si="120"/>
        <v>0.5178</v>
      </c>
      <c r="O551" s="15">
        <f t="shared" si="121"/>
        <v>0.4822</v>
      </c>
      <c r="P551" s="15">
        <f t="shared" si="122"/>
        <v>1.40908899282617</v>
      </c>
      <c r="Q551" s="15">
        <f t="shared" si="123"/>
        <v>0.560708667595621</v>
      </c>
      <c r="R551" s="7">
        <f t="shared" si="124"/>
        <v>0.0937947633732474</v>
      </c>
    </row>
    <row r="552" spans="1:18">
      <c r="A552" s="6">
        <v>2017</v>
      </c>
      <c r="B552" s="19" t="s">
        <v>42</v>
      </c>
      <c r="C552" s="6">
        <v>0.4776</v>
      </c>
      <c r="D552" s="6">
        <v>3803</v>
      </c>
      <c r="E552" s="6">
        <f t="shared" si="114"/>
        <v>1816.3128</v>
      </c>
      <c r="F552" s="6">
        <f t="shared" si="113"/>
        <v>1986.6872</v>
      </c>
      <c r="G552" s="15">
        <v>29079.8437834037</v>
      </c>
      <c r="H552" s="15">
        <v>8869.0980248926</v>
      </c>
      <c r="I552" s="15">
        <f t="shared" si="115"/>
        <v>52818092.4857966</v>
      </c>
      <c r="J552" s="15">
        <f t="shared" si="116"/>
        <v>17620123.5215994</v>
      </c>
      <c r="K552" s="15">
        <f t="shared" si="117"/>
        <v>70438216.007396</v>
      </c>
      <c r="L552" s="15">
        <f t="shared" si="118"/>
        <v>0.749849946231612</v>
      </c>
      <c r="M552" s="15">
        <f t="shared" si="119"/>
        <v>0.250150053768388</v>
      </c>
      <c r="N552" s="15">
        <f t="shared" si="120"/>
        <v>0.4776</v>
      </c>
      <c r="O552" s="15">
        <f t="shared" si="121"/>
        <v>0.5224</v>
      </c>
      <c r="P552" s="15">
        <f t="shared" si="122"/>
        <v>1.57003757586183</v>
      </c>
      <c r="Q552" s="15">
        <f t="shared" si="123"/>
        <v>0.478847729265673</v>
      </c>
      <c r="R552" s="7">
        <f t="shared" si="124"/>
        <v>0.154053323611827</v>
      </c>
    </row>
    <row r="553" spans="1:18">
      <c r="A553" s="6">
        <v>2017</v>
      </c>
      <c r="B553" s="19" t="s">
        <v>43</v>
      </c>
      <c r="C553" s="6">
        <v>0.4629</v>
      </c>
      <c r="D553" s="6">
        <v>4693</v>
      </c>
      <c r="E553" s="6">
        <f t="shared" si="114"/>
        <v>2172.3897</v>
      </c>
      <c r="F553" s="6">
        <f t="shared" si="113"/>
        <v>2520.6103</v>
      </c>
      <c r="G553" s="15">
        <v>30995.875399503</v>
      </c>
      <c r="H553" s="15">
        <v>9862.1677483413</v>
      </c>
      <c r="I553" s="15">
        <f t="shared" si="115"/>
        <v>67335120.4603637</v>
      </c>
      <c r="J553" s="15">
        <f t="shared" si="116"/>
        <v>24858681.6067969</v>
      </c>
      <c r="K553" s="15">
        <f t="shared" si="117"/>
        <v>92193802.0671606</v>
      </c>
      <c r="L553" s="15">
        <f t="shared" si="118"/>
        <v>0.730364937236366</v>
      </c>
      <c r="M553" s="15">
        <f t="shared" si="119"/>
        <v>0.269635062763634</v>
      </c>
      <c r="N553" s="15">
        <f t="shared" si="120"/>
        <v>0.4629</v>
      </c>
      <c r="O553" s="15">
        <f t="shared" si="121"/>
        <v>0.5371</v>
      </c>
      <c r="P553" s="15">
        <f t="shared" si="122"/>
        <v>1.57780284561755</v>
      </c>
      <c r="Q553" s="15">
        <f t="shared" si="123"/>
        <v>0.502020224843854</v>
      </c>
      <c r="R553" s="7">
        <f t="shared" si="124"/>
        <v>0.147261182781388</v>
      </c>
    </row>
    <row r="554" spans="1:18">
      <c r="A554" s="6">
        <v>2017</v>
      </c>
      <c r="B554" s="19" t="s">
        <v>44</v>
      </c>
      <c r="C554" s="6">
        <v>0.3338</v>
      </c>
      <c r="D554" s="6">
        <v>349</v>
      </c>
      <c r="E554" s="6">
        <f t="shared" si="114"/>
        <v>116.4962</v>
      </c>
      <c r="F554" s="6">
        <f t="shared" si="113"/>
        <v>232.5038</v>
      </c>
      <c r="G554" s="15">
        <v>30671.1296662108</v>
      </c>
      <c r="H554" s="15">
        <v>10330.2050987403</v>
      </c>
      <c r="I554" s="15">
        <f t="shared" si="115"/>
        <v>3573070.05582083</v>
      </c>
      <c r="J554" s="15">
        <f t="shared" si="116"/>
        <v>2401811.94023649</v>
      </c>
      <c r="K554" s="15">
        <f t="shared" si="117"/>
        <v>5974881.99605732</v>
      </c>
      <c r="L554" s="15">
        <f t="shared" si="118"/>
        <v>0.598015167191353</v>
      </c>
      <c r="M554" s="15">
        <f t="shared" si="119"/>
        <v>0.401984832808647</v>
      </c>
      <c r="N554" s="15">
        <f t="shared" si="120"/>
        <v>0.3338</v>
      </c>
      <c r="O554" s="15">
        <f t="shared" si="121"/>
        <v>0.6662</v>
      </c>
      <c r="P554" s="15">
        <f t="shared" si="122"/>
        <v>1.79153734928506</v>
      </c>
      <c r="Q554" s="15">
        <f t="shared" si="123"/>
        <v>0.603399628953237</v>
      </c>
      <c r="R554" s="7">
        <f t="shared" si="124"/>
        <v>0.145614242830343</v>
      </c>
    </row>
    <row r="555" spans="1:18">
      <c r="A555" s="6">
        <v>2017</v>
      </c>
      <c r="B555" s="19" t="s">
        <v>45</v>
      </c>
      <c r="C555" s="6">
        <v>0.5807</v>
      </c>
      <c r="D555" s="6">
        <v>3904</v>
      </c>
      <c r="E555" s="6">
        <f t="shared" si="114"/>
        <v>2267.0528</v>
      </c>
      <c r="F555" s="6">
        <f t="shared" si="113"/>
        <v>1636.9472</v>
      </c>
      <c r="G555" s="15">
        <v>30810.2553835994</v>
      </c>
      <c r="H555" s="15">
        <v>10264.511872786</v>
      </c>
      <c r="I555" s="15">
        <f t="shared" si="115"/>
        <v>69848475.7361041</v>
      </c>
      <c r="J555" s="15">
        <f t="shared" si="116"/>
        <v>16802463.9695238</v>
      </c>
      <c r="K555" s="15">
        <f t="shared" si="117"/>
        <v>86650939.7056279</v>
      </c>
      <c r="L555" s="15">
        <f t="shared" si="118"/>
        <v>0.806090227912064</v>
      </c>
      <c r="M555" s="15">
        <f t="shared" si="119"/>
        <v>0.193909772087936</v>
      </c>
      <c r="N555" s="15">
        <f t="shared" si="120"/>
        <v>0.5807</v>
      </c>
      <c r="O555" s="15">
        <f t="shared" si="121"/>
        <v>0.4193</v>
      </c>
      <c r="P555" s="15">
        <f t="shared" si="122"/>
        <v>1.38813540194948</v>
      </c>
      <c r="Q555" s="15">
        <f t="shared" si="123"/>
        <v>0.462460701378336</v>
      </c>
      <c r="R555" s="7">
        <f t="shared" si="124"/>
        <v>0.114824493303232</v>
      </c>
    </row>
    <row r="556" spans="1:18">
      <c r="A556" s="6">
        <v>2017</v>
      </c>
      <c r="B556" s="19" t="s">
        <v>46</v>
      </c>
      <c r="C556" s="6">
        <v>0.4812</v>
      </c>
      <c r="D556" s="6">
        <v>2522</v>
      </c>
      <c r="E556" s="6">
        <f t="shared" si="114"/>
        <v>1213.5864</v>
      </c>
      <c r="F556" s="6">
        <f t="shared" si="113"/>
        <v>1308.4136</v>
      </c>
      <c r="G556" s="15">
        <v>27763.4044238411</v>
      </c>
      <c r="H556" s="15">
        <v>8076.0607112118</v>
      </c>
      <c r="I556" s="15">
        <f t="shared" si="115"/>
        <v>33693290.0264734</v>
      </c>
      <c r="J556" s="15">
        <f t="shared" si="116"/>
        <v>10566827.6689752</v>
      </c>
      <c r="K556" s="15">
        <f t="shared" si="117"/>
        <v>44260117.6954486</v>
      </c>
      <c r="L556" s="15">
        <f t="shared" si="118"/>
        <v>0.761256223002276</v>
      </c>
      <c r="M556" s="15">
        <f t="shared" si="119"/>
        <v>0.238743776997724</v>
      </c>
      <c r="N556" s="15">
        <f t="shared" si="120"/>
        <v>0.4812</v>
      </c>
      <c r="O556" s="15">
        <f t="shared" si="121"/>
        <v>0.5188</v>
      </c>
      <c r="P556" s="15">
        <f t="shared" si="122"/>
        <v>1.58199547589833</v>
      </c>
      <c r="Q556" s="15">
        <f t="shared" si="123"/>
        <v>0.460184612563076</v>
      </c>
      <c r="R556" s="7">
        <f t="shared" si="124"/>
        <v>0.163882720534586</v>
      </c>
    </row>
    <row r="557" spans="1:18">
      <c r="A557" s="6">
        <v>2017</v>
      </c>
      <c r="B557" s="19" t="s">
        <v>47</v>
      </c>
      <c r="C557" s="6">
        <v>0.5545</v>
      </c>
      <c r="D557" s="6">
        <v>586</v>
      </c>
      <c r="E557" s="6">
        <f t="shared" si="114"/>
        <v>324.937</v>
      </c>
      <c r="F557" s="6">
        <f t="shared" si="113"/>
        <v>261.063</v>
      </c>
      <c r="G557" s="15">
        <v>29168.8559909571</v>
      </c>
      <c r="H557" s="15">
        <v>9462.3010034726</v>
      </c>
      <c r="I557" s="15">
        <f t="shared" si="115"/>
        <v>9478040.55913363</v>
      </c>
      <c r="J557" s="15">
        <f t="shared" si="116"/>
        <v>2470256.68686957</v>
      </c>
      <c r="K557" s="15">
        <f t="shared" si="117"/>
        <v>11948297.2460032</v>
      </c>
      <c r="L557" s="15">
        <f t="shared" si="118"/>
        <v>0.793254500117505</v>
      </c>
      <c r="M557" s="15">
        <f t="shared" si="119"/>
        <v>0.206745499882495</v>
      </c>
      <c r="N557" s="15">
        <f t="shared" si="120"/>
        <v>0.5545</v>
      </c>
      <c r="O557" s="15">
        <f t="shared" si="121"/>
        <v>0.4455</v>
      </c>
      <c r="P557" s="15">
        <f t="shared" si="122"/>
        <v>1.43057619498198</v>
      </c>
      <c r="Q557" s="15">
        <f t="shared" si="123"/>
        <v>0.46407519614477</v>
      </c>
      <c r="R557" s="7">
        <f t="shared" si="124"/>
        <v>0.125326112321742</v>
      </c>
    </row>
    <row r="558" spans="1:18">
      <c r="A558" s="6">
        <v>2017</v>
      </c>
      <c r="B558" s="19" t="s">
        <v>48</v>
      </c>
      <c r="C558" s="6">
        <v>0.6095</v>
      </c>
      <c r="D558" s="6">
        <v>705</v>
      </c>
      <c r="E558" s="6">
        <f t="shared" si="114"/>
        <v>429.6975</v>
      </c>
      <c r="F558" s="6">
        <f t="shared" si="113"/>
        <v>275.3025</v>
      </c>
      <c r="G558" s="15">
        <v>29472.2782704112</v>
      </c>
      <c r="H558" s="15">
        <v>10737.8855340917</v>
      </c>
      <c r="I558" s="15">
        <f t="shared" si="115"/>
        <v>12664164.2921</v>
      </c>
      <c r="J558" s="15">
        <f t="shared" si="116"/>
        <v>2956166.73224928</v>
      </c>
      <c r="K558" s="15">
        <f t="shared" si="117"/>
        <v>15620331.0243493</v>
      </c>
      <c r="L558" s="15">
        <f t="shared" si="118"/>
        <v>0.810748778137855</v>
      </c>
      <c r="M558" s="15">
        <f t="shared" si="119"/>
        <v>0.189251221862145</v>
      </c>
      <c r="N558" s="15">
        <f t="shared" si="120"/>
        <v>0.6095</v>
      </c>
      <c r="O558" s="15">
        <f t="shared" si="121"/>
        <v>0.3905</v>
      </c>
      <c r="P558" s="15">
        <f t="shared" si="122"/>
        <v>1.33018667454939</v>
      </c>
      <c r="Q558" s="15">
        <f t="shared" si="123"/>
        <v>0.484638212194994</v>
      </c>
      <c r="R558" s="7">
        <f t="shared" si="124"/>
        <v>0.0942376465728976</v>
      </c>
    </row>
    <row r="559" spans="1:18">
      <c r="A559" s="6">
        <v>2017</v>
      </c>
      <c r="B559" s="19" t="s">
        <v>49</v>
      </c>
      <c r="C559" s="6">
        <v>0.519</v>
      </c>
      <c r="D559" s="6">
        <v>2480</v>
      </c>
      <c r="E559" s="6">
        <f t="shared" si="114"/>
        <v>1287.12</v>
      </c>
      <c r="F559" s="6">
        <f t="shared" si="113"/>
        <v>1192.88</v>
      </c>
      <c r="G559" s="15">
        <v>30774.8029590559</v>
      </c>
      <c r="H559" s="15">
        <v>11045.2972732175</v>
      </c>
      <c r="I559" s="15">
        <f t="shared" si="115"/>
        <v>39610864.38466</v>
      </c>
      <c r="J559" s="15">
        <f t="shared" si="116"/>
        <v>13175714.2112757</v>
      </c>
      <c r="K559" s="15">
        <f t="shared" si="117"/>
        <v>52786578.5959357</v>
      </c>
      <c r="L559" s="15">
        <f t="shared" si="118"/>
        <v>0.750396510595401</v>
      </c>
      <c r="M559" s="15">
        <f t="shared" si="119"/>
        <v>0.249603489404599</v>
      </c>
      <c r="N559" s="15">
        <f t="shared" si="120"/>
        <v>0.519</v>
      </c>
      <c r="O559" s="15">
        <f t="shared" si="121"/>
        <v>0.481</v>
      </c>
      <c r="P559" s="15">
        <f t="shared" si="122"/>
        <v>1.44585069478883</v>
      </c>
      <c r="Q559" s="15">
        <f t="shared" si="123"/>
        <v>0.518926173398335</v>
      </c>
      <c r="R559" s="7">
        <f t="shared" si="124"/>
        <v>0.112931285955427</v>
      </c>
    </row>
    <row r="560" spans="1:18">
      <c r="A560" s="6">
        <v>2018</v>
      </c>
      <c r="B560" s="19" t="s">
        <v>19</v>
      </c>
      <c r="C560" s="6">
        <v>0.8709</v>
      </c>
      <c r="D560" s="6">
        <v>2192</v>
      </c>
      <c r="E560" s="6">
        <f t="shared" si="114"/>
        <v>1909.0128</v>
      </c>
      <c r="F560" s="6">
        <f t="shared" si="113"/>
        <v>282.9872</v>
      </c>
      <c r="G560" s="15">
        <v>67989.8888559736</v>
      </c>
      <c r="H560" s="15">
        <v>26490.2916562364</v>
      </c>
      <c r="I560" s="15">
        <f t="shared" si="115"/>
        <v>129793568.096631</v>
      </c>
      <c r="J560" s="15">
        <f t="shared" si="116"/>
        <v>7496413.4629817</v>
      </c>
      <c r="K560" s="15">
        <f t="shared" si="117"/>
        <v>137289981.559613</v>
      </c>
      <c r="L560" s="15">
        <f t="shared" si="118"/>
        <v>0.945397228713832</v>
      </c>
      <c r="M560" s="15">
        <f t="shared" si="119"/>
        <v>0.0546027712861676</v>
      </c>
      <c r="N560" s="15">
        <f t="shared" si="120"/>
        <v>0.8709</v>
      </c>
      <c r="O560" s="15">
        <f t="shared" si="121"/>
        <v>0.1291</v>
      </c>
      <c r="P560" s="15">
        <f t="shared" si="122"/>
        <v>1.0855405083406</v>
      </c>
      <c r="Q560" s="15">
        <f t="shared" si="123"/>
        <v>0.422949429017565</v>
      </c>
      <c r="R560" s="7">
        <f t="shared" si="124"/>
        <v>0.0306105096178163</v>
      </c>
    </row>
    <row r="561" spans="1:18">
      <c r="A561" s="6">
        <v>2018</v>
      </c>
      <c r="B561" s="19" t="s">
        <v>20</v>
      </c>
      <c r="C561" s="6">
        <v>0.8395</v>
      </c>
      <c r="D561" s="6">
        <v>1383</v>
      </c>
      <c r="E561" s="6">
        <f t="shared" si="114"/>
        <v>1161.0285</v>
      </c>
      <c r="F561" s="6">
        <f t="shared" si="113"/>
        <v>221.9715</v>
      </c>
      <c r="G561" s="15">
        <v>42976.2526372293</v>
      </c>
      <c r="H561" s="15">
        <v>23065.2252822093</v>
      </c>
      <c r="I561" s="15">
        <f t="shared" si="115"/>
        <v>49896654.1350234</v>
      </c>
      <c r="J561" s="15">
        <f t="shared" si="116"/>
        <v>5119822.65372992</v>
      </c>
      <c r="K561" s="15">
        <f t="shared" si="117"/>
        <v>55016476.7887533</v>
      </c>
      <c r="L561" s="15">
        <f t="shared" si="118"/>
        <v>0.906940194055165</v>
      </c>
      <c r="M561" s="15">
        <f t="shared" si="119"/>
        <v>0.0930598059448353</v>
      </c>
      <c r="N561" s="15">
        <f t="shared" si="120"/>
        <v>0.8395</v>
      </c>
      <c r="O561" s="15">
        <f t="shared" si="121"/>
        <v>0.1605</v>
      </c>
      <c r="P561" s="15">
        <f t="shared" si="122"/>
        <v>1.08033376301985</v>
      </c>
      <c r="Q561" s="15">
        <f t="shared" si="123"/>
        <v>0.579811875045703</v>
      </c>
      <c r="R561" s="7">
        <f t="shared" si="124"/>
        <v>0.0193569045316114</v>
      </c>
    </row>
    <row r="562" spans="1:18">
      <c r="A562" s="6">
        <v>2018</v>
      </c>
      <c r="B562" s="19" t="s">
        <v>21</v>
      </c>
      <c r="C562" s="6">
        <v>0.5733</v>
      </c>
      <c r="D562" s="6">
        <v>7426</v>
      </c>
      <c r="E562" s="6">
        <f t="shared" si="114"/>
        <v>4257.3258</v>
      </c>
      <c r="F562" s="6">
        <f t="shared" si="113"/>
        <v>3168.6742</v>
      </c>
      <c r="G562" s="15">
        <v>32977.1758281844</v>
      </c>
      <c r="H562" s="15">
        <v>14030.8891610054</v>
      </c>
      <c r="I562" s="15">
        <f t="shared" si="115"/>
        <v>140394581.464466</v>
      </c>
      <c r="J562" s="15">
        <f t="shared" si="116"/>
        <v>44459316.4875375</v>
      </c>
      <c r="K562" s="15">
        <f t="shared" si="117"/>
        <v>184853897.952003</v>
      </c>
      <c r="L562" s="15">
        <f t="shared" si="118"/>
        <v>0.759489429327148</v>
      </c>
      <c r="M562" s="15">
        <f t="shared" si="119"/>
        <v>0.240510570672852</v>
      </c>
      <c r="N562" s="15">
        <f t="shared" si="120"/>
        <v>0.5733</v>
      </c>
      <c r="O562" s="15">
        <f t="shared" si="121"/>
        <v>0.4267</v>
      </c>
      <c r="P562" s="15">
        <f t="shared" si="122"/>
        <v>1.32476788649424</v>
      </c>
      <c r="Q562" s="15">
        <f t="shared" si="123"/>
        <v>0.563652614653977</v>
      </c>
      <c r="R562" s="7">
        <f t="shared" si="124"/>
        <v>0.0757078945944021</v>
      </c>
    </row>
    <row r="563" spans="1:18">
      <c r="A563" s="6">
        <v>2018</v>
      </c>
      <c r="B563" s="19" t="s">
        <v>22</v>
      </c>
      <c r="C563" s="6">
        <v>0.5985</v>
      </c>
      <c r="D563" s="6">
        <v>3502</v>
      </c>
      <c r="E563" s="6">
        <f t="shared" si="114"/>
        <v>2095.947</v>
      </c>
      <c r="F563" s="6">
        <f t="shared" si="113"/>
        <v>1406.053</v>
      </c>
      <c r="G563" s="15">
        <v>31034.8022583685</v>
      </c>
      <c r="H563" s="15">
        <v>11750.0105235793</v>
      </c>
      <c r="I563" s="15">
        <f t="shared" si="115"/>
        <v>65047300.6890207</v>
      </c>
      <c r="J563" s="15">
        <f t="shared" si="116"/>
        <v>16521137.5467102</v>
      </c>
      <c r="K563" s="15">
        <f t="shared" si="117"/>
        <v>81568438.2357309</v>
      </c>
      <c r="L563" s="15">
        <f t="shared" si="118"/>
        <v>0.797456738120147</v>
      </c>
      <c r="M563" s="15">
        <f t="shared" si="119"/>
        <v>0.202543261879853</v>
      </c>
      <c r="N563" s="15">
        <f t="shared" si="120"/>
        <v>0.5985</v>
      </c>
      <c r="O563" s="15">
        <f t="shared" si="121"/>
        <v>0.4015</v>
      </c>
      <c r="P563" s="15">
        <f t="shared" si="122"/>
        <v>1.33242562760259</v>
      </c>
      <c r="Q563" s="15">
        <f t="shared" si="123"/>
        <v>0.504466405678338</v>
      </c>
      <c r="R563" s="7">
        <f t="shared" si="124"/>
        <v>0.0902798868543751</v>
      </c>
    </row>
    <row r="564" spans="1:18">
      <c r="A564" s="6">
        <v>2018</v>
      </c>
      <c r="B564" s="19" t="s">
        <v>23</v>
      </c>
      <c r="C564" s="6">
        <v>0.6551</v>
      </c>
      <c r="D564" s="6">
        <v>2422</v>
      </c>
      <c r="E564" s="6">
        <f t="shared" si="114"/>
        <v>1586.6522</v>
      </c>
      <c r="F564" s="6">
        <f t="shared" si="113"/>
        <v>835.3478</v>
      </c>
      <c r="G564" s="15">
        <v>38304.6787418862</v>
      </c>
      <c r="H564" s="15">
        <v>13802.5616444897</v>
      </c>
      <c r="I564" s="15">
        <f t="shared" si="115"/>
        <v>60776202.796107</v>
      </c>
      <c r="J564" s="15">
        <f t="shared" si="116"/>
        <v>11529939.5040889</v>
      </c>
      <c r="K564" s="15">
        <f t="shared" si="117"/>
        <v>72306142.3001958</v>
      </c>
      <c r="L564" s="15">
        <f t="shared" si="118"/>
        <v>0.840539971608226</v>
      </c>
      <c r="M564" s="15">
        <f t="shared" si="119"/>
        <v>0.159460028391774</v>
      </c>
      <c r="N564" s="15">
        <f t="shared" si="120"/>
        <v>0.6551</v>
      </c>
      <c r="O564" s="15">
        <f t="shared" si="121"/>
        <v>0.3449</v>
      </c>
      <c r="P564" s="15">
        <f t="shared" si="122"/>
        <v>1.28307124348684</v>
      </c>
      <c r="Q564" s="15">
        <f t="shared" si="123"/>
        <v>0.462336991567914</v>
      </c>
      <c r="R564" s="7">
        <f t="shared" si="124"/>
        <v>0.0864929159397488</v>
      </c>
    </row>
    <row r="565" spans="1:18">
      <c r="A565" s="6">
        <v>2018</v>
      </c>
      <c r="B565" s="19" t="s">
        <v>24</v>
      </c>
      <c r="C565" s="6">
        <v>0.7026</v>
      </c>
      <c r="D565" s="6">
        <v>4291</v>
      </c>
      <c r="E565" s="6">
        <f t="shared" si="114"/>
        <v>3014.8566</v>
      </c>
      <c r="F565" s="6">
        <f t="shared" si="113"/>
        <v>1276.1434</v>
      </c>
      <c r="G565" s="15">
        <v>37341.9286846778</v>
      </c>
      <c r="H565" s="15">
        <v>14656.3268620787</v>
      </c>
      <c r="I565" s="15">
        <f t="shared" si="115"/>
        <v>112580560.15173</v>
      </c>
      <c r="J565" s="15">
        <f t="shared" si="116"/>
        <v>18703574.7932844</v>
      </c>
      <c r="K565" s="15">
        <f t="shared" si="117"/>
        <v>131284134.945015</v>
      </c>
      <c r="L565" s="15">
        <f t="shared" si="118"/>
        <v>0.857533625055929</v>
      </c>
      <c r="M565" s="15">
        <f t="shared" si="119"/>
        <v>0.142466374944071</v>
      </c>
      <c r="N565" s="15">
        <f t="shared" si="120"/>
        <v>0.7026</v>
      </c>
      <c r="O565" s="15">
        <f t="shared" si="121"/>
        <v>0.2974</v>
      </c>
      <c r="P565" s="15">
        <f t="shared" si="122"/>
        <v>1.22051469549663</v>
      </c>
      <c r="Q565" s="15">
        <f t="shared" si="123"/>
        <v>0.479039592952491</v>
      </c>
      <c r="R565" s="7">
        <f t="shared" si="124"/>
        <v>0.0660317322585374</v>
      </c>
    </row>
    <row r="566" spans="1:18">
      <c r="A566" s="6">
        <v>2018</v>
      </c>
      <c r="B566" s="19" t="s">
        <v>25</v>
      </c>
      <c r="C566" s="6">
        <v>0.6085</v>
      </c>
      <c r="D566" s="6">
        <v>2484</v>
      </c>
      <c r="E566" s="6">
        <f t="shared" si="114"/>
        <v>1511.514</v>
      </c>
      <c r="F566" s="6">
        <f t="shared" si="113"/>
        <v>972.486</v>
      </c>
      <c r="G566" s="15">
        <v>30171.937267577</v>
      </c>
      <c r="H566" s="15">
        <v>13748.1746271857</v>
      </c>
      <c r="I566" s="15">
        <f t="shared" si="115"/>
        <v>45605305.5870644</v>
      </c>
      <c r="J566" s="15">
        <f t="shared" si="116"/>
        <v>13369907.3504933</v>
      </c>
      <c r="K566" s="15">
        <f t="shared" si="117"/>
        <v>58975212.9375577</v>
      </c>
      <c r="L566" s="15">
        <f t="shared" si="118"/>
        <v>0.773296158088497</v>
      </c>
      <c r="M566" s="15">
        <f t="shared" si="119"/>
        <v>0.226703841911503</v>
      </c>
      <c r="N566" s="15">
        <f t="shared" si="120"/>
        <v>0.6085</v>
      </c>
      <c r="O566" s="15">
        <f t="shared" si="121"/>
        <v>0.3915</v>
      </c>
      <c r="P566" s="15">
        <f t="shared" si="122"/>
        <v>1.27082359587263</v>
      </c>
      <c r="Q566" s="15">
        <f t="shared" si="123"/>
        <v>0.579064730297581</v>
      </c>
      <c r="R566" s="7">
        <f t="shared" si="124"/>
        <v>0.0614745652313871</v>
      </c>
    </row>
    <row r="567" spans="1:18">
      <c r="A567" s="6">
        <v>2018</v>
      </c>
      <c r="B567" s="19" t="s">
        <v>26</v>
      </c>
      <c r="C567" s="6">
        <v>0.6346</v>
      </c>
      <c r="D567" s="6">
        <v>3327</v>
      </c>
      <c r="E567" s="6">
        <f t="shared" si="114"/>
        <v>2111.3142</v>
      </c>
      <c r="F567" s="6">
        <f t="shared" si="113"/>
        <v>1215.6858</v>
      </c>
      <c r="G567" s="15">
        <v>29191.3257577714</v>
      </c>
      <c r="H567" s="15">
        <v>13803.6536536291</v>
      </c>
      <c r="I567" s="15">
        <f t="shared" si="115"/>
        <v>61632060.5892085</v>
      </c>
      <c r="J567" s="15">
        <f t="shared" si="116"/>
        <v>16780905.734835</v>
      </c>
      <c r="K567" s="15">
        <f t="shared" si="117"/>
        <v>78412966.3240435</v>
      </c>
      <c r="L567" s="15">
        <f t="shared" si="118"/>
        <v>0.78599322890697</v>
      </c>
      <c r="M567" s="15">
        <f t="shared" si="119"/>
        <v>0.214006771093029</v>
      </c>
      <c r="N567" s="15">
        <f t="shared" si="120"/>
        <v>0.6346</v>
      </c>
      <c r="O567" s="15">
        <f t="shared" si="121"/>
        <v>0.3654</v>
      </c>
      <c r="P567" s="15">
        <f t="shared" si="122"/>
        <v>1.23856481075791</v>
      </c>
      <c r="Q567" s="15">
        <f t="shared" si="123"/>
        <v>0.585678081809057</v>
      </c>
      <c r="R567" s="7">
        <f t="shared" si="124"/>
        <v>0.0536754339817462</v>
      </c>
    </row>
    <row r="568" spans="1:18">
      <c r="A568" s="6">
        <v>2018</v>
      </c>
      <c r="B568" s="19" t="s">
        <v>27</v>
      </c>
      <c r="C568" s="6">
        <v>0.8913</v>
      </c>
      <c r="D568" s="6">
        <v>2475</v>
      </c>
      <c r="E568" s="6">
        <f t="shared" si="114"/>
        <v>2205.9675</v>
      </c>
      <c r="F568" s="6">
        <f t="shared" si="113"/>
        <v>269.0325</v>
      </c>
      <c r="G568" s="15">
        <v>68033.6241396677</v>
      </c>
      <c r="H568" s="15">
        <v>30374.731810781</v>
      </c>
      <c r="I568" s="15">
        <f t="shared" si="115"/>
        <v>150079963.759322</v>
      </c>
      <c r="J568" s="15">
        <f t="shared" si="116"/>
        <v>8171790.03588395</v>
      </c>
      <c r="K568" s="15">
        <f t="shared" si="117"/>
        <v>158251753.795206</v>
      </c>
      <c r="L568" s="15">
        <f t="shared" si="118"/>
        <v>0.948362088634676</v>
      </c>
      <c r="M568" s="15">
        <f t="shared" si="119"/>
        <v>0.051637911365324</v>
      </c>
      <c r="N568" s="15">
        <f t="shared" si="120"/>
        <v>0.8913</v>
      </c>
      <c r="O568" s="15">
        <f t="shared" si="121"/>
        <v>0.1087</v>
      </c>
      <c r="P568" s="15">
        <f t="shared" si="122"/>
        <v>1.06402119223009</v>
      </c>
      <c r="Q568" s="15">
        <f t="shared" si="123"/>
        <v>0.475049782569678</v>
      </c>
      <c r="R568" s="7">
        <f t="shared" si="124"/>
        <v>0.0204149621112085</v>
      </c>
    </row>
    <row r="569" spans="1:18">
      <c r="A569" s="6">
        <v>2018</v>
      </c>
      <c r="B569" s="19" t="s">
        <v>28</v>
      </c>
      <c r="C569" s="6">
        <v>0.7119</v>
      </c>
      <c r="D569" s="6">
        <v>8446</v>
      </c>
      <c r="E569" s="6">
        <f t="shared" si="114"/>
        <v>6012.7074</v>
      </c>
      <c r="F569" s="6">
        <f t="shared" si="113"/>
        <v>2433.2926</v>
      </c>
      <c r="G569" s="15">
        <v>47199.9670085079</v>
      </c>
      <c r="H569" s="15">
        <v>20845.071206326</v>
      </c>
      <c r="I569" s="15">
        <f t="shared" si="115"/>
        <v>283799590.911811</v>
      </c>
      <c r="J569" s="15">
        <f t="shared" si="116"/>
        <v>50722157.5128261</v>
      </c>
      <c r="K569" s="15">
        <f t="shared" si="117"/>
        <v>334521748.424637</v>
      </c>
      <c r="L569" s="15">
        <f t="shared" si="118"/>
        <v>0.848374110945875</v>
      </c>
      <c r="M569" s="15">
        <f t="shared" si="119"/>
        <v>0.151625889054125</v>
      </c>
      <c r="N569" s="15">
        <f t="shared" si="120"/>
        <v>0.7119</v>
      </c>
      <c r="O569" s="15">
        <f t="shared" si="121"/>
        <v>0.2881</v>
      </c>
      <c r="P569" s="15">
        <f t="shared" si="122"/>
        <v>1.19170404684067</v>
      </c>
      <c r="Q569" s="15">
        <f t="shared" si="123"/>
        <v>0.526296039757464</v>
      </c>
      <c r="R569" s="7">
        <f t="shared" si="124"/>
        <v>0.0514641054588373</v>
      </c>
    </row>
    <row r="570" spans="1:18">
      <c r="A570" s="6">
        <v>2018</v>
      </c>
      <c r="B570" s="19" t="s">
        <v>29</v>
      </c>
      <c r="C570" s="6">
        <v>0.7002</v>
      </c>
      <c r="D570" s="6">
        <v>6273</v>
      </c>
      <c r="E570" s="6">
        <f t="shared" si="114"/>
        <v>4392.3546</v>
      </c>
      <c r="F570" s="6">
        <f t="shared" ref="F570:F633" si="125">D570-E570</f>
        <v>1880.6454</v>
      </c>
      <c r="G570" s="15">
        <v>55574.3095351039</v>
      </c>
      <c r="H570" s="15">
        <v>27302.3703778349</v>
      </c>
      <c r="I570" s="15">
        <f t="shared" si="115"/>
        <v>244102074.128338</v>
      </c>
      <c r="J570" s="15">
        <f t="shared" si="116"/>
        <v>51346077.2601715</v>
      </c>
      <c r="K570" s="15">
        <f t="shared" si="117"/>
        <v>295448151.388509</v>
      </c>
      <c r="L570" s="15">
        <f t="shared" si="118"/>
        <v>0.826209515886758</v>
      </c>
      <c r="M570" s="15">
        <f t="shared" si="119"/>
        <v>0.173790484113242</v>
      </c>
      <c r="N570" s="15">
        <f t="shared" si="120"/>
        <v>0.7002</v>
      </c>
      <c r="O570" s="15">
        <f t="shared" si="121"/>
        <v>0.2998</v>
      </c>
      <c r="P570" s="15">
        <f t="shared" si="122"/>
        <v>1.17996217635927</v>
      </c>
      <c r="Q570" s="15">
        <f t="shared" si="123"/>
        <v>0.579688072425758</v>
      </c>
      <c r="R570" s="7">
        <f t="shared" si="124"/>
        <v>0.041961230132861</v>
      </c>
    </row>
    <row r="571" spans="1:18">
      <c r="A571" s="6">
        <v>2018</v>
      </c>
      <c r="B571" s="19" t="s">
        <v>30</v>
      </c>
      <c r="C571" s="6">
        <v>0.5565</v>
      </c>
      <c r="D571" s="6">
        <v>6076</v>
      </c>
      <c r="E571" s="6">
        <f t="shared" si="114"/>
        <v>3381.294</v>
      </c>
      <c r="F571" s="6">
        <f t="shared" si="125"/>
        <v>2694.706</v>
      </c>
      <c r="G571" s="15">
        <v>34393.0848873315</v>
      </c>
      <c r="H571" s="15">
        <v>13996.0215127306</v>
      </c>
      <c r="I571" s="15">
        <f t="shared" si="115"/>
        <v>116293131.571025</v>
      </c>
      <c r="J571" s="15">
        <f t="shared" si="116"/>
        <v>37715163.1464842</v>
      </c>
      <c r="K571" s="15">
        <f t="shared" si="117"/>
        <v>154008294.717509</v>
      </c>
      <c r="L571" s="15">
        <f t="shared" si="118"/>
        <v>0.75510953344647</v>
      </c>
      <c r="M571" s="15">
        <f t="shared" si="119"/>
        <v>0.24489046655353</v>
      </c>
      <c r="N571" s="15">
        <f t="shared" si="120"/>
        <v>0.5565</v>
      </c>
      <c r="O571" s="15">
        <f t="shared" si="121"/>
        <v>0.4435</v>
      </c>
      <c r="P571" s="15">
        <f t="shared" si="122"/>
        <v>1.35689044644469</v>
      </c>
      <c r="Q571" s="15">
        <f t="shared" si="123"/>
        <v>0.552176925712581</v>
      </c>
      <c r="R571" s="7">
        <f t="shared" si="124"/>
        <v>0.0850189341059738</v>
      </c>
    </row>
    <row r="572" spans="1:18">
      <c r="A572" s="6">
        <v>2018</v>
      </c>
      <c r="B572" s="19" t="s">
        <v>31</v>
      </c>
      <c r="C572" s="6">
        <v>0.6698</v>
      </c>
      <c r="D572" s="6">
        <v>4104</v>
      </c>
      <c r="E572" s="6">
        <f t="shared" si="114"/>
        <v>2748.8592</v>
      </c>
      <c r="F572" s="6">
        <f t="shared" si="125"/>
        <v>1355.1408</v>
      </c>
      <c r="G572" s="15">
        <v>42121.3110041052</v>
      </c>
      <c r="H572" s="15">
        <v>17821.1877569748</v>
      </c>
      <c r="I572" s="15">
        <f t="shared" si="115"/>
        <v>115785553.269696</v>
      </c>
      <c r="J572" s="15">
        <f t="shared" si="116"/>
        <v>24150218.633937</v>
      </c>
      <c r="K572" s="15">
        <f t="shared" si="117"/>
        <v>139935771.903633</v>
      </c>
      <c r="L572" s="15">
        <f t="shared" si="118"/>
        <v>0.827419263099015</v>
      </c>
      <c r="M572" s="15">
        <f t="shared" si="119"/>
        <v>0.172580736900984</v>
      </c>
      <c r="N572" s="15">
        <f t="shared" si="120"/>
        <v>0.6698</v>
      </c>
      <c r="O572" s="15">
        <f t="shared" si="121"/>
        <v>0.3302</v>
      </c>
      <c r="P572" s="15">
        <f t="shared" si="122"/>
        <v>1.23532287712603</v>
      </c>
      <c r="Q572" s="15">
        <f t="shared" si="123"/>
        <v>0.52265516929432</v>
      </c>
      <c r="R572" s="7">
        <f t="shared" si="124"/>
        <v>0.0628843377191935</v>
      </c>
    </row>
    <row r="573" spans="1:18">
      <c r="A573" s="6">
        <v>2018</v>
      </c>
      <c r="B573" s="19" t="s">
        <v>32</v>
      </c>
      <c r="C573" s="6">
        <v>0.5734</v>
      </c>
      <c r="D573" s="6">
        <v>4513</v>
      </c>
      <c r="E573" s="6">
        <f t="shared" si="114"/>
        <v>2587.7542</v>
      </c>
      <c r="F573" s="6">
        <f t="shared" si="125"/>
        <v>1925.2458</v>
      </c>
      <c r="G573" s="15">
        <v>33819.395560935</v>
      </c>
      <c r="H573" s="15">
        <v>14459.8912575785</v>
      </c>
      <c r="I573" s="15">
        <f t="shared" si="115"/>
        <v>87516282.9042709</v>
      </c>
      <c r="J573" s="15">
        <f t="shared" si="116"/>
        <v>27838844.9121097</v>
      </c>
      <c r="K573" s="15">
        <f t="shared" si="117"/>
        <v>115355127.816381</v>
      </c>
      <c r="L573" s="15">
        <f t="shared" si="118"/>
        <v>0.758668336301245</v>
      </c>
      <c r="M573" s="15">
        <f t="shared" si="119"/>
        <v>0.241331663698755</v>
      </c>
      <c r="N573" s="15">
        <f t="shared" si="120"/>
        <v>0.5734</v>
      </c>
      <c r="O573" s="15">
        <f t="shared" si="121"/>
        <v>0.4266</v>
      </c>
      <c r="P573" s="15">
        <f t="shared" si="122"/>
        <v>1.32310487670255</v>
      </c>
      <c r="Q573" s="15">
        <f t="shared" si="123"/>
        <v>0.565709478900036</v>
      </c>
      <c r="R573" s="7">
        <f t="shared" si="124"/>
        <v>0.0749323122209889</v>
      </c>
    </row>
    <row r="574" spans="1:18">
      <c r="A574" s="6">
        <v>2018</v>
      </c>
      <c r="B574" s="19" t="s">
        <v>33</v>
      </c>
      <c r="C574" s="6">
        <v>0.6146</v>
      </c>
      <c r="D574" s="6">
        <v>10077</v>
      </c>
      <c r="E574" s="6">
        <f t="shared" si="114"/>
        <v>6193.3242</v>
      </c>
      <c r="F574" s="6">
        <f t="shared" si="125"/>
        <v>3883.6758</v>
      </c>
      <c r="G574" s="15">
        <v>39549.4320615506</v>
      </c>
      <c r="H574" s="15">
        <v>16296.9969204029</v>
      </c>
      <c r="I574" s="15">
        <f t="shared" si="115"/>
        <v>244942454.683057</v>
      </c>
      <c r="J574" s="15">
        <f t="shared" si="116"/>
        <v>63292252.5524433</v>
      </c>
      <c r="K574" s="15">
        <f t="shared" si="117"/>
        <v>308234707.235501</v>
      </c>
      <c r="L574" s="15">
        <f t="shared" si="118"/>
        <v>0.794662148464397</v>
      </c>
      <c r="M574" s="15">
        <f t="shared" si="119"/>
        <v>0.205337851535603</v>
      </c>
      <c r="N574" s="15">
        <f t="shared" si="120"/>
        <v>0.6146</v>
      </c>
      <c r="O574" s="15">
        <f t="shared" si="121"/>
        <v>0.3854</v>
      </c>
      <c r="P574" s="15">
        <f t="shared" si="122"/>
        <v>1.29297453378522</v>
      </c>
      <c r="Q574" s="15">
        <f t="shared" si="123"/>
        <v>0.53279151929321</v>
      </c>
      <c r="R574" s="7">
        <f t="shared" si="124"/>
        <v>0.0748989262879882</v>
      </c>
    </row>
    <row r="575" spans="1:18">
      <c r="A575" s="6">
        <v>2018</v>
      </c>
      <c r="B575" s="19" t="s">
        <v>34</v>
      </c>
      <c r="C575" s="6">
        <v>0.5224</v>
      </c>
      <c r="D575" s="6">
        <v>9864</v>
      </c>
      <c r="E575" s="6">
        <f t="shared" si="114"/>
        <v>5152.9536</v>
      </c>
      <c r="F575" s="6">
        <f t="shared" si="125"/>
        <v>4711.0464</v>
      </c>
      <c r="G575" s="15">
        <v>31874.1879302897</v>
      </c>
      <c r="H575" s="15">
        <v>13830.7440169214</v>
      </c>
      <c r="I575" s="15">
        <f t="shared" si="115"/>
        <v>164246211.442463</v>
      </c>
      <c r="J575" s="15">
        <f t="shared" si="116"/>
        <v>65157276.8102391</v>
      </c>
      <c r="K575" s="15">
        <f t="shared" si="117"/>
        <v>229403488.252702</v>
      </c>
      <c r="L575" s="15">
        <f t="shared" si="118"/>
        <v>0.715970854207481</v>
      </c>
      <c r="M575" s="15">
        <f t="shared" si="119"/>
        <v>0.284029145792519</v>
      </c>
      <c r="N575" s="15">
        <f t="shared" si="120"/>
        <v>0.5224</v>
      </c>
      <c r="O575" s="15">
        <f t="shared" si="121"/>
        <v>0.4776</v>
      </c>
      <c r="P575" s="15">
        <f t="shared" si="122"/>
        <v>1.37054145139257</v>
      </c>
      <c r="Q575" s="15">
        <f t="shared" si="123"/>
        <v>0.594700891525375</v>
      </c>
      <c r="R575" s="7">
        <f t="shared" si="124"/>
        <v>0.078069213744195</v>
      </c>
    </row>
    <row r="576" spans="1:18">
      <c r="A576" s="6">
        <v>2018</v>
      </c>
      <c r="B576" s="19" t="s">
        <v>35</v>
      </c>
      <c r="C576" s="6">
        <v>0.61</v>
      </c>
      <c r="D576" s="6">
        <v>5917</v>
      </c>
      <c r="E576" s="6">
        <f t="shared" si="114"/>
        <v>3609.37</v>
      </c>
      <c r="F576" s="6">
        <f t="shared" si="125"/>
        <v>2307.63</v>
      </c>
      <c r="G576" s="15">
        <v>34454.6273954692</v>
      </c>
      <c r="H576" s="15">
        <v>14977.8199780271</v>
      </c>
      <c r="I576" s="15">
        <f t="shared" si="115"/>
        <v>124359498.482385</v>
      </c>
      <c r="J576" s="15">
        <f t="shared" si="116"/>
        <v>34563266.7158947</v>
      </c>
      <c r="K576" s="15">
        <f t="shared" si="117"/>
        <v>158922765.198279</v>
      </c>
      <c r="L576" s="15">
        <f t="shared" si="118"/>
        <v>0.782515320113063</v>
      </c>
      <c r="M576" s="15">
        <f t="shared" si="119"/>
        <v>0.217484679886937</v>
      </c>
      <c r="N576" s="15">
        <f t="shared" si="120"/>
        <v>0.61</v>
      </c>
      <c r="O576" s="15">
        <f t="shared" si="121"/>
        <v>0.39</v>
      </c>
      <c r="P576" s="15">
        <f t="shared" si="122"/>
        <v>1.28281200018535</v>
      </c>
      <c r="Q576" s="15">
        <f t="shared" si="123"/>
        <v>0.557653025351121</v>
      </c>
      <c r="R576" s="7">
        <f t="shared" si="124"/>
        <v>0.0678739566173744</v>
      </c>
    </row>
    <row r="577" spans="1:18">
      <c r="A577" s="6">
        <v>2018</v>
      </c>
      <c r="B577" s="19" t="s">
        <v>36</v>
      </c>
      <c r="C577" s="6">
        <v>0.5609</v>
      </c>
      <c r="D577" s="6">
        <v>6635</v>
      </c>
      <c r="E577" s="6">
        <f t="shared" si="114"/>
        <v>3721.5715</v>
      </c>
      <c r="F577" s="6">
        <f t="shared" si="125"/>
        <v>2913.4285</v>
      </c>
      <c r="G577" s="15">
        <v>36698.2538635505</v>
      </c>
      <c r="H577" s="15">
        <v>14092.5105633042</v>
      </c>
      <c r="I577" s="15">
        <f t="shared" si="115"/>
        <v>136575175.678354</v>
      </c>
      <c r="J577" s="15">
        <f t="shared" si="116"/>
        <v>41057521.9116815</v>
      </c>
      <c r="K577" s="15">
        <f t="shared" si="117"/>
        <v>177632697.590036</v>
      </c>
      <c r="L577" s="15">
        <f t="shared" si="118"/>
        <v>0.768862813723409</v>
      </c>
      <c r="M577" s="15">
        <f t="shared" si="119"/>
        <v>0.231137186276591</v>
      </c>
      <c r="N577" s="15">
        <f t="shared" si="120"/>
        <v>0.5609</v>
      </c>
      <c r="O577" s="15">
        <f t="shared" si="121"/>
        <v>0.4391</v>
      </c>
      <c r="P577" s="15">
        <f t="shared" si="122"/>
        <v>1.37076629296382</v>
      </c>
      <c r="Q577" s="15">
        <f t="shared" si="123"/>
        <v>0.526388490723277</v>
      </c>
      <c r="R577" s="7">
        <f t="shared" si="124"/>
        <v>0.0941518292031391</v>
      </c>
    </row>
    <row r="578" spans="1:18">
      <c r="A578" s="6">
        <v>2018</v>
      </c>
      <c r="B578" s="19" t="s">
        <v>37</v>
      </c>
      <c r="C578" s="6">
        <v>0.7181</v>
      </c>
      <c r="D578" s="6">
        <v>12348</v>
      </c>
      <c r="E578" s="6">
        <f t="shared" si="114"/>
        <v>8867.0988</v>
      </c>
      <c r="F578" s="6">
        <f t="shared" si="125"/>
        <v>3480.9012</v>
      </c>
      <c r="G578" s="15">
        <v>44340.9702485709</v>
      </c>
      <c r="H578" s="15">
        <v>17167.7370197666</v>
      </c>
      <c r="I578" s="15">
        <f t="shared" si="115"/>
        <v>393175764.081939</v>
      </c>
      <c r="J578" s="15">
        <f t="shared" si="116"/>
        <v>59759196.39339</v>
      </c>
      <c r="K578" s="15">
        <f t="shared" si="117"/>
        <v>452934960.475329</v>
      </c>
      <c r="L578" s="15">
        <f t="shared" si="118"/>
        <v>0.868062301195129</v>
      </c>
      <c r="M578" s="15">
        <f t="shared" si="119"/>
        <v>0.131937698804871</v>
      </c>
      <c r="N578" s="15">
        <f t="shared" si="120"/>
        <v>0.7181</v>
      </c>
      <c r="O578" s="15">
        <f t="shared" si="121"/>
        <v>0.2819</v>
      </c>
      <c r="P578" s="15">
        <f t="shared" si="122"/>
        <v>1.20883205848089</v>
      </c>
      <c r="Q578" s="15">
        <f t="shared" si="123"/>
        <v>0.46803014829681</v>
      </c>
      <c r="R578" s="7">
        <f t="shared" si="124"/>
        <v>0.0644619759157465</v>
      </c>
    </row>
    <row r="579" spans="1:18">
      <c r="A579" s="6">
        <v>2018</v>
      </c>
      <c r="B579" s="19" t="s">
        <v>38</v>
      </c>
      <c r="C579" s="6">
        <v>0.5182</v>
      </c>
      <c r="D579" s="6">
        <v>4947</v>
      </c>
      <c r="E579" s="6">
        <f t="shared" si="114"/>
        <v>2563.5354</v>
      </c>
      <c r="F579" s="6">
        <f t="shared" si="125"/>
        <v>2383.4646</v>
      </c>
      <c r="G579" s="15">
        <v>32436.0671108377</v>
      </c>
      <c r="H579" s="15">
        <v>12434.7679231309</v>
      </c>
      <c r="I579" s="15">
        <f t="shared" si="115"/>
        <v>83151006.2754082</v>
      </c>
      <c r="J579" s="15">
        <f t="shared" si="116"/>
        <v>29637829.153998</v>
      </c>
      <c r="K579" s="15">
        <f t="shared" si="117"/>
        <v>112788835.429406</v>
      </c>
      <c r="L579" s="15">
        <f t="shared" si="118"/>
        <v>0.73722727926783</v>
      </c>
      <c r="M579" s="15">
        <f t="shared" si="119"/>
        <v>0.26277272073217</v>
      </c>
      <c r="N579" s="15">
        <f t="shared" si="120"/>
        <v>0.5182</v>
      </c>
      <c r="O579" s="15">
        <f t="shared" si="121"/>
        <v>0.4818</v>
      </c>
      <c r="P579" s="15">
        <f t="shared" si="122"/>
        <v>1.42266939264344</v>
      </c>
      <c r="Q579" s="15">
        <f t="shared" si="123"/>
        <v>0.545397925969634</v>
      </c>
      <c r="R579" s="7">
        <f t="shared" si="124"/>
        <v>0.100595157962032</v>
      </c>
    </row>
    <row r="580" spans="1:18">
      <c r="A580" s="6">
        <v>2018</v>
      </c>
      <c r="B580" s="19" t="s">
        <v>39</v>
      </c>
      <c r="C580" s="6">
        <v>0.5913</v>
      </c>
      <c r="D580" s="6">
        <v>982</v>
      </c>
      <c r="E580" s="6">
        <f t="shared" si="114"/>
        <v>580.6566</v>
      </c>
      <c r="F580" s="6">
        <f t="shared" si="125"/>
        <v>401.3434</v>
      </c>
      <c r="G580" s="15">
        <v>33348.6521094129</v>
      </c>
      <c r="H580" s="15">
        <v>13988.8770529691</v>
      </c>
      <c r="I580" s="15">
        <f t="shared" si="115"/>
        <v>19364114.9484345</v>
      </c>
      <c r="J580" s="15">
        <f t="shared" si="116"/>
        <v>5614343.4786206</v>
      </c>
      <c r="K580" s="15">
        <f t="shared" si="117"/>
        <v>24978458.4270551</v>
      </c>
      <c r="L580" s="15">
        <f t="shared" si="118"/>
        <v>0.77523258711036</v>
      </c>
      <c r="M580" s="15">
        <f t="shared" si="119"/>
        <v>0.22476741288964</v>
      </c>
      <c r="N580" s="15">
        <f t="shared" si="120"/>
        <v>0.5913</v>
      </c>
      <c r="O580" s="15">
        <f t="shared" si="121"/>
        <v>0.4087</v>
      </c>
      <c r="P580" s="15">
        <f t="shared" si="122"/>
        <v>1.31106475073628</v>
      </c>
      <c r="Q580" s="15">
        <f t="shared" si="123"/>
        <v>0.549956968166478</v>
      </c>
      <c r="R580" s="7">
        <f t="shared" si="124"/>
        <v>0.075571816660927</v>
      </c>
    </row>
    <row r="581" spans="1:18">
      <c r="A581" s="6">
        <v>2018</v>
      </c>
      <c r="B581" s="19" t="s">
        <v>40</v>
      </c>
      <c r="C581" s="6">
        <v>0.6661</v>
      </c>
      <c r="D581" s="6">
        <v>3163</v>
      </c>
      <c r="E581" s="6">
        <f t="shared" si="114"/>
        <v>2106.8743</v>
      </c>
      <c r="F581" s="6">
        <f t="shared" si="125"/>
        <v>1056.1257</v>
      </c>
      <c r="G581" s="15">
        <v>34889.3005247687</v>
      </c>
      <c r="H581" s="15">
        <v>13781.2248458107</v>
      </c>
      <c r="I581" s="15">
        <f t="shared" si="115"/>
        <v>73507370.6206117</v>
      </c>
      <c r="J581" s="15">
        <f t="shared" si="116"/>
        <v>14554705.7371392</v>
      </c>
      <c r="K581" s="15">
        <f t="shared" si="117"/>
        <v>88062076.3577509</v>
      </c>
      <c r="L581" s="15">
        <f t="shared" si="118"/>
        <v>0.834722205753917</v>
      </c>
      <c r="M581" s="15">
        <f t="shared" si="119"/>
        <v>0.165277794246083</v>
      </c>
      <c r="N581" s="15">
        <f t="shared" si="120"/>
        <v>0.6661</v>
      </c>
      <c r="O581" s="15">
        <f t="shared" si="121"/>
        <v>0.3339</v>
      </c>
      <c r="P581" s="15">
        <f t="shared" si="122"/>
        <v>1.25314848484299</v>
      </c>
      <c r="Q581" s="15">
        <f t="shared" si="123"/>
        <v>0.494991896514175</v>
      </c>
      <c r="R581" s="7">
        <f t="shared" si="124"/>
        <v>0.072137081936221</v>
      </c>
    </row>
    <row r="582" spans="1:18">
      <c r="A582" s="6">
        <v>2018</v>
      </c>
      <c r="B582" s="19" t="s">
        <v>41</v>
      </c>
      <c r="C582" s="6">
        <v>0.535</v>
      </c>
      <c r="D582" s="6">
        <v>8321</v>
      </c>
      <c r="E582" s="6">
        <f t="shared" si="114"/>
        <v>4451.735</v>
      </c>
      <c r="F582" s="6">
        <f t="shared" si="125"/>
        <v>3869.265</v>
      </c>
      <c r="G582" s="15">
        <v>33215.9125678405</v>
      </c>
      <c r="H582" s="15">
        <v>13331.3770063913</v>
      </c>
      <c r="I582" s="15">
        <f t="shared" si="115"/>
        <v>147868440.535195</v>
      </c>
      <c r="J582" s="15">
        <f t="shared" si="116"/>
        <v>51582630.4526346</v>
      </c>
      <c r="K582" s="15">
        <f t="shared" si="117"/>
        <v>199451070.98783</v>
      </c>
      <c r="L582" s="15">
        <f t="shared" si="118"/>
        <v>0.74137701945064</v>
      </c>
      <c r="M582" s="15">
        <f t="shared" si="119"/>
        <v>0.25862298054936</v>
      </c>
      <c r="N582" s="15">
        <f t="shared" si="120"/>
        <v>0.535</v>
      </c>
      <c r="O582" s="15">
        <f t="shared" si="121"/>
        <v>0.465</v>
      </c>
      <c r="P582" s="15">
        <f t="shared" si="122"/>
        <v>1.38575143822549</v>
      </c>
      <c r="Q582" s="15">
        <f t="shared" si="123"/>
        <v>0.556178452794323</v>
      </c>
      <c r="R582" s="7">
        <f t="shared" si="124"/>
        <v>0.0901433975797566</v>
      </c>
    </row>
    <row r="583" spans="1:18">
      <c r="A583" s="6">
        <v>2018</v>
      </c>
      <c r="B583" s="19" t="s">
        <v>42</v>
      </c>
      <c r="C583" s="6">
        <v>0.4954</v>
      </c>
      <c r="D583" s="6">
        <v>3822</v>
      </c>
      <c r="E583" s="6">
        <f t="shared" si="114"/>
        <v>1893.4188</v>
      </c>
      <c r="F583" s="6">
        <f t="shared" si="125"/>
        <v>1928.5812</v>
      </c>
      <c r="G583" s="15">
        <v>31591.9300952405</v>
      </c>
      <c r="H583" s="15">
        <v>9716.1049472091</v>
      </c>
      <c r="I583" s="15">
        <f t="shared" si="115"/>
        <v>59816754.3706141</v>
      </c>
      <c r="J583" s="15">
        <f t="shared" si="116"/>
        <v>18738297.3384145</v>
      </c>
      <c r="K583" s="15">
        <f t="shared" si="117"/>
        <v>78555051.7090286</v>
      </c>
      <c r="L583" s="15">
        <f t="shared" si="118"/>
        <v>0.761462860366741</v>
      </c>
      <c r="M583" s="15">
        <f t="shared" si="119"/>
        <v>0.238537139633259</v>
      </c>
      <c r="N583" s="15">
        <f t="shared" si="120"/>
        <v>0.4954</v>
      </c>
      <c r="O583" s="15">
        <f t="shared" si="121"/>
        <v>0.5046</v>
      </c>
      <c r="P583" s="15">
        <f t="shared" si="122"/>
        <v>1.53706673469265</v>
      </c>
      <c r="Q583" s="15">
        <f t="shared" si="123"/>
        <v>0.472725207358817</v>
      </c>
      <c r="R583" s="7">
        <f t="shared" si="124"/>
        <v>0.148612710107329</v>
      </c>
    </row>
    <row r="584" spans="1:18">
      <c r="A584" s="6">
        <v>2018</v>
      </c>
      <c r="B584" s="19" t="s">
        <v>43</v>
      </c>
      <c r="C584" s="6">
        <v>0.4744</v>
      </c>
      <c r="D584" s="6">
        <v>4703</v>
      </c>
      <c r="E584" s="6">
        <f t="shared" si="114"/>
        <v>2231.1032</v>
      </c>
      <c r="F584" s="6">
        <f t="shared" si="125"/>
        <v>2471.8968</v>
      </c>
      <c r="G584" s="15">
        <v>33487.940685522</v>
      </c>
      <c r="H584" s="15">
        <v>10767.9131653127</v>
      </c>
      <c r="I584" s="15">
        <f t="shared" si="115"/>
        <v>74715051.6248783</v>
      </c>
      <c r="J584" s="15">
        <f t="shared" si="116"/>
        <v>26617170.0960143</v>
      </c>
      <c r="K584" s="15">
        <f t="shared" si="117"/>
        <v>101332221.720893</v>
      </c>
      <c r="L584" s="15">
        <f t="shared" si="118"/>
        <v>0.737327676784507</v>
      </c>
      <c r="M584" s="15">
        <f t="shared" si="119"/>
        <v>0.262672323215493</v>
      </c>
      <c r="N584" s="15">
        <f t="shared" si="120"/>
        <v>0.4744</v>
      </c>
      <c r="O584" s="15">
        <f t="shared" si="121"/>
        <v>0.5256</v>
      </c>
      <c r="P584" s="15">
        <f t="shared" si="122"/>
        <v>1.55423203369415</v>
      </c>
      <c r="Q584" s="15">
        <f t="shared" si="123"/>
        <v>0.499757083743328</v>
      </c>
      <c r="R584" s="7">
        <f t="shared" si="124"/>
        <v>0.14294967916805</v>
      </c>
    </row>
    <row r="585" spans="1:18">
      <c r="A585" s="6">
        <v>2018</v>
      </c>
      <c r="B585" s="19" t="s">
        <v>44</v>
      </c>
      <c r="C585" s="6">
        <v>0.338</v>
      </c>
      <c r="D585" s="6">
        <v>354</v>
      </c>
      <c r="E585" s="6">
        <f t="shared" si="114"/>
        <v>119.652</v>
      </c>
      <c r="F585" s="6">
        <f t="shared" si="125"/>
        <v>234.348</v>
      </c>
      <c r="G585" s="15">
        <v>33797.382797912</v>
      </c>
      <c r="H585" s="15">
        <v>11449.8167560486</v>
      </c>
      <c r="I585" s="15">
        <f t="shared" si="115"/>
        <v>4043924.44653577</v>
      </c>
      <c r="J585" s="15">
        <f t="shared" si="116"/>
        <v>2683241.65714648</v>
      </c>
      <c r="K585" s="15">
        <f t="shared" si="117"/>
        <v>6727166.10368224</v>
      </c>
      <c r="L585" s="15">
        <f t="shared" si="118"/>
        <v>0.601133431850634</v>
      </c>
      <c r="M585" s="15">
        <f t="shared" si="119"/>
        <v>0.398866568149366</v>
      </c>
      <c r="N585" s="15">
        <f t="shared" si="120"/>
        <v>0.338</v>
      </c>
      <c r="O585" s="15">
        <f t="shared" si="121"/>
        <v>0.662</v>
      </c>
      <c r="P585" s="15">
        <f t="shared" si="122"/>
        <v>1.7785012776646</v>
      </c>
      <c r="Q585" s="15">
        <f t="shared" si="123"/>
        <v>0.60251747454587</v>
      </c>
      <c r="R585" s="7">
        <f t="shared" si="124"/>
        <v>0.144034011786494</v>
      </c>
    </row>
    <row r="586" spans="1:18">
      <c r="A586" s="6">
        <v>2018</v>
      </c>
      <c r="B586" s="19" t="s">
        <v>45</v>
      </c>
      <c r="C586" s="6">
        <v>0.5965</v>
      </c>
      <c r="D586" s="6">
        <v>3931</v>
      </c>
      <c r="E586" s="6">
        <f t="shared" si="114"/>
        <v>2344.8415</v>
      </c>
      <c r="F586" s="6">
        <f t="shared" si="125"/>
        <v>1586.1585</v>
      </c>
      <c r="G586" s="15">
        <v>33319.2522405026</v>
      </c>
      <c r="H586" s="15">
        <v>11212.8362063763</v>
      </c>
      <c r="I586" s="15">
        <f t="shared" si="115"/>
        <v>78128365.4024985</v>
      </c>
      <c r="J586" s="15">
        <f t="shared" si="116"/>
        <v>17785335.4578515</v>
      </c>
      <c r="K586" s="15">
        <f t="shared" si="117"/>
        <v>95913700.86035</v>
      </c>
      <c r="L586" s="15">
        <f t="shared" si="118"/>
        <v>0.814569396256048</v>
      </c>
      <c r="M586" s="15">
        <f t="shared" si="119"/>
        <v>0.185430603743952</v>
      </c>
      <c r="N586" s="15">
        <f t="shared" si="120"/>
        <v>0.5965</v>
      </c>
      <c r="O586" s="15">
        <f t="shared" si="121"/>
        <v>0.4035</v>
      </c>
      <c r="P586" s="15">
        <f t="shared" si="122"/>
        <v>1.36558155281819</v>
      </c>
      <c r="Q586" s="15">
        <f t="shared" si="123"/>
        <v>0.459555399613264</v>
      </c>
      <c r="R586" s="7">
        <f t="shared" si="124"/>
        <v>0.109632333425418</v>
      </c>
    </row>
    <row r="587" spans="1:18">
      <c r="A587" s="6">
        <v>2018</v>
      </c>
      <c r="B587" s="19" t="s">
        <v>46</v>
      </c>
      <c r="C587" s="6">
        <v>0.4969</v>
      </c>
      <c r="D587" s="6">
        <v>2515</v>
      </c>
      <c r="E587" s="6">
        <f t="shared" si="114"/>
        <v>1249.7035</v>
      </c>
      <c r="F587" s="6">
        <f t="shared" si="125"/>
        <v>1265.2965</v>
      </c>
      <c r="G587" s="15">
        <v>29957.0028422371</v>
      </c>
      <c r="H587" s="15">
        <v>8804.1300868357</v>
      </c>
      <c r="I587" s="15">
        <f t="shared" si="115"/>
        <v>37437371.3014536</v>
      </c>
      <c r="J587" s="15">
        <f t="shared" si="116"/>
        <v>11139834.9844179</v>
      </c>
      <c r="K587" s="15">
        <f t="shared" si="117"/>
        <v>48577206.2858716</v>
      </c>
      <c r="L587" s="15">
        <f t="shared" si="118"/>
        <v>0.770677734761831</v>
      </c>
      <c r="M587" s="15">
        <f t="shared" si="119"/>
        <v>0.229322265238169</v>
      </c>
      <c r="N587" s="15">
        <f t="shared" si="120"/>
        <v>0.4969</v>
      </c>
      <c r="O587" s="15">
        <f t="shared" si="121"/>
        <v>0.5031</v>
      </c>
      <c r="P587" s="15">
        <f t="shared" si="122"/>
        <v>1.55097149277889</v>
      </c>
      <c r="Q587" s="15">
        <f t="shared" si="123"/>
        <v>0.455818456048836</v>
      </c>
      <c r="R587" s="7">
        <f t="shared" si="124"/>
        <v>0.158066718547121</v>
      </c>
    </row>
    <row r="588" spans="1:18">
      <c r="A588" s="6">
        <v>2018</v>
      </c>
      <c r="B588" s="19" t="s">
        <v>47</v>
      </c>
      <c r="C588" s="6">
        <v>0.5727</v>
      </c>
      <c r="D588" s="6">
        <v>587</v>
      </c>
      <c r="E588" s="6">
        <f t="shared" si="114"/>
        <v>336.1749</v>
      </c>
      <c r="F588" s="6">
        <f t="shared" si="125"/>
        <v>250.8251</v>
      </c>
      <c r="G588" s="15">
        <v>31514.5263193784</v>
      </c>
      <c r="H588" s="15">
        <v>10393.3411635228</v>
      </c>
      <c r="I588" s="15">
        <f t="shared" si="115"/>
        <v>10594392.7339644</v>
      </c>
      <c r="J588" s="15">
        <f t="shared" si="116"/>
        <v>2606910.83667472</v>
      </c>
      <c r="K588" s="15">
        <f t="shared" si="117"/>
        <v>13201303.5706391</v>
      </c>
      <c r="L588" s="15">
        <f t="shared" si="118"/>
        <v>0.802526256386322</v>
      </c>
      <c r="M588" s="15">
        <f t="shared" si="119"/>
        <v>0.197473743613678</v>
      </c>
      <c r="N588" s="15">
        <f t="shared" si="120"/>
        <v>0.5727</v>
      </c>
      <c r="O588" s="15">
        <f t="shared" si="121"/>
        <v>0.4273</v>
      </c>
      <c r="P588" s="15">
        <f t="shared" si="122"/>
        <v>1.40130304939117</v>
      </c>
      <c r="Q588" s="15">
        <f t="shared" si="123"/>
        <v>0.462143092940974</v>
      </c>
      <c r="R588" s="7">
        <f t="shared" si="124"/>
        <v>0.118348234401447</v>
      </c>
    </row>
    <row r="589" spans="1:18">
      <c r="A589" s="6">
        <v>2018</v>
      </c>
      <c r="B589" s="19" t="s">
        <v>48</v>
      </c>
      <c r="C589" s="6">
        <v>0.6215</v>
      </c>
      <c r="D589" s="6">
        <v>710</v>
      </c>
      <c r="E589" s="6">
        <f t="shared" si="114"/>
        <v>441.265</v>
      </c>
      <c r="F589" s="6">
        <f t="shared" si="125"/>
        <v>268.735</v>
      </c>
      <c r="G589" s="15">
        <v>31895.2167188829</v>
      </c>
      <c r="H589" s="15">
        <v>11707.6420549133</v>
      </c>
      <c r="I589" s="15">
        <f t="shared" si="115"/>
        <v>14074242.8054579</v>
      </c>
      <c r="J589" s="15">
        <f t="shared" si="116"/>
        <v>3146253.18762713</v>
      </c>
      <c r="K589" s="15">
        <f t="shared" si="117"/>
        <v>17220495.993085</v>
      </c>
      <c r="L589" s="15">
        <f t="shared" si="118"/>
        <v>0.817296018134987</v>
      </c>
      <c r="M589" s="15">
        <f t="shared" si="119"/>
        <v>0.182703981865013</v>
      </c>
      <c r="N589" s="15">
        <f t="shared" si="120"/>
        <v>0.6215</v>
      </c>
      <c r="O589" s="15">
        <f t="shared" si="121"/>
        <v>0.3785</v>
      </c>
      <c r="P589" s="15">
        <f t="shared" si="122"/>
        <v>1.31503784092516</v>
      </c>
      <c r="Q589" s="15">
        <f t="shared" si="123"/>
        <v>0.482705368203468</v>
      </c>
      <c r="R589" s="7">
        <f t="shared" si="124"/>
        <v>0.0907569061923932</v>
      </c>
    </row>
    <row r="590" spans="1:18">
      <c r="A590" s="6">
        <v>2018</v>
      </c>
      <c r="B590" s="19" t="s">
        <v>49</v>
      </c>
      <c r="C590" s="6">
        <v>0.5401</v>
      </c>
      <c r="D590" s="6">
        <v>2520</v>
      </c>
      <c r="E590" s="6">
        <f t="shared" si="114"/>
        <v>1361.052</v>
      </c>
      <c r="F590" s="6">
        <f t="shared" si="125"/>
        <v>1158.948</v>
      </c>
      <c r="G590" s="15">
        <v>32763.5464744398</v>
      </c>
      <c r="H590" s="15">
        <v>11974.500344438</v>
      </c>
      <c r="I590" s="15">
        <f t="shared" si="115"/>
        <v>44592890.4561292</v>
      </c>
      <c r="J590" s="15">
        <f t="shared" si="116"/>
        <v>13877823.2251857</v>
      </c>
      <c r="K590" s="15">
        <f t="shared" si="117"/>
        <v>58470713.681315</v>
      </c>
      <c r="L590" s="15">
        <f t="shared" si="118"/>
        <v>0.762653431924493</v>
      </c>
      <c r="M590" s="15">
        <f t="shared" si="119"/>
        <v>0.237346568075507</v>
      </c>
      <c r="N590" s="15">
        <f t="shared" si="120"/>
        <v>0.5401</v>
      </c>
      <c r="O590" s="15">
        <f t="shared" si="121"/>
        <v>0.4599</v>
      </c>
      <c r="P590" s="15">
        <f t="shared" si="122"/>
        <v>1.41205967769763</v>
      </c>
      <c r="Q590" s="15">
        <f t="shared" si="123"/>
        <v>0.516082992118955</v>
      </c>
      <c r="R590" s="7">
        <f t="shared" si="124"/>
        <v>0.106151278449754</v>
      </c>
    </row>
    <row r="591" spans="1:18">
      <c r="A591" s="6">
        <v>2019</v>
      </c>
      <c r="B591" s="19" t="s">
        <v>19</v>
      </c>
      <c r="C591" s="6">
        <v>0.8735</v>
      </c>
      <c r="D591" s="6">
        <v>2190</v>
      </c>
      <c r="E591" s="6">
        <f t="shared" si="114"/>
        <v>1912.965</v>
      </c>
      <c r="F591" s="6">
        <f t="shared" si="125"/>
        <v>277.035</v>
      </c>
      <c r="G591" s="15">
        <v>73848.5133682903</v>
      </c>
      <c r="H591" s="15">
        <v>28928.4309428525</v>
      </c>
      <c r="I591" s="15">
        <f t="shared" si="115"/>
        <v>141269621.375571</v>
      </c>
      <c r="J591" s="15">
        <f t="shared" si="116"/>
        <v>8014187.86625314</v>
      </c>
      <c r="K591" s="15">
        <f t="shared" si="117"/>
        <v>149283809.241825</v>
      </c>
      <c r="L591" s="15">
        <f t="shared" si="118"/>
        <v>0.946315759847265</v>
      </c>
      <c r="M591" s="15">
        <f t="shared" si="119"/>
        <v>0.0536842401527346</v>
      </c>
      <c r="N591" s="15">
        <f t="shared" si="120"/>
        <v>0.8735</v>
      </c>
      <c r="O591" s="15">
        <f t="shared" si="121"/>
        <v>0.1265</v>
      </c>
      <c r="P591" s="15">
        <f t="shared" si="122"/>
        <v>1.0833609156809</v>
      </c>
      <c r="Q591" s="15">
        <f t="shared" si="123"/>
        <v>0.424381345080906</v>
      </c>
      <c r="R591" s="7">
        <f t="shared" si="124"/>
        <v>0.029755781416934</v>
      </c>
    </row>
    <row r="592" spans="1:18">
      <c r="A592" s="6">
        <v>2019</v>
      </c>
      <c r="B592" s="19" t="s">
        <v>20</v>
      </c>
      <c r="C592" s="6">
        <v>0.8431</v>
      </c>
      <c r="D592" s="6">
        <v>1385</v>
      </c>
      <c r="E592" s="6">
        <f t="shared" si="114"/>
        <v>1167.6935</v>
      </c>
      <c r="F592" s="6">
        <f t="shared" si="125"/>
        <v>217.3065</v>
      </c>
      <c r="G592" s="15">
        <v>46118.8889246731</v>
      </c>
      <c r="H592" s="15">
        <v>24804.1099095328</v>
      </c>
      <c r="I592" s="15">
        <f t="shared" si="115"/>
        <v>53852726.8245628</v>
      </c>
      <c r="J592" s="15">
        <f t="shared" si="116"/>
        <v>5390094.31005589</v>
      </c>
      <c r="K592" s="15">
        <f t="shared" si="117"/>
        <v>59242821.1346187</v>
      </c>
      <c r="L592" s="15">
        <f t="shared" si="118"/>
        <v>0.909016920416266</v>
      </c>
      <c r="M592" s="15">
        <f t="shared" si="119"/>
        <v>0.0909830795837334</v>
      </c>
      <c r="N592" s="15">
        <f t="shared" si="120"/>
        <v>0.8431</v>
      </c>
      <c r="O592" s="15">
        <f t="shared" si="121"/>
        <v>0.1569</v>
      </c>
      <c r="P592" s="15">
        <f t="shared" si="122"/>
        <v>1.0781839881583</v>
      </c>
      <c r="Q592" s="15">
        <f t="shared" si="123"/>
        <v>0.579879410986191</v>
      </c>
      <c r="R592" s="7">
        <f t="shared" si="124"/>
        <v>0.0188492225894732</v>
      </c>
    </row>
    <row r="593" spans="1:18">
      <c r="A593" s="6">
        <v>2019</v>
      </c>
      <c r="B593" s="19" t="s">
        <v>21</v>
      </c>
      <c r="C593" s="6">
        <v>0.5877</v>
      </c>
      <c r="D593" s="6">
        <v>7447</v>
      </c>
      <c r="E593" s="6">
        <f t="shared" si="114"/>
        <v>4376.6019</v>
      </c>
      <c r="F593" s="6">
        <f t="shared" si="125"/>
        <v>3070.3981</v>
      </c>
      <c r="G593" s="15">
        <v>35737.6834254187</v>
      </c>
      <c r="H593" s="15">
        <v>15373.0795244486</v>
      </c>
      <c r="I593" s="15">
        <f t="shared" si="115"/>
        <v>156409613.181286</v>
      </c>
      <c r="J593" s="15">
        <f t="shared" si="116"/>
        <v>47201474.1630159</v>
      </c>
      <c r="K593" s="15">
        <f t="shared" si="117"/>
        <v>203611087.344302</v>
      </c>
      <c r="L593" s="15">
        <f t="shared" si="118"/>
        <v>0.768178271730364</v>
      </c>
      <c r="M593" s="15">
        <f t="shared" si="119"/>
        <v>0.231821728269636</v>
      </c>
      <c r="N593" s="15">
        <f t="shared" si="120"/>
        <v>0.5877</v>
      </c>
      <c r="O593" s="15">
        <f t="shared" si="121"/>
        <v>0.4123</v>
      </c>
      <c r="P593" s="15">
        <f t="shared" si="122"/>
        <v>1.3070925161313</v>
      </c>
      <c r="Q593" s="15">
        <f t="shared" si="123"/>
        <v>0.562264681711463</v>
      </c>
      <c r="R593" s="7">
        <f t="shared" si="124"/>
        <v>0.0722432370514883</v>
      </c>
    </row>
    <row r="594" spans="1:18">
      <c r="A594" s="6">
        <v>2019</v>
      </c>
      <c r="B594" s="19" t="s">
        <v>22</v>
      </c>
      <c r="C594" s="6">
        <v>0.6129</v>
      </c>
      <c r="D594" s="6">
        <v>3497</v>
      </c>
      <c r="E594" s="6">
        <f t="shared" si="114"/>
        <v>2143.3113</v>
      </c>
      <c r="F594" s="6">
        <f t="shared" si="125"/>
        <v>1353.6887</v>
      </c>
      <c r="G594" s="15">
        <v>33262.3655796351</v>
      </c>
      <c r="H594" s="15">
        <v>12902.3632424472</v>
      </c>
      <c r="I594" s="15">
        <f t="shared" si="115"/>
        <v>71291604.011563</v>
      </c>
      <c r="J594" s="15">
        <f t="shared" si="116"/>
        <v>17465783.3245961</v>
      </c>
      <c r="K594" s="15">
        <f t="shared" si="117"/>
        <v>88757387.3361591</v>
      </c>
      <c r="L594" s="15">
        <f t="shared" si="118"/>
        <v>0.803218821004202</v>
      </c>
      <c r="M594" s="15">
        <f t="shared" si="119"/>
        <v>0.196781178995798</v>
      </c>
      <c r="N594" s="15">
        <f t="shared" si="120"/>
        <v>0.6129</v>
      </c>
      <c r="O594" s="15">
        <f t="shared" si="121"/>
        <v>0.3871</v>
      </c>
      <c r="P594" s="15">
        <f t="shared" si="122"/>
        <v>1.31052181596378</v>
      </c>
      <c r="Q594" s="15">
        <f t="shared" si="123"/>
        <v>0.508347142846289</v>
      </c>
      <c r="R594" s="7">
        <f t="shared" si="124"/>
        <v>0.0840704453375696</v>
      </c>
    </row>
    <row r="595" spans="1:18">
      <c r="A595" s="6">
        <v>2019</v>
      </c>
      <c r="B595" s="19" t="s">
        <v>23</v>
      </c>
      <c r="C595" s="6">
        <v>0.6646</v>
      </c>
      <c r="D595" s="6">
        <v>2415</v>
      </c>
      <c r="E595" s="6">
        <f t="shared" si="114"/>
        <v>1605.009</v>
      </c>
      <c r="F595" s="6">
        <f t="shared" si="125"/>
        <v>809.991</v>
      </c>
      <c r="G595" s="15">
        <v>40782.4590074438</v>
      </c>
      <c r="H595" s="15">
        <v>15282.8160690718</v>
      </c>
      <c r="I595" s="15">
        <f t="shared" si="115"/>
        <v>65456213.7490784</v>
      </c>
      <c r="J595" s="15">
        <f t="shared" si="116"/>
        <v>12378943.4706035</v>
      </c>
      <c r="K595" s="15">
        <f t="shared" si="117"/>
        <v>77835157.2196819</v>
      </c>
      <c r="L595" s="15">
        <f t="shared" si="118"/>
        <v>0.840959485240517</v>
      </c>
      <c r="M595" s="15">
        <f t="shared" si="119"/>
        <v>0.159040514759483</v>
      </c>
      <c r="N595" s="15">
        <f t="shared" si="120"/>
        <v>0.6646</v>
      </c>
      <c r="O595" s="15">
        <f t="shared" si="121"/>
        <v>0.3354</v>
      </c>
      <c r="P595" s="15">
        <f t="shared" si="122"/>
        <v>1.26536184959452</v>
      </c>
      <c r="Q595" s="15">
        <f t="shared" si="123"/>
        <v>0.474181618245329</v>
      </c>
      <c r="R595" s="7">
        <f t="shared" si="124"/>
        <v>0.0792562055032398</v>
      </c>
    </row>
    <row r="596" spans="1:18">
      <c r="A596" s="6">
        <v>2019</v>
      </c>
      <c r="B596" s="19" t="s">
        <v>24</v>
      </c>
      <c r="C596" s="6">
        <v>0.7121</v>
      </c>
      <c r="D596" s="6">
        <v>4277</v>
      </c>
      <c r="E596" s="6">
        <f t="shared" si="114"/>
        <v>3045.6517</v>
      </c>
      <c r="F596" s="6">
        <f t="shared" si="125"/>
        <v>1231.3483</v>
      </c>
      <c r="G596" s="15">
        <v>39777.2041250656</v>
      </c>
      <c r="H596" s="15">
        <v>16108.2943608441</v>
      </c>
      <c r="I596" s="15">
        <f t="shared" si="115"/>
        <v>121147509.364753</v>
      </c>
      <c r="J596" s="15">
        <f t="shared" si="116"/>
        <v>19834920.877125</v>
      </c>
      <c r="K596" s="15">
        <f t="shared" si="117"/>
        <v>140982430.241878</v>
      </c>
      <c r="L596" s="15">
        <f t="shared" si="118"/>
        <v>0.859309271069487</v>
      </c>
      <c r="M596" s="15">
        <f t="shared" si="119"/>
        <v>0.140690728930513</v>
      </c>
      <c r="N596" s="15">
        <f t="shared" si="120"/>
        <v>0.7121</v>
      </c>
      <c r="O596" s="15">
        <f t="shared" si="121"/>
        <v>0.2879</v>
      </c>
      <c r="P596" s="15">
        <f t="shared" si="122"/>
        <v>1.20672555971</v>
      </c>
      <c r="Q596" s="15">
        <f t="shared" si="123"/>
        <v>0.48867915571557</v>
      </c>
      <c r="R596" s="7">
        <f t="shared" si="124"/>
        <v>0.0607317974017201</v>
      </c>
    </row>
    <row r="597" spans="1:18">
      <c r="A597" s="6">
        <v>2019</v>
      </c>
      <c r="B597" s="19" t="s">
        <v>25</v>
      </c>
      <c r="C597" s="6">
        <v>0.6163</v>
      </c>
      <c r="D597" s="6">
        <v>2448</v>
      </c>
      <c r="E597" s="6">
        <f t="shared" si="114"/>
        <v>1508.7024</v>
      </c>
      <c r="F597" s="6">
        <f t="shared" si="125"/>
        <v>939.2976</v>
      </c>
      <c r="G597" s="15">
        <v>32299.1794527165</v>
      </c>
      <c r="H597" s="15">
        <v>14936.045229145</v>
      </c>
      <c r="I597" s="15">
        <f t="shared" si="115"/>
        <v>48729849.5583441</v>
      </c>
      <c r="J597" s="15">
        <f t="shared" si="116"/>
        <v>14029391.4372273</v>
      </c>
      <c r="K597" s="15">
        <f t="shared" si="117"/>
        <v>62759240.9955714</v>
      </c>
      <c r="L597" s="15">
        <f t="shared" si="118"/>
        <v>0.776456961322758</v>
      </c>
      <c r="M597" s="15">
        <f t="shared" si="119"/>
        <v>0.223543038677242</v>
      </c>
      <c r="N597" s="15">
        <f t="shared" si="120"/>
        <v>0.6163</v>
      </c>
      <c r="O597" s="15">
        <f t="shared" si="121"/>
        <v>0.3837</v>
      </c>
      <c r="P597" s="15">
        <f t="shared" si="122"/>
        <v>1.25986850774421</v>
      </c>
      <c r="Q597" s="15">
        <f t="shared" si="123"/>
        <v>0.582598484955021</v>
      </c>
      <c r="R597" s="7">
        <f t="shared" si="124"/>
        <v>0.058596570877434</v>
      </c>
    </row>
    <row r="598" spans="1:18">
      <c r="A598" s="6">
        <v>2019</v>
      </c>
      <c r="B598" s="19" t="s">
        <v>26</v>
      </c>
      <c r="C598" s="6">
        <v>0.6462</v>
      </c>
      <c r="D598" s="6">
        <v>3255</v>
      </c>
      <c r="E598" s="6">
        <f t="shared" si="114"/>
        <v>2103.381</v>
      </c>
      <c r="F598" s="6">
        <f t="shared" si="125"/>
        <v>1151.619</v>
      </c>
      <c r="G598" s="15">
        <v>30944.6176078514</v>
      </c>
      <c r="H598" s="15">
        <v>14982.1449956875</v>
      </c>
      <c r="I598" s="15">
        <f t="shared" si="115"/>
        <v>65088320.7286201</v>
      </c>
      <c r="J598" s="15">
        <f t="shared" si="116"/>
        <v>17253722.8377886</v>
      </c>
      <c r="K598" s="15">
        <f t="shared" si="117"/>
        <v>82342043.5664087</v>
      </c>
      <c r="L598" s="15">
        <f t="shared" si="118"/>
        <v>0.790462780731528</v>
      </c>
      <c r="M598" s="15">
        <f t="shared" si="119"/>
        <v>0.209537219268472</v>
      </c>
      <c r="N598" s="15">
        <f t="shared" si="120"/>
        <v>0.6462</v>
      </c>
      <c r="O598" s="15">
        <f t="shared" si="121"/>
        <v>0.3538</v>
      </c>
      <c r="P598" s="15">
        <f t="shared" si="122"/>
        <v>1.22324788104539</v>
      </c>
      <c r="Q598" s="15">
        <f t="shared" si="123"/>
        <v>0.592247651974199</v>
      </c>
      <c r="R598" s="7">
        <f t="shared" si="124"/>
        <v>0.0495238091980127</v>
      </c>
    </row>
    <row r="599" spans="1:18">
      <c r="A599" s="6">
        <v>2019</v>
      </c>
      <c r="B599" s="19" t="s">
        <v>27</v>
      </c>
      <c r="C599" s="6">
        <v>0.8922</v>
      </c>
      <c r="D599" s="6">
        <v>2481</v>
      </c>
      <c r="E599" s="6">
        <f t="shared" si="114"/>
        <v>2213.5482</v>
      </c>
      <c r="F599" s="6">
        <f t="shared" si="125"/>
        <v>267.4518</v>
      </c>
      <c r="G599" s="15">
        <v>73615.3227533001</v>
      </c>
      <c r="H599" s="15">
        <v>33195.2022371354</v>
      </c>
      <c r="I599" s="15">
        <f t="shared" si="115"/>
        <v>162951065.172987</v>
      </c>
      <c r="J599" s="15">
        <f t="shared" si="116"/>
        <v>8878116.58968589</v>
      </c>
      <c r="K599" s="15">
        <f t="shared" si="117"/>
        <v>171829181.762672</v>
      </c>
      <c r="L599" s="15">
        <f t="shared" si="118"/>
        <v>0.948331729810899</v>
      </c>
      <c r="M599" s="15">
        <f t="shared" si="119"/>
        <v>0.0516682701891009</v>
      </c>
      <c r="N599" s="15">
        <f t="shared" si="120"/>
        <v>0.8922</v>
      </c>
      <c r="O599" s="15">
        <f t="shared" si="121"/>
        <v>0.1078</v>
      </c>
      <c r="P599" s="15">
        <f t="shared" si="122"/>
        <v>1.0629138419759</v>
      </c>
      <c r="Q599" s="15">
        <f t="shared" si="123"/>
        <v>0.479297497115964</v>
      </c>
      <c r="R599" s="7">
        <f t="shared" si="124"/>
        <v>0.0198629621698086</v>
      </c>
    </row>
    <row r="600" spans="1:18">
      <c r="A600" s="6">
        <v>2019</v>
      </c>
      <c r="B600" s="19" t="s">
        <v>28</v>
      </c>
      <c r="C600" s="6">
        <v>0.7247</v>
      </c>
      <c r="D600" s="6">
        <v>8469</v>
      </c>
      <c r="E600" s="6">
        <f t="shared" ref="E600:E663" si="126">C600*D600</f>
        <v>6137.4843</v>
      </c>
      <c r="F600" s="6">
        <f t="shared" si="125"/>
        <v>2331.5157</v>
      </c>
      <c r="G600" s="15">
        <v>51056.1076413706</v>
      </c>
      <c r="H600" s="15">
        <v>22675.416778551</v>
      </c>
      <c r="I600" s="15">
        <f t="shared" si="115"/>
        <v>313356059.068022</v>
      </c>
      <c r="J600" s="15">
        <f t="shared" si="116"/>
        <v>52868090.2232351</v>
      </c>
      <c r="K600" s="15">
        <f t="shared" si="117"/>
        <v>366224149.291257</v>
      </c>
      <c r="L600" s="15">
        <f t="shared" si="118"/>
        <v>0.855640076369761</v>
      </c>
      <c r="M600" s="15">
        <f t="shared" si="119"/>
        <v>0.144359923630239</v>
      </c>
      <c r="N600" s="15">
        <f t="shared" si="120"/>
        <v>0.7247</v>
      </c>
      <c r="O600" s="15">
        <f t="shared" si="121"/>
        <v>0.2753</v>
      </c>
      <c r="P600" s="15">
        <f t="shared" si="122"/>
        <v>1.18068176675833</v>
      </c>
      <c r="Q600" s="15">
        <f t="shared" si="123"/>
        <v>0.524373133418957</v>
      </c>
      <c r="R600" s="7">
        <f t="shared" si="124"/>
        <v>0.0489232028777418</v>
      </c>
    </row>
    <row r="601" spans="1:18">
      <c r="A601" s="6">
        <v>2019</v>
      </c>
      <c r="B601" s="19" t="s">
        <v>29</v>
      </c>
      <c r="C601" s="6">
        <v>0.7158</v>
      </c>
      <c r="D601" s="6">
        <v>6375</v>
      </c>
      <c r="E601" s="6">
        <f t="shared" si="126"/>
        <v>4563.225</v>
      </c>
      <c r="F601" s="6">
        <f t="shared" si="125"/>
        <v>1811.775</v>
      </c>
      <c r="G601" s="15">
        <v>60182.288324943</v>
      </c>
      <c r="H601" s="15">
        <v>29875.8245777202</v>
      </c>
      <c r="I601" s="15">
        <f t="shared" si="115"/>
        <v>274625322.641588</v>
      </c>
      <c r="J601" s="15">
        <f t="shared" si="116"/>
        <v>54128272.074299</v>
      </c>
      <c r="K601" s="15">
        <f t="shared" si="117"/>
        <v>328753594.715887</v>
      </c>
      <c r="L601" s="15">
        <f t="shared" si="118"/>
        <v>0.83535306398375</v>
      </c>
      <c r="M601" s="15">
        <f t="shared" si="119"/>
        <v>0.164646936016251</v>
      </c>
      <c r="N601" s="15">
        <f t="shared" si="120"/>
        <v>0.7158</v>
      </c>
      <c r="O601" s="15">
        <f t="shared" si="121"/>
        <v>0.2842</v>
      </c>
      <c r="P601" s="15">
        <f t="shared" si="122"/>
        <v>1.16702020673896</v>
      </c>
      <c r="Q601" s="15">
        <f t="shared" si="123"/>
        <v>0.579334750233112</v>
      </c>
      <c r="R601" s="7">
        <f t="shared" si="124"/>
        <v>0.0391467291152926</v>
      </c>
    </row>
    <row r="602" spans="1:18">
      <c r="A602" s="6">
        <v>2019</v>
      </c>
      <c r="B602" s="19" t="s">
        <v>30</v>
      </c>
      <c r="C602" s="6">
        <v>0.5702</v>
      </c>
      <c r="D602" s="6">
        <v>6092</v>
      </c>
      <c r="E602" s="6">
        <f t="shared" si="126"/>
        <v>3473.6584</v>
      </c>
      <c r="F602" s="6">
        <f t="shared" si="125"/>
        <v>2618.3416</v>
      </c>
      <c r="G602" s="15">
        <v>37540.0357517638</v>
      </c>
      <c r="H602" s="15">
        <v>15415.9585665164</v>
      </c>
      <c r="I602" s="15">
        <f t="shared" si="115"/>
        <v>130401260.525415</v>
      </c>
      <c r="J602" s="15">
        <f t="shared" si="116"/>
        <v>40364245.6185862</v>
      </c>
      <c r="K602" s="15">
        <f t="shared" si="117"/>
        <v>170765506.144001</v>
      </c>
      <c r="L602" s="15">
        <f t="shared" si="118"/>
        <v>0.763627640440755</v>
      </c>
      <c r="M602" s="15">
        <f t="shared" si="119"/>
        <v>0.236372359559245</v>
      </c>
      <c r="N602" s="15">
        <f t="shared" si="120"/>
        <v>0.5702</v>
      </c>
      <c r="O602" s="15">
        <f t="shared" si="121"/>
        <v>0.4298</v>
      </c>
      <c r="P602" s="15">
        <f t="shared" si="122"/>
        <v>1.33922771034857</v>
      </c>
      <c r="Q602" s="15">
        <f t="shared" si="123"/>
        <v>0.549958956629235</v>
      </c>
      <c r="R602" s="7">
        <f t="shared" si="124"/>
        <v>0.0817205918187481</v>
      </c>
    </row>
    <row r="603" spans="1:18">
      <c r="A603" s="6">
        <v>2019</v>
      </c>
      <c r="B603" s="19" t="s">
        <v>31</v>
      </c>
      <c r="C603" s="6">
        <v>0.6787</v>
      </c>
      <c r="D603" s="6">
        <v>4137</v>
      </c>
      <c r="E603" s="6">
        <f t="shared" si="126"/>
        <v>2807.7819</v>
      </c>
      <c r="F603" s="6">
        <f t="shared" si="125"/>
        <v>1329.2181</v>
      </c>
      <c r="G603" s="15">
        <v>45620.4556245358</v>
      </c>
      <c r="H603" s="15">
        <v>19568.3509433642</v>
      </c>
      <c r="I603" s="15">
        <f t="shared" si="115"/>
        <v>128092289.572325</v>
      </c>
      <c r="J603" s="15">
        <f t="shared" si="116"/>
        <v>26010606.2610718</v>
      </c>
      <c r="K603" s="15">
        <f t="shared" si="117"/>
        <v>154102895.833397</v>
      </c>
      <c r="L603" s="15">
        <f t="shared" si="118"/>
        <v>0.831212735358378</v>
      </c>
      <c r="M603" s="15">
        <f t="shared" si="119"/>
        <v>0.168787264641622</v>
      </c>
      <c r="N603" s="15">
        <f t="shared" si="120"/>
        <v>0.6787</v>
      </c>
      <c r="O603" s="15">
        <f t="shared" si="121"/>
        <v>0.3213</v>
      </c>
      <c r="P603" s="15">
        <f t="shared" si="122"/>
        <v>1.22471303279561</v>
      </c>
      <c r="Q603" s="15">
        <f t="shared" si="123"/>
        <v>0.525326064866547</v>
      </c>
      <c r="R603" s="7">
        <f t="shared" si="124"/>
        <v>0.0598378111463624</v>
      </c>
    </row>
    <row r="604" spans="1:18">
      <c r="A604" s="6">
        <v>2019</v>
      </c>
      <c r="B604" s="19" t="s">
        <v>32</v>
      </c>
      <c r="C604" s="6">
        <v>0.5907</v>
      </c>
      <c r="D604" s="6">
        <v>4516</v>
      </c>
      <c r="E604" s="6">
        <f t="shared" si="126"/>
        <v>2667.6012</v>
      </c>
      <c r="F604" s="6">
        <f t="shared" si="125"/>
        <v>1848.3988</v>
      </c>
      <c r="G604" s="15">
        <v>36545.8981323722</v>
      </c>
      <c r="H604" s="15">
        <v>15796.2912367415</v>
      </c>
      <c r="I604" s="15">
        <f t="shared" si="115"/>
        <v>97489881.7129938</v>
      </c>
      <c r="J604" s="15">
        <f t="shared" si="116"/>
        <v>29197845.7664435</v>
      </c>
      <c r="K604" s="15">
        <f t="shared" si="117"/>
        <v>126687727.479437</v>
      </c>
      <c r="L604" s="15">
        <f t="shared" si="118"/>
        <v>0.769529011630723</v>
      </c>
      <c r="M604" s="15">
        <f t="shared" si="119"/>
        <v>0.230470988369277</v>
      </c>
      <c r="N604" s="15">
        <f t="shared" si="120"/>
        <v>0.5907</v>
      </c>
      <c r="O604" s="15">
        <f t="shared" si="121"/>
        <v>0.4093</v>
      </c>
      <c r="P604" s="15">
        <f t="shared" si="122"/>
        <v>1.30274083567077</v>
      </c>
      <c r="Q604" s="15">
        <f t="shared" si="123"/>
        <v>0.563085727752936</v>
      </c>
      <c r="R604" s="7">
        <f t="shared" si="124"/>
        <v>0.0711527502618311</v>
      </c>
    </row>
    <row r="605" spans="1:18">
      <c r="A605" s="6">
        <v>2019</v>
      </c>
      <c r="B605" s="19" t="s">
        <v>33</v>
      </c>
      <c r="C605" s="6">
        <v>0.6186</v>
      </c>
      <c r="D605" s="6">
        <v>10106</v>
      </c>
      <c r="E605" s="6">
        <f t="shared" si="126"/>
        <v>6251.5716</v>
      </c>
      <c r="F605" s="6">
        <f t="shared" si="125"/>
        <v>3854.4284</v>
      </c>
      <c r="G605" s="15">
        <v>42329.2335069861</v>
      </c>
      <c r="H605" s="15">
        <v>17775.4596595535</v>
      </c>
      <c r="I605" s="15">
        <f t="shared" si="115"/>
        <v>264624234.042043</v>
      </c>
      <c r="J605" s="15">
        <f t="shared" si="116"/>
        <v>68514236.5348373</v>
      </c>
      <c r="K605" s="15">
        <f t="shared" si="117"/>
        <v>333138470.57688</v>
      </c>
      <c r="L605" s="15">
        <f t="shared" si="118"/>
        <v>0.79433706225464</v>
      </c>
      <c r="M605" s="15">
        <f t="shared" si="119"/>
        <v>0.20566293774536</v>
      </c>
      <c r="N605" s="15">
        <f t="shared" si="120"/>
        <v>0.6186</v>
      </c>
      <c r="O605" s="15">
        <f t="shared" si="121"/>
        <v>0.3814</v>
      </c>
      <c r="P605" s="15">
        <f t="shared" si="122"/>
        <v>1.28408836445949</v>
      </c>
      <c r="Q605" s="15">
        <f t="shared" si="123"/>
        <v>0.53923161443461</v>
      </c>
      <c r="R605" s="7">
        <f t="shared" si="124"/>
        <v>0.0716037007266305</v>
      </c>
    </row>
    <row r="606" spans="1:18">
      <c r="A606" s="6">
        <v>2019</v>
      </c>
      <c r="B606" s="19" t="s">
        <v>34</v>
      </c>
      <c r="C606" s="6">
        <v>0.5401</v>
      </c>
      <c r="D606" s="6">
        <v>9901</v>
      </c>
      <c r="E606" s="6">
        <f t="shared" si="126"/>
        <v>5347.5301</v>
      </c>
      <c r="F606" s="6">
        <f t="shared" si="125"/>
        <v>4553.4699</v>
      </c>
      <c r="G606" s="15">
        <v>34200.9708840986</v>
      </c>
      <c r="H606" s="15">
        <v>15163.7470806073</v>
      </c>
      <c r="I606" s="15">
        <f t="shared" si="115"/>
        <v>182890721.251941</v>
      </c>
      <c r="J606" s="15">
        <f t="shared" si="116"/>
        <v>69047665.9027582</v>
      </c>
      <c r="K606" s="15">
        <f t="shared" si="117"/>
        <v>251938387.154699</v>
      </c>
      <c r="L606" s="15">
        <f t="shared" si="118"/>
        <v>0.725934317979259</v>
      </c>
      <c r="M606" s="15">
        <f t="shared" si="119"/>
        <v>0.274065682020741</v>
      </c>
      <c r="N606" s="15">
        <f t="shared" si="120"/>
        <v>0.5401</v>
      </c>
      <c r="O606" s="15">
        <f t="shared" si="121"/>
        <v>0.4599</v>
      </c>
      <c r="P606" s="15">
        <f t="shared" si="122"/>
        <v>1.34407390849705</v>
      </c>
      <c r="Q606" s="15">
        <f t="shared" si="123"/>
        <v>0.595924509721116</v>
      </c>
      <c r="R606" s="7">
        <f t="shared" si="124"/>
        <v>0.0727948650856505</v>
      </c>
    </row>
    <row r="607" spans="1:18">
      <c r="A607" s="6">
        <v>2019</v>
      </c>
      <c r="B607" s="19" t="s">
        <v>35</v>
      </c>
      <c r="C607" s="6">
        <v>0.6183</v>
      </c>
      <c r="D607" s="6">
        <v>5927</v>
      </c>
      <c r="E607" s="6">
        <f t="shared" si="126"/>
        <v>3664.6641</v>
      </c>
      <c r="F607" s="6">
        <f t="shared" si="125"/>
        <v>2262.3359</v>
      </c>
      <c r="G607" s="15">
        <v>37601.3595755451</v>
      </c>
      <c r="H607" s="15">
        <v>16390.8609663347</v>
      </c>
      <c r="I607" s="15">
        <f t="shared" si="115"/>
        <v>137796352.547691</v>
      </c>
      <c r="J607" s="15">
        <f t="shared" si="116"/>
        <v>37081633.1960477</v>
      </c>
      <c r="K607" s="15">
        <f t="shared" si="117"/>
        <v>174877985.743739</v>
      </c>
      <c r="L607" s="15">
        <f t="shared" si="118"/>
        <v>0.787957111706524</v>
      </c>
      <c r="M607" s="15">
        <f t="shared" si="119"/>
        <v>0.212042888293476</v>
      </c>
      <c r="N607" s="15">
        <f t="shared" si="120"/>
        <v>0.6183</v>
      </c>
      <c r="O607" s="15">
        <f t="shared" si="121"/>
        <v>0.3817</v>
      </c>
      <c r="P607" s="15">
        <f t="shared" si="122"/>
        <v>1.27439287030006</v>
      </c>
      <c r="Q607" s="15">
        <f t="shared" si="123"/>
        <v>0.555522369120974</v>
      </c>
      <c r="R607" s="7">
        <f t="shared" si="124"/>
        <v>0.0664072212849585</v>
      </c>
    </row>
    <row r="608" spans="1:18">
      <c r="A608" s="6">
        <v>2019</v>
      </c>
      <c r="B608" s="19" t="s">
        <v>36</v>
      </c>
      <c r="C608" s="6">
        <v>0.5745</v>
      </c>
      <c r="D608" s="6">
        <v>6640</v>
      </c>
      <c r="E608" s="6">
        <f t="shared" si="126"/>
        <v>3814.68</v>
      </c>
      <c r="F608" s="6">
        <f t="shared" si="125"/>
        <v>2825.32</v>
      </c>
      <c r="G608" s="15">
        <v>39841.9252880827</v>
      </c>
      <c r="H608" s="15">
        <v>15394.7901484327</v>
      </c>
      <c r="I608" s="15">
        <f t="shared" ref="I608:I671" si="127">E608*G608</f>
        <v>151984195.557943</v>
      </c>
      <c r="J608" s="15">
        <f t="shared" ref="J608:J671" si="128">F608*H608</f>
        <v>43495208.5021699</v>
      </c>
      <c r="K608" s="15">
        <f t="shared" ref="K608:K671" si="129">I608+J608</f>
        <v>195479404.060113</v>
      </c>
      <c r="L608" s="15">
        <f t="shared" ref="L608:L671" si="130">I608/K608</f>
        <v>0.777494674125391</v>
      </c>
      <c r="M608" s="15">
        <f t="shared" ref="M608:M671" si="131">J608/K608</f>
        <v>0.222505325874609</v>
      </c>
      <c r="N608" s="15">
        <f t="shared" ref="N608:N671" si="132">C608</f>
        <v>0.5745</v>
      </c>
      <c r="O608" s="15">
        <f t="shared" ref="O608:O671" si="133">F608/D608</f>
        <v>0.4255</v>
      </c>
      <c r="P608" s="15">
        <f t="shared" ref="P608:P671" si="134">(L608/N608)</f>
        <v>1.35334146932183</v>
      </c>
      <c r="Q608" s="15">
        <f t="shared" ref="Q608:Q671" si="135">M608/O608</f>
        <v>0.52292673531048</v>
      </c>
      <c r="R608" s="7">
        <f t="shared" ref="R608:R671" si="136">L608*LN(P608)+M608*LN(Q608)</f>
        <v>0.0909984723777516</v>
      </c>
    </row>
    <row r="609" spans="1:18">
      <c r="A609" s="6">
        <v>2019</v>
      </c>
      <c r="B609" s="19" t="s">
        <v>37</v>
      </c>
      <c r="C609" s="6">
        <v>0.7265</v>
      </c>
      <c r="D609" s="6">
        <v>12489</v>
      </c>
      <c r="E609" s="6">
        <f t="shared" si="126"/>
        <v>9073.2585</v>
      </c>
      <c r="F609" s="6">
        <f t="shared" si="125"/>
        <v>3415.7415</v>
      </c>
      <c r="G609" s="15">
        <v>48117.553211229</v>
      </c>
      <c r="H609" s="15">
        <v>18818.4228123893</v>
      </c>
      <c r="I609" s="15">
        <f t="shared" si="127"/>
        <v>436582998.672986</v>
      </c>
      <c r="J609" s="15">
        <f t="shared" si="128"/>
        <v>64278867.7648249</v>
      </c>
      <c r="K609" s="15">
        <f t="shared" si="129"/>
        <v>500861866.437811</v>
      </c>
      <c r="L609" s="15">
        <f t="shared" si="130"/>
        <v>0.871663482344975</v>
      </c>
      <c r="M609" s="15">
        <f t="shared" si="131"/>
        <v>0.128336517655025</v>
      </c>
      <c r="N609" s="15">
        <f t="shared" si="132"/>
        <v>0.7265</v>
      </c>
      <c r="O609" s="15">
        <f t="shared" si="133"/>
        <v>0.2735</v>
      </c>
      <c r="P609" s="15">
        <f t="shared" si="134"/>
        <v>1.19981208856844</v>
      </c>
      <c r="Q609" s="15">
        <f t="shared" si="135"/>
        <v>0.469237724515631</v>
      </c>
      <c r="R609" s="7">
        <f t="shared" si="136"/>
        <v>0.0616812537301854</v>
      </c>
    </row>
    <row r="610" spans="1:18">
      <c r="A610" s="6">
        <v>2019</v>
      </c>
      <c r="B610" s="19" t="s">
        <v>38</v>
      </c>
      <c r="C610" s="6">
        <v>0.5298</v>
      </c>
      <c r="D610" s="6">
        <v>4982</v>
      </c>
      <c r="E610" s="6">
        <f t="shared" si="126"/>
        <v>2639.4636</v>
      </c>
      <c r="F610" s="6">
        <f t="shared" si="125"/>
        <v>2342.5364</v>
      </c>
      <c r="G610" s="15">
        <v>34744.8669406268</v>
      </c>
      <c r="H610" s="15">
        <v>13675.7334483804</v>
      </c>
      <c r="I610" s="15">
        <f t="shared" si="127"/>
        <v>91707811.5766278</v>
      </c>
      <c r="J610" s="15">
        <f t="shared" si="128"/>
        <v>32035903.3995286</v>
      </c>
      <c r="K610" s="15">
        <f t="shared" si="129"/>
        <v>123743714.976156</v>
      </c>
      <c r="L610" s="15">
        <f t="shared" si="130"/>
        <v>0.741110864453185</v>
      </c>
      <c r="M610" s="15">
        <f t="shared" si="131"/>
        <v>0.258889135546815</v>
      </c>
      <c r="N610" s="15">
        <f t="shared" si="132"/>
        <v>0.5298</v>
      </c>
      <c r="O610" s="15">
        <f t="shared" si="133"/>
        <v>0.4702</v>
      </c>
      <c r="P610" s="15">
        <f t="shared" si="134"/>
        <v>1.39885025378102</v>
      </c>
      <c r="Q610" s="15">
        <f t="shared" si="135"/>
        <v>0.550593652800543</v>
      </c>
      <c r="R610" s="7">
        <f t="shared" si="136"/>
        <v>0.0942601266082004</v>
      </c>
    </row>
    <row r="611" spans="1:18">
      <c r="A611" s="6">
        <v>2019</v>
      </c>
      <c r="B611" s="19" t="s">
        <v>39</v>
      </c>
      <c r="C611" s="6">
        <v>0.5937</v>
      </c>
      <c r="D611" s="6">
        <v>995</v>
      </c>
      <c r="E611" s="6">
        <f t="shared" si="126"/>
        <v>590.7315</v>
      </c>
      <c r="F611" s="6">
        <f t="shared" si="125"/>
        <v>404.2685</v>
      </c>
      <c r="G611" s="15">
        <v>36016.6995020248</v>
      </c>
      <c r="H611" s="15">
        <v>15113.1476320844</v>
      </c>
      <c r="I611" s="15">
        <f t="shared" si="127"/>
        <v>21276198.9218804</v>
      </c>
      <c r="J611" s="15">
        <f t="shared" si="128"/>
        <v>6109769.52350131</v>
      </c>
      <c r="K611" s="15">
        <f t="shared" si="129"/>
        <v>27385968.4453817</v>
      </c>
      <c r="L611" s="15">
        <f t="shared" si="130"/>
        <v>0.776901461940753</v>
      </c>
      <c r="M611" s="15">
        <f t="shared" si="131"/>
        <v>0.223098538059247</v>
      </c>
      <c r="N611" s="15">
        <f t="shared" si="132"/>
        <v>0.5937</v>
      </c>
      <c r="O611" s="15">
        <f t="shared" si="133"/>
        <v>0.4063</v>
      </c>
      <c r="P611" s="15">
        <f t="shared" si="134"/>
        <v>1.30857581596893</v>
      </c>
      <c r="Q611" s="15">
        <f t="shared" si="135"/>
        <v>0.549098050847272</v>
      </c>
      <c r="R611" s="7">
        <f t="shared" si="136"/>
        <v>0.0751966772300992</v>
      </c>
    </row>
    <row r="612" spans="1:18">
      <c r="A612" s="6">
        <v>2019</v>
      </c>
      <c r="B612" s="19" t="s">
        <v>40</v>
      </c>
      <c r="C612" s="6">
        <v>0.6824</v>
      </c>
      <c r="D612" s="6">
        <v>3188</v>
      </c>
      <c r="E612" s="6">
        <f t="shared" si="126"/>
        <v>2175.4912</v>
      </c>
      <c r="F612" s="6">
        <f t="shared" si="125"/>
        <v>1012.5088</v>
      </c>
      <c r="G612" s="15">
        <v>37938.5910731291</v>
      </c>
      <c r="H612" s="15">
        <v>15133.2654238365</v>
      </c>
      <c r="I612" s="15">
        <f t="shared" si="127"/>
        <v>82535071.0199909</v>
      </c>
      <c r="J612" s="15">
        <f t="shared" si="128"/>
        <v>15322564.4143702</v>
      </c>
      <c r="K612" s="15">
        <f t="shared" si="129"/>
        <v>97857635.4343611</v>
      </c>
      <c r="L612" s="15">
        <f t="shared" si="130"/>
        <v>0.843419837947669</v>
      </c>
      <c r="M612" s="15">
        <f t="shared" si="131"/>
        <v>0.156580162052331</v>
      </c>
      <c r="N612" s="15">
        <f t="shared" si="132"/>
        <v>0.6824</v>
      </c>
      <c r="O612" s="15">
        <f t="shared" si="133"/>
        <v>0.3176</v>
      </c>
      <c r="P612" s="15">
        <f t="shared" si="134"/>
        <v>1.23596107553879</v>
      </c>
      <c r="Q612" s="15">
        <f t="shared" si="135"/>
        <v>0.493010585807087</v>
      </c>
      <c r="R612" s="7">
        <f t="shared" si="136"/>
        <v>0.0679401888140653</v>
      </c>
    </row>
    <row r="613" spans="1:18">
      <c r="A613" s="6">
        <v>2019</v>
      </c>
      <c r="B613" s="19" t="s">
        <v>41</v>
      </c>
      <c r="C613" s="6">
        <v>0.5536</v>
      </c>
      <c r="D613" s="6">
        <v>8351</v>
      </c>
      <c r="E613" s="6">
        <f t="shared" si="126"/>
        <v>4623.1136</v>
      </c>
      <c r="F613" s="6">
        <f t="shared" si="125"/>
        <v>3727.8864</v>
      </c>
      <c r="G613" s="15">
        <v>36153.7320721633</v>
      </c>
      <c r="H613" s="15">
        <v>14670.0910069312</v>
      </c>
      <c r="I613" s="15">
        <f t="shared" si="127"/>
        <v>167142810.433574</v>
      </c>
      <c r="J613" s="15">
        <f t="shared" si="128"/>
        <v>54688432.7515011</v>
      </c>
      <c r="K613" s="15">
        <f t="shared" si="129"/>
        <v>221831243.185075</v>
      </c>
      <c r="L613" s="15">
        <f t="shared" si="130"/>
        <v>0.753468303354031</v>
      </c>
      <c r="M613" s="15">
        <f t="shared" si="131"/>
        <v>0.246531696645969</v>
      </c>
      <c r="N613" s="15">
        <f t="shared" si="132"/>
        <v>0.5536</v>
      </c>
      <c r="O613" s="15">
        <f t="shared" si="133"/>
        <v>0.4464</v>
      </c>
      <c r="P613" s="15">
        <f t="shared" si="134"/>
        <v>1.36103378496032</v>
      </c>
      <c r="Q613" s="15">
        <f t="shared" si="135"/>
        <v>0.552266345533084</v>
      </c>
      <c r="R613" s="7">
        <f t="shared" si="136"/>
        <v>0.0858805039272378</v>
      </c>
    </row>
    <row r="614" spans="1:18">
      <c r="A614" s="6">
        <v>2019</v>
      </c>
      <c r="B614" s="19" t="s">
        <v>42</v>
      </c>
      <c r="C614" s="6">
        <v>0.5148</v>
      </c>
      <c r="D614" s="6">
        <v>3848</v>
      </c>
      <c r="E614" s="6">
        <f t="shared" si="126"/>
        <v>1980.9504</v>
      </c>
      <c r="F614" s="6">
        <f t="shared" si="125"/>
        <v>1867.0496</v>
      </c>
      <c r="G614" s="15">
        <v>34404.1654687681</v>
      </c>
      <c r="H614" s="15">
        <v>10756.2952356231</v>
      </c>
      <c r="I614" s="15">
        <f t="shared" si="127"/>
        <v>68152945.3470224</v>
      </c>
      <c r="J614" s="15">
        <f t="shared" si="128"/>
        <v>20082536.717152</v>
      </c>
      <c r="K614" s="15">
        <f t="shared" si="129"/>
        <v>88235482.0641744</v>
      </c>
      <c r="L614" s="15">
        <f t="shared" si="130"/>
        <v>0.772398402010817</v>
      </c>
      <c r="M614" s="15">
        <f t="shared" si="131"/>
        <v>0.227601597989183</v>
      </c>
      <c r="N614" s="15">
        <f t="shared" si="132"/>
        <v>0.5148</v>
      </c>
      <c r="O614" s="15">
        <f t="shared" si="133"/>
        <v>0.4852</v>
      </c>
      <c r="P614" s="15">
        <f t="shared" si="134"/>
        <v>1.50038539629141</v>
      </c>
      <c r="Q614" s="15">
        <f t="shared" si="135"/>
        <v>0.469088206902686</v>
      </c>
      <c r="R614" s="7">
        <f t="shared" si="136"/>
        <v>0.141092709764374</v>
      </c>
    </row>
    <row r="615" spans="1:18">
      <c r="A615" s="6">
        <v>2019</v>
      </c>
      <c r="B615" s="19" t="s">
        <v>43</v>
      </c>
      <c r="C615" s="6">
        <v>0.4867</v>
      </c>
      <c r="D615" s="6">
        <v>4714</v>
      </c>
      <c r="E615" s="6">
        <f t="shared" si="126"/>
        <v>2294.3038</v>
      </c>
      <c r="F615" s="6">
        <f t="shared" si="125"/>
        <v>2419.6962</v>
      </c>
      <c r="G615" s="15">
        <v>36237.680924704</v>
      </c>
      <c r="H615" s="15">
        <v>11902.3724479264</v>
      </c>
      <c r="I615" s="15">
        <f t="shared" si="127"/>
        <v>83140249.0487359</v>
      </c>
      <c r="J615" s="15">
        <f t="shared" si="128"/>
        <v>28800125.3832322</v>
      </c>
      <c r="K615" s="15">
        <f t="shared" si="129"/>
        <v>111940374.431968</v>
      </c>
      <c r="L615" s="15">
        <f t="shared" si="130"/>
        <v>0.742719054412887</v>
      </c>
      <c r="M615" s="15">
        <f t="shared" si="131"/>
        <v>0.257280945587113</v>
      </c>
      <c r="N615" s="15">
        <f t="shared" si="132"/>
        <v>0.4867</v>
      </c>
      <c r="O615" s="15">
        <f t="shared" si="133"/>
        <v>0.5133</v>
      </c>
      <c r="P615" s="15">
        <f t="shared" si="134"/>
        <v>1.52603052067575</v>
      </c>
      <c r="Q615" s="15">
        <f t="shared" si="135"/>
        <v>0.501229194597921</v>
      </c>
      <c r="R615" s="7">
        <f t="shared" si="136"/>
        <v>0.136223171506323</v>
      </c>
    </row>
    <row r="616" spans="1:18">
      <c r="A616" s="6">
        <v>2019</v>
      </c>
      <c r="B616" s="19" t="s">
        <v>44</v>
      </c>
      <c r="C616" s="6">
        <v>0.3451</v>
      </c>
      <c r="D616" s="6">
        <v>361</v>
      </c>
      <c r="E616" s="6">
        <f t="shared" si="126"/>
        <v>124.5811</v>
      </c>
      <c r="F616" s="6">
        <f t="shared" si="125"/>
        <v>236.4189</v>
      </c>
      <c r="G616" s="15">
        <v>37409.9738809039</v>
      </c>
      <c r="H616" s="15">
        <v>12950.9898007206</v>
      </c>
      <c r="I616" s="15">
        <f t="shared" si="127"/>
        <v>4660575.69705428</v>
      </c>
      <c r="J616" s="15">
        <f t="shared" si="128"/>
        <v>3061858.76259758</v>
      </c>
      <c r="K616" s="15">
        <f t="shared" si="129"/>
        <v>7722434.45965186</v>
      </c>
      <c r="L616" s="15">
        <f t="shared" si="130"/>
        <v>0.603511201215735</v>
      </c>
      <c r="M616" s="15">
        <f t="shared" si="131"/>
        <v>0.396488798784265</v>
      </c>
      <c r="N616" s="15">
        <f t="shared" si="132"/>
        <v>0.3451</v>
      </c>
      <c r="O616" s="15">
        <f t="shared" si="133"/>
        <v>0.6549</v>
      </c>
      <c r="P616" s="15">
        <f t="shared" si="134"/>
        <v>1.74880093079031</v>
      </c>
      <c r="Q616" s="15">
        <f t="shared" si="135"/>
        <v>0.605418840715018</v>
      </c>
      <c r="R616" s="7">
        <f t="shared" si="136"/>
        <v>0.138348877522997</v>
      </c>
    </row>
    <row r="617" spans="1:18">
      <c r="A617" s="6">
        <v>2019</v>
      </c>
      <c r="B617" s="19" t="s">
        <v>45</v>
      </c>
      <c r="C617" s="6">
        <v>0.6128</v>
      </c>
      <c r="D617" s="6">
        <v>3944</v>
      </c>
      <c r="E617" s="6">
        <f t="shared" si="126"/>
        <v>2416.8832</v>
      </c>
      <c r="F617" s="6">
        <f t="shared" si="125"/>
        <v>1527.1168</v>
      </c>
      <c r="G617" s="15">
        <v>36098.2086139788</v>
      </c>
      <c r="H617" s="15">
        <v>12325.6644195185</v>
      </c>
      <c r="I617" s="15">
        <f t="shared" si="127"/>
        <v>87245153.9492207</v>
      </c>
      <c r="J617" s="15">
        <f t="shared" si="128"/>
        <v>18822729.2062089</v>
      </c>
      <c r="K617" s="15">
        <f t="shared" si="129"/>
        <v>106067883.15543</v>
      </c>
      <c r="L617" s="15">
        <f t="shared" si="130"/>
        <v>0.822540729142048</v>
      </c>
      <c r="M617" s="15">
        <f t="shared" si="131"/>
        <v>0.177459270857952</v>
      </c>
      <c r="N617" s="15">
        <f t="shared" si="132"/>
        <v>0.6128</v>
      </c>
      <c r="O617" s="15">
        <f t="shared" si="133"/>
        <v>0.3872</v>
      </c>
      <c r="P617" s="15">
        <f t="shared" si="134"/>
        <v>1.34226620290804</v>
      </c>
      <c r="Q617" s="15">
        <f t="shared" si="135"/>
        <v>0.458314232587685</v>
      </c>
      <c r="R617" s="7">
        <f t="shared" si="136"/>
        <v>0.103668816023093</v>
      </c>
    </row>
    <row r="618" spans="1:18">
      <c r="A618" s="6">
        <v>2019</v>
      </c>
      <c r="B618" s="19" t="s">
        <v>46</v>
      </c>
      <c r="C618" s="6">
        <v>0.507</v>
      </c>
      <c r="D618" s="6">
        <v>2509</v>
      </c>
      <c r="E618" s="6">
        <f t="shared" si="126"/>
        <v>1272.063</v>
      </c>
      <c r="F618" s="6">
        <f t="shared" si="125"/>
        <v>1236.937</v>
      </c>
      <c r="G618" s="15">
        <v>32323.4496430735</v>
      </c>
      <c r="H618" s="15">
        <v>9628.9358424371</v>
      </c>
      <c r="I618" s="15">
        <f t="shared" si="127"/>
        <v>41117464.323317</v>
      </c>
      <c r="J618" s="15">
        <f t="shared" si="128"/>
        <v>11910387.0141366</v>
      </c>
      <c r="K618" s="15">
        <f t="shared" si="129"/>
        <v>53027851.3374536</v>
      </c>
      <c r="L618" s="15">
        <f t="shared" si="130"/>
        <v>0.775393746611711</v>
      </c>
      <c r="M618" s="15">
        <f t="shared" si="131"/>
        <v>0.224606253388289</v>
      </c>
      <c r="N618" s="15">
        <f t="shared" si="132"/>
        <v>0.507</v>
      </c>
      <c r="O618" s="15">
        <f t="shared" si="133"/>
        <v>0.493</v>
      </c>
      <c r="P618" s="15">
        <f t="shared" si="134"/>
        <v>1.5293762260586</v>
      </c>
      <c r="Q618" s="15">
        <f t="shared" si="135"/>
        <v>0.455590777663872</v>
      </c>
      <c r="R618" s="7">
        <f t="shared" si="136"/>
        <v>0.152857236503504</v>
      </c>
    </row>
    <row r="619" spans="1:18">
      <c r="A619" s="6">
        <v>2019</v>
      </c>
      <c r="B619" s="19" t="s">
        <v>47</v>
      </c>
      <c r="C619" s="6">
        <v>0.5878</v>
      </c>
      <c r="D619" s="6">
        <v>590</v>
      </c>
      <c r="E619" s="6">
        <f t="shared" si="126"/>
        <v>346.802</v>
      </c>
      <c r="F619" s="6">
        <f t="shared" si="125"/>
        <v>243.198</v>
      </c>
      <c r="G619" s="15">
        <v>33830.3308581552</v>
      </c>
      <c r="H619" s="15">
        <v>11499.3586173901</v>
      </c>
      <c r="I619" s="15">
        <f t="shared" si="127"/>
        <v>11732426.4022699</v>
      </c>
      <c r="J619" s="15">
        <f t="shared" si="128"/>
        <v>2796621.01703204</v>
      </c>
      <c r="K619" s="15">
        <f t="shared" si="129"/>
        <v>14529047.419302</v>
      </c>
      <c r="L619" s="15">
        <f t="shared" si="130"/>
        <v>0.807515184146436</v>
      </c>
      <c r="M619" s="15">
        <f t="shared" si="131"/>
        <v>0.192484815853564</v>
      </c>
      <c r="N619" s="15">
        <f t="shared" si="132"/>
        <v>0.5878</v>
      </c>
      <c r="O619" s="15">
        <f t="shared" si="133"/>
        <v>0.4122</v>
      </c>
      <c r="P619" s="15">
        <f t="shared" si="134"/>
        <v>1.37379241943933</v>
      </c>
      <c r="Q619" s="15">
        <f t="shared" si="135"/>
        <v>0.466969470775264</v>
      </c>
      <c r="R619" s="7">
        <f t="shared" si="136"/>
        <v>0.109871188024824</v>
      </c>
    </row>
    <row r="620" spans="1:18">
      <c r="A620" s="6">
        <v>2019</v>
      </c>
      <c r="B620" s="19" t="s">
        <v>48</v>
      </c>
      <c r="C620" s="6">
        <v>0.6363</v>
      </c>
      <c r="D620" s="6">
        <v>717</v>
      </c>
      <c r="E620" s="6">
        <f t="shared" si="126"/>
        <v>456.2271</v>
      </c>
      <c r="F620" s="6">
        <f t="shared" si="125"/>
        <v>260.7729</v>
      </c>
      <c r="G620" s="15">
        <v>34328.4511117241</v>
      </c>
      <c r="H620" s="15">
        <v>12858.3915898402</v>
      </c>
      <c r="I620" s="15">
        <f t="shared" si="127"/>
        <v>15661569.6981937</v>
      </c>
      <c r="J620" s="15">
        <f t="shared" si="128"/>
        <v>3353120.06421824</v>
      </c>
      <c r="K620" s="15">
        <f t="shared" si="129"/>
        <v>19014689.7624119</v>
      </c>
      <c r="L620" s="15">
        <f t="shared" si="130"/>
        <v>0.823656335911056</v>
      </c>
      <c r="M620" s="15">
        <f t="shared" si="131"/>
        <v>0.176343664088944</v>
      </c>
      <c r="N620" s="15">
        <f t="shared" si="132"/>
        <v>0.6363</v>
      </c>
      <c r="O620" s="15">
        <f t="shared" si="133"/>
        <v>0.3637</v>
      </c>
      <c r="P620" s="15">
        <f t="shared" si="134"/>
        <v>1.2944465439432</v>
      </c>
      <c r="Q620" s="15">
        <f t="shared" si="135"/>
        <v>0.484860225705097</v>
      </c>
      <c r="R620" s="7">
        <f t="shared" si="136"/>
        <v>0.0849176527268874</v>
      </c>
    </row>
    <row r="621" spans="1:18">
      <c r="A621" s="6">
        <v>2019</v>
      </c>
      <c r="B621" s="19" t="s">
        <v>49</v>
      </c>
      <c r="C621" s="6">
        <v>0.5551</v>
      </c>
      <c r="D621" s="6">
        <v>2559</v>
      </c>
      <c r="E621" s="6">
        <f t="shared" si="126"/>
        <v>1420.5009</v>
      </c>
      <c r="F621" s="6">
        <f t="shared" si="125"/>
        <v>1138.4991</v>
      </c>
      <c r="G621" s="15">
        <v>34663.733371324</v>
      </c>
      <c r="H621" s="15">
        <v>13121.6599412902</v>
      </c>
      <c r="I621" s="15">
        <f t="shared" si="127"/>
        <v>49239864.4513258</v>
      </c>
      <c r="J621" s="15">
        <f t="shared" si="128"/>
        <v>14938998.0336649</v>
      </c>
      <c r="K621" s="15">
        <f t="shared" si="129"/>
        <v>64178862.4849907</v>
      </c>
      <c r="L621" s="15">
        <f t="shared" si="130"/>
        <v>0.767228687838482</v>
      </c>
      <c r="M621" s="15">
        <f t="shared" si="131"/>
        <v>0.232771312161519</v>
      </c>
      <c r="N621" s="15">
        <f t="shared" si="132"/>
        <v>0.5551</v>
      </c>
      <c r="O621" s="15">
        <f t="shared" si="133"/>
        <v>0.4449</v>
      </c>
      <c r="P621" s="15">
        <f t="shared" si="134"/>
        <v>1.38214499700681</v>
      </c>
      <c r="Q621" s="15">
        <f t="shared" si="135"/>
        <v>0.523199173210876</v>
      </c>
      <c r="R621" s="7">
        <f t="shared" si="136"/>
        <v>0.0975156727969563</v>
      </c>
    </row>
    <row r="622" spans="1:18">
      <c r="A622" s="6">
        <v>2020</v>
      </c>
      <c r="B622" s="19" t="s">
        <v>19</v>
      </c>
      <c r="C622" s="6">
        <v>0.8755</v>
      </c>
      <c r="D622" s="6">
        <v>2189</v>
      </c>
      <c r="E622" s="6">
        <f t="shared" si="126"/>
        <v>1916.4695</v>
      </c>
      <c r="F622" s="6">
        <f t="shared" si="125"/>
        <v>272.5305</v>
      </c>
      <c r="G622" s="15">
        <v>75601.5177140061</v>
      </c>
      <c r="H622" s="15">
        <v>30125.6535403312</v>
      </c>
      <c r="I622" s="15">
        <f t="shared" si="127"/>
        <v>144888002.852602</v>
      </c>
      <c r="J622" s="15">
        <f t="shared" si="128"/>
        <v>8210159.42217323</v>
      </c>
      <c r="K622" s="15">
        <f t="shared" si="129"/>
        <v>153098162.274776</v>
      </c>
      <c r="L622" s="15">
        <f t="shared" si="130"/>
        <v>0.946373233354442</v>
      </c>
      <c r="M622" s="15">
        <f t="shared" si="131"/>
        <v>0.0536267666455585</v>
      </c>
      <c r="N622" s="15">
        <f t="shared" si="132"/>
        <v>0.8755</v>
      </c>
      <c r="O622" s="15">
        <f t="shared" si="133"/>
        <v>0.1245</v>
      </c>
      <c r="P622" s="15">
        <f t="shared" si="134"/>
        <v>1.08095172284916</v>
      </c>
      <c r="Q622" s="15">
        <f t="shared" si="135"/>
        <v>0.430737081490429</v>
      </c>
      <c r="R622" s="7">
        <f t="shared" si="136"/>
        <v>0.0284999289576558</v>
      </c>
    </row>
    <row r="623" spans="1:18">
      <c r="A623" s="6">
        <v>2020</v>
      </c>
      <c r="B623" s="19" t="s">
        <v>20</v>
      </c>
      <c r="C623" s="6">
        <v>0.847</v>
      </c>
      <c r="D623" s="6">
        <v>1387</v>
      </c>
      <c r="E623" s="6">
        <f t="shared" si="126"/>
        <v>1174.789</v>
      </c>
      <c r="F623" s="6">
        <f t="shared" si="125"/>
        <v>212.211</v>
      </c>
      <c r="G623" s="15">
        <v>47658.503223054</v>
      </c>
      <c r="H623" s="15">
        <v>25690.6269609357</v>
      </c>
      <c r="I623" s="15">
        <f t="shared" si="127"/>
        <v>55988685.3429084</v>
      </c>
      <c r="J623" s="15">
        <f t="shared" si="128"/>
        <v>5451833.63800713</v>
      </c>
      <c r="K623" s="15">
        <f t="shared" si="129"/>
        <v>61440518.9809155</v>
      </c>
      <c r="L623" s="15">
        <f t="shared" si="130"/>
        <v>0.911266478076128</v>
      </c>
      <c r="M623" s="15">
        <f t="shared" si="131"/>
        <v>0.0887335219238718</v>
      </c>
      <c r="N623" s="15">
        <f t="shared" si="132"/>
        <v>0.847</v>
      </c>
      <c r="O623" s="15">
        <f t="shared" si="133"/>
        <v>0.153</v>
      </c>
      <c r="P623" s="15">
        <f t="shared" si="134"/>
        <v>1.07587541685493</v>
      </c>
      <c r="Q623" s="15">
        <f t="shared" si="135"/>
        <v>0.579957659633149</v>
      </c>
      <c r="R623" s="7">
        <f t="shared" si="136"/>
        <v>0.0183031358678537</v>
      </c>
    </row>
    <row r="624" spans="1:18">
      <c r="A624" s="6">
        <v>2020</v>
      </c>
      <c r="B624" s="19" t="s">
        <v>21</v>
      </c>
      <c r="C624" s="6">
        <v>0.6007</v>
      </c>
      <c r="D624" s="6">
        <v>7464</v>
      </c>
      <c r="E624" s="6">
        <f t="shared" si="126"/>
        <v>4483.6248</v>
      </c>
      <c r="F624" s="6">
        <f t="shared" si="125"/>
        <v>2980.3752</v>
      </c>
      <c r="G624" s="15">
        <v>37285.6679104497</v>
      </c>
      <c r="H624" s="15">
        <v>16467.040798915</v>
      </c>
      <c r="I624" s="15">
        <f t="shared" si="127"/>
        <v>167174945.327856</v>
      </c>
      <c r="J624" s="15">
        <f t="shared" si="128"/>
        <v>49077960.0144744</v>
      </c>
      <c r="K624" s="15">
        <f t="shared" si="129"/>
        <v>216252905.342331</v>
      </c>
      <c r="L624" s="15">
        <f t="shared" si="130"/>
        <v>0.773052944945255</v>
      </c>
      <c r="M624" s="15">
        <f t="shared" si="131"/>
        <v>0.226947055054745</v>
      </c>
      <c r="N624" s="15">
        <f t="shared" si="132"/>
        <v>0.6007</v>
      </c>
      <c r="O624" s="15">
        <f t="shared" si="133"/>
        <v>0.3993</v>
      </c>
      <c r="P624" s="15">
        <f t="shared" si="134"/>
        <v>1.28692016804604</v>
      </c>
      <c r="Q624" s="15">
        <f t="shared" si="135"/>
        <v>0.568362271612183</v>
      </c>
      <c r="R624" s="7">
        <f t="shared" si="136"/>
        <v>0.0667798343484656</v>
      </c>
    </row>
    <row r="625" spans="1:18">
      <c r="A625" s="6">
        <v>2020</v>
      </c>
      <c r="B625" s="19" t="s">
        <v>22</v>
      </c>
      <c r="C625" s="6">
        <v>0.6253</v>
      </c>
      <c r="D625" s="6">
        <v>3490</v>
      </c>
      <c r="E625" s="6">
        <f t="shared" si="126"/>
        <v>2182.297</v>
      </c>
      <c r="F625" s="6">
        <f t="shared" si="125"/>
        <v>1307.703</v>
      </c>
      <c r="G625" s="15">
        <v>34792.7096404717</v>
      </c>
      <c r="H625" s="15">
        <v>13878.0081590382</v>
      </c>
      <c r="I625" s="15">
        <f t="shared" si="127"/>
        <v>75928025.8702725</v>
      </c>
      <c r="J625" s="15">
        <f t="shared" si="128"/>
        <v>18148312.9035987</v>
      </c>
      <c r="K625" s="15">
        <f t="shared" si="129"/>
        <v>94076338.7738712</v>
      </c>
      <c r="L625" s="15">
        <f t="shared" si="130"/>
        <v>0.807089506882051</v>
      </c>
      <c r="M625" s="15">
        <f t="shared" si="131"/>
        <v>0.192910493117949</v>
      </c>
      <c r="N625" s="15">
        <f t="shared" si="132"/>
        <v>0.6253</v>
      </c>
      <c r="O625" s="15">
        <f t="shared" si="133"/>
        <v>0.3747</v>
      </c>
      <c r="P625" s="15">
        <f t="shared" si="134"/>
        <v>1.29072366365273</v>
      </c>
      <c r="Q625" s="15">
        <f t="shared" si="135"/>
        <v>0.514839853530689</v>
      </c>
      <c r="R625" s="7">
        <f t="shared" si="136"/>
        <v>0.077898537400532</v>
      </c>
    </row>
    <row r="626" spans="1:18">
      <c r="A626" s="6">
        <v>2020</v>
      </c>
      <c r="B626" s="19" t="s">
        <v>23</v>
      </c>
      <c r="C626" s="6">
        <v>0.6748</v>
      </c>
      <c r="D626" s="6">
        <v>2403</v>
      </c>
      <c r="E626" s="6">
        <f t="shared" si="126"/>
        <v>1621.5444</v>
      </c>
      <c r="F626" s="6">
        <f t="shared" si="125"/>
        <v>781.4556</v>
      </c>
      <c r="G626" s="15">
        <v>41353.098227199</v>
      </c>
      <c r="H626" s="15">
        <v>16566.8677928328</v>
      </c>
      <c r="I626" s="15">
        <f t="shared" si="127"/>
        <v>67055884.8529645</v>
      </c>
      <c r="J626" s="15">
        <f t="shared" si="128"/>
        <v>12946271.6111688</v>
      </c>
      <c r="K626" s="15">
        <f t="shared" si="129"/>
        <v>80002156.4641333</v>
      </c>
      <c r="L626" s="15">
        <f t="shared" si="130"/>
        <v>0.838175966956929</v>
      </c>
      <c r="M626" s="15">
        <f t="shared" si="131"/>
        <v>0.161824033043071</v>
      </c>
      <c r="N626" s="15">
        <f t="shared" si="132"/>
        <v>0.6748</v>
      </c>
      <c r="O626" s="15">
        <f t="shared" si="133"/>
        <v>0.3252</v>
      </c>
      <c r="P626" s="15">
        <f t="shared" si="134"/>
        <v>1.24211020592313</v>
      </c>
      <c r="Q626" s="15">
        <f t="shared" si="135"/>
        <v>0.49761387774622</v>
      </c>
      <c r="R626" s="7">
        <f t="shared" si="136"/>
        <v>0.0687843818194352</v>
      </c>
    </row>
    <row r="627" spans="1:18">
      <c r="A627" s="6">
        <v>2020</v>
      </c>
      <c r="B627" s="19" t="s">
        <v>24</v>
      </c>
      <c r="C627" s="6">
        <v>0.7214</v>
      </c>
      <c r="D627" s="6">
        <v>4255</v>
      </c>
      <c r="E627" s="6">
        <f t="shared" si="126"/>
        <v>3069.557</v>
      </c>
      <c r="F627" s="6">
        <f t="shared" si="125"/>
        <v>1185.443</v>
      </c>
      <c r="G627" s="15">
        <v>40375.8899812509</v>
      </c>
      <c r="H627" s="15">
        <v>17450.3482012791</v>
      </c>
      <c r="I627" s="15">
        <f t="shared" si="127"/>
        <v>123936095.723179</v>
      </c>
      <c r="J627" s="15">
        <f t="shared" si="128"/>
        <v>20686393.1227689</v>
      </c>
      <c r="K627" s="15">
        <f t="shared" si="129"/>
        <v>144622488.845947</v>
      </c>
      <c r="L627" s="15">
        <f t="shared" si="130"/>
        <v>0.856962818937488</v>
      </c>
      <c r="M627" s="15">
        <f t="shared" si="131"/>
        <v>0.143037181062512</v>
      </c>
      <c r="N627" s="15">
        <f t="shared" si="132"/>
        <v>0.7214</v>
      </c>
      <c r="O627" s="15">
        <f t="shared" si="133"/>
        <v>0.2786</v>
      </c>
      <c r="P627" s="15">
        <f t="shared" si="134"/>
        <v>1.18791630016286</v>
      </c>
      <c r="Q627" s="15">
        <f t="shared" si="135"/>
        <v>0.513414145953022</v>
      </c>
      <c r="R627" s="7">
        <f t="shared" si="136"/>
        <v>0.0522107031776164</v>
      </c>
    </row>
    <row r="628" spans="1:18">
      <c r="A628" s="6">
        <v>2020</v>
      </c>
      <c r="B628" s="19" t="s">
        <v>25</v>
      </c>
      <c r="C628" s="6">
        <v>0.6264</v>
      </c>
      <c r="D628" s="6">
        <v>2399</v>
      </c>
      <c r="E628" s="6">
        <f t="shared" si="126"/>
        <v>1502.7336</v>
      </c>
      <c r="F628" s="6">
        <f t="shared" si="125"/>
        <v>896.2664</v>
      </c>
      <c r="G628" s="15">
        <v>33395.7</v>
      </c>
      <c r="H628" s="15">
        <v>16067.0319046288</v>
      </c>
      <c r="I628" s="15">
        <f t="shared" si="127"/>
        <v>50184840.48552</v>
      </c>
      <c r="J628" s="15">
        <f t="shared" si="128"/>
        <v>14400340.8438468</v>
      </c>
      <c r="K628" s="15">
        <f t="shared" si="129"/>
        <v>64585181.3293668</v>
      </c>
      <c r="L628" s="15">
        <f t="shared" si="130"/>
        <v>0.777033360479256</v>
      </c>
      <c r="M628" s="15">
        <f t="shared" si="131"/>
        <v>0.222966639520744</v>
      </c>
      <c r="N628" s="15">
        <f t="shared" si="132"/>
        <v>0.6264</v>
      </c>
      <c r="O628" s="15">
        <f t="shared" si="133"/>
        <v>0.3736</v>
      </c>
      <c r="P628" s="15">
        <f t="shared" si="134"/>
        <v>1.24047471340877</v>
      </c>
      <c r="Q628" s="15">
        <f t="shared" si="135"/>
        <v>0.596805780301777</v>
      </c>
      <c r="R628" s="7">
        <f t="shared" si="136"/>
        <v>0.0523588845797292</v>
      </c>
    </row>
    <row r="629" spans="1:18">
      <c r="A629" s="6">
        <v>2020</v>
      </c>
      <c r="B629" s="19" t="s">
        <v>26</v>
      </c>
      <c r="C629" s="6">
        <v>0.6561</v>
      </c>
      <c r="D629" s="6">
        <v>3171</v>
      </c>
      <c r="E629" s="6">
        <f t="shared" si="126"/>
        <v>2080.4931</v>
      </c>
      <c r="F629" s="6">
        <f t="shared" si="125"/>
        <v>1090.5069</v>
      </c>
      <c r="G629" s="15">
        <v>31114.7499362149</v>
      </c>
      <c r="H629" s="15">
        <v>16168.4206293062</v>
      </c>
      <c r="I629" s="15">
        <f t="shared" si="127"/>
        <v>64734022.5505205</v>
      </c>
      <c r="J629" s="15">
        <f t="shared" si="128"/>
        <v>17631774.2583608</v>
      </c>
      <c r="K629" s="15">
        <f t="shared" si="129"/>
        <v>82365796.8088813</v>
      </c>
      <c r="L629" s="15">
        <f t="shared" si="130"/>
        <v>0.785933300696733</v>
      </c>
      <c r="M629" s="15">
        <f t="shared" si="131"/>
        <v>0.214066699303267</v>
      </c>
      <c r="N629" s="15">
        <f t="shared" si="132"/>
        <v>0.6561</v>
      </c>
      <c r="O629" s="15">
        <f t="shared" si="133"/>
        <v>0.3439</v>
      </c>
      <c r="P629" s="15">
        <f t="shared" si="134"/>
        <v>1.19788645129818</v>
      </c>
      <c r="Q629" s="15">
        <f t="shared" si="135"/>
        <v>0.622467866540467</v>
      </c>
      <c r="R629" s="7">
        <f t="shared" si="136"/>
        <v>0.0404259456277667</v>
      </c>
    </row>
    <row r="630" spans="1:18">
      <c r="A630" s="6">
        <v>2020</v>
      </c>
      <c r="B630" s="19" t="s">
        <v>27</v>
      </c>
      <c r="C630" s="6">
        <v>0.893</v>
      </c>
      <c r="D630" s="6">
        <v>2488</v>
      </c>
      <c r="E630" s="6">
        <f t="shared" si="126"/>
        <v>2221.784</v>
      </c>
      <c r="F630" s="6">
        <f t="shared" si="125"/>
        <v>266.216</v>
      </c>
      <c r="G630" s="15">
        <v>76437.2565497316</v>
      </c>
      <c r="H630" s="15">
        <v>34911.2782740899</v>
      </c>
      <c r="I630" s="15">
        <f t="shared" si="127"/>
        <v>169827073.606089</v>
      </c>
      <c r="J630" s="15">
        <f t="shared" si="128"/>
        <v>9293940.85701511</v>
      </c>
      <c r="K630" s="15">
        <f t="shared" si="129"/>
        <v>179121014.463104</v>
      </c>
      <c r="L630" s="15">
        <f t="shared" si="130"/>
        <v>0.948113620923415</v>
      </c>
      <c r="M630" s="15">
        <f t="shared" si="131"/>
        <v>0.0518863790765852</v>
      </c>
      <c r="N630" s="15">
        <f t="shared" si="132"/>
        <v>0.893</v>
      </c>
      <c r="O630" s="15">
        <f t="shared" si="133"/>
        <v>0.107</v>
      </c>
      <c r="P630" s="15">
        <f t="shared" si="134"/>
        <v>1.06171738065332</v>
      </c>
      <c r="Q630" s="15">
        <f t="shared" si="135"/>
        <v>0.484919430622292</v>
      </c>
      <c r="R630" s="7">
        <f t="shared" si="136"/>
        <v>0.0192264725256869</v>
      </c>
    </row>
    <row r="631" spans="1:18">
      <c r="A631" s="6">
        <v>2020</v>
      </c>
      <c r="B631" s="19" t="s">
        <v>28</v>
      </c>
      <c r="C631" s="6">
        <v>0.7344</v>
      </c>
      <c r="D631" s="6">
        <v>8477</v>
      </c>
      <c r="E631" s="6">
        <f t="shared" si="126"/>
        <v>6225.5088</v>
      </c>
      <c r="F631" s="6">
        <f t="shared" si="125"/>
        <v>2251.4912</v>
      </c>
      <c r="G631" s="15">
        <v>53101.6945597806</v>
      </c>
      <c r="H631" s="15">
        <v>24198.4780082861</v>
      </c>
      <c r="I631" s="15">
        <f t="shared" si="127"/>
        <v>330585066.776826</v>
      </c>
      <c r="J631" s="15">
        <f t="shared" si="128"/>
        <v>54482660.2890497</v>
      </c>
      <c r="K631" s="15">
        <f t="shared" si="129"/>
        <v>385067727.065876</v>
      </c>
      <c r="L631" s="15">
        <f t="shared" si="130"/>
        <v>0.858511486526813</v>
      </c>
      <c r="M631" s="15">
        <f t="shared" si="131"/>
        <v>0.141488513473187</v>
      </c>
      <c r="N631" s="15">
        <f t="shared" si="132"/>
        <v>0.7344</v>
      </c>
      <c r="O631" s="15">
        <f t="shared" si="133"/>
        <v>0.2656</v>
      </c>
      <c r="P631" s="15">
        <f t="shared" si="134"/>
        <v>1.16899712217703</v>
      </c>
      <c r="Q631" s="15">
        <f t="shared" si="135"/>
        <v>0.532712776630975</v>
      </c>
      <c r="R631" s="7">
        <f t="shared" si="136"/>
        <v>0.0449476953396337</v>
      </c>
    </row>
    <row r="632" spans="1:18">
      <c r="A632" s="6">
        <v>2020</v>
      </c>
      <c r="B632" s="19" t="s">
        <v>29</v>
      </c>
      <c r="C632" s="6">
        <v>0.7217</v>
      </c>
      <c r="D632" s="6">
        <v>6468</v>
      </c>
      <c r="E632" s="6">
        <f t="shared" si="126"/>
        <v>4667.9556</v>
      </c>
      <c r="F632" s="6">
        <f t="shared" si="125"/>
        <v>1800.0444</v>
      </c>
      <c r="G632" s="15">
        <v>62699.2767735749</v>
      </c>
      <c r="H632" s="15">
        <v>31930.4681601343</v>
      </c>
      <c r="I632" s="15">
        <f t="shared" si="127"/>
        <v>292677440.131159</v>
      </c>
      <c r="J632" s="15">
        <f t="shared" si="128"/>
        <v>57476260.401028</v>
      </c>
      <c r="K632" s="15">
        <f t="shared" si="129"/>
        <v>350153700.532187</v>
      </c>
      <c r="L632" s="15">
        <f t="shared" si="130"/>
        <v>0.835854196846494</v>
      </c>
      <c r="M632" s="15">
        <f t="shared" si="131"/>
        <v>0.164145803153506</v>
      </c>
      <c r="N632" s="15">
        <f t="shared" si="132"/>
        <v>0.7217</v>
      </c>
      <c r="O632" s="15">
        <f t="shared" si="133"/>
        <v>0.2783</v>
      </c>
      <c r="P632" s="15">
        <f t="shared" si="134"/>
        <v>1.15817402916239</v>
      </c>
      <c r="Q632" s="15">
        <f t="shared" si="135"/>
        <v>0.58981603720268</v>
      </c>
      <c r="R632" s="7">
        <f t="shared" si="136"/>
        <v>0.0360808296673862</v>
      </c>
    </row>
    <row r="633" spans="1:18">
      <c r="A633" s="6">
        <v>2020</v>
      </c>
      <c r="B633" s="19" t="s">
        <v>30</v>
      </c>
      <c r="C633" s="6">
        <v>0.5833</v>
      </c>
      <c r="D633" s="6">
        <v>6105</v>
      </c>
      <c r="E633" s="6">
        <f t="shared" si="126"/>
        <v>3561.0465</v>
      </c>
      <c r="F633" s="6">
        <f t="shared" si="125"/>
        <v>2543.9535</v>
      </c>
      <c r="G633" s="15">
        <v>39442.0835780219</v>
      </c>
      <c r="H633" s="15">
        <v>16620.2106315361</v>
      </c>
      <c r="I633" s="15">
        <f t="shared" si="127"/>
        <v>140455093.678222</v>
      </c>
      <c r="J633" s="15">
        <f t="shared" si="128"/>
        <v>42281043.0068335</v>
      </c>
      <c r="K633" s="15">
        <f t="shared" si="129"/>
        <v>182736136.685056</v>
      </c>
      <c r="L633" s="15">
        <f t="shared" si="130"/>
        <v>0.768622431371062</v>
      </c>
      <c r="M633" s="15">
        <f t="shared" si="131"/>
        <v>0.231377568628938</v>
      </c>
      <c r="N633" s="15">
        <f t="shared" si="132"/>
        <v>0.5833</v>
      </c>
      <c r="O633" s="15">
        <f t="shared" si="133"/>
        <v>0.4167</v>
      </c>
      <c r="P633" s="15">
        <f t="shared" si="134"/>
        <v>1.31771375170763</v>
      </c>
      <c r="Q633" s="15">
        <f t="shared" si="135"/>
        <v>0.555261743769949</v>
      </c>
      <c r="R633" s="7">
        <f t="shared" si="136"/>
        <v>0.0759385189346354</v>
      </c>
    </row>
    <row r="634" spans="1:18">
      <c r="A634" s="6">
        <v>2020</v>
      </c>
      <c r="B634" s="19" t="s">
        <v>31</v>
      </c>
      <c r="C634" s="6">
        <v>0.6875</v>
      </c>
      <c r="D634" s="6">
        <v>4161</v>
      </c>
      <c r="E634" s="6">
        <f t="shared" si="126"/>
        <v>2860.6875</v>
      </c>
      <c r="F634" s="6">
        <f t="shared" ref="F634:F684" si="137">D634-E634</f>
        <v>1300.3125</v>
      </c>
      <c r="G634" s="15">
        <v>47160.2672654013</v>
      </c>
      <c r="H634" s="15">
        <v>20880.2996398432</v>
      </c>
      <c r="I634" s="15">
        <f t="shared" si="127"/>
        <v>134910787.062793</v>
      </c>
      <c r="J634" s="15">
        <f t="shared" si="128"/>
        <v>27150914.6254336</v>
      </c>
      <c r="K634" s="15">
        <f t="shared" si="129"/>
        <v>162061701.688226</v>
      </c>
      <c r="L634" s="15">
        <f t="shared" si="130"/>
        <v>0.832465571183089</v>
      </c>
      <c r="M634" s="15">
        <f t="shared" si="131"/>
        <v>0.167534428816911</v>
      </c>
      <c r="N634" s="15">
        <f t="shared" si="132"/>
        <v>0.6875</v>
      </c>
      <c r="O634" s="15">
        <f t="shared" si="133"/>
        <v>0.3125</v>
      </c>
      <c r="P634" s="15">
        <f t="shared" si="134"/>
        <v>1.21085901262995</v>
      </c>
      <c r="Q634" s="15">
        <f t="shared" si="135"/>
        <v>0.536110172214115</v>
      </c>
      <c r="R634" s="7">
        <f t="shared" si="136"/>
        <v>0.0548320918732559</v>
      </c>
    </row>
    <row r="635" spans="1:18">
      <c r="A635" s="6">
        <v>2020</v>
      </c>
      <c r="B635" s="19" t="s">
        <v>32</v>
      </c>
      <c r="C635" s="6">
        <v>0.6044</v>
      </c>
      <c r="D635" s="6">
        <v>4519</v>
      </c>
      <c r="E635" s="6">
        <f t="shared" si="126"/>
        <v>2731.2836</v>
      </c>
      <c r="F635" s="6">
        <f t="shared" si="137"/>
        <v>1787.7164</v>
      </c>
      <c r="G635" s="15">
        <v>38555.8444313023</v>
      </c>
      <c r="H635" s="15">
        <v>16980.8374552089</v>
      </c>
      <c r="I635" s="15">
        <f t="shared" si="127"/>
        <v>105306945.579367</v>
      </c>
      <c r="J635" s="15">
        <f t="shared" si="128"/>
        <v>30356921.6044112</v>
      </c>
      <c r="K635" s="15">
        <f t="shared" si="129"/>
        <v>135663867.183779</v>
      </c>
      <c r="L635" s="15">
        <f t="shared" si="130"/>
        <v>0.776234289685345</v>
      </c>
      <c r="M635" s="15">
        <f t="shared" si="131"/>
        <v>0.223765710314655</v>
      </c>
      <c r="N635" s="15">
        <f t="shared" si="132"/>
        <v>0.6044</v>
      </c>
      <c r="O635" s="15">
        <f t="shared" si="133"/>
        <v>0.3956</v>
      </c>
      <c r="P635" s="15">
        <f t="shared" si="134"/>
        <v>1.28430557525702</v>
      </c>
      <c r="Q635" s="15">
        <f t="shared" si="135"/>
        <v>0.565636274809542</v>
      </c>
      <c r="R635" s="7">
        <f t="shared" si="136"/>
        <v>0.0667253149140945</v>
      </c>
    </row>
    <row r="636" spans="1:18">
      <c r="A636" s="6">
        <v>2020</v>
      </c>
      <c r="B636" s="19" t="s">
        <v>33</v>
      </c>
      <c r="C636" s="6">
        <v>0.6305</v>
      </c>
      <c r="D636" s="6">
        <v>10165</v>
      </c>
      <c r="E636" s="6">
        <f t="shared" si="126"/>
        <v>6409.0325</v>
      </c>
      <c r="F636" s="6">
        <f t="shared" si="137"/>
        <v>3755.9675</v>
      </c>
      <c r="G636" s="15">
        <v>43726.2837015184</v>
      </c>
      <c r="H636" s="15">
        <v>18753.2081084357</v>
      </c>
      <c r="I636" s="15">
        <f t="shared" si="127"/>
        <v>280243173.347252</v>
      </c>
      <c r="J636" s="15">
        <f t="shared" si="128"/>
        <v>70436440.176021</v>
      </c>
      <c r="K636" s="15">
        <f t="shared" si="129"/>
        <v>350679613.523273</v>
      </c>
      <c r="L636" s="15">
        <f t="shared" si="130"/>
        <v>0.799143042652673</v>
      </c>
      <c r="M636" s="15">
        <f t="shared" si="131"/>
        <v>0.200856957347327</v>
      </c>
      <c r="N636" s="15">
        <f t="shared" si="132"/>
        <v>0.6305</v>
      </c>
      <c r="O636" s="15">
        <f t="shared" si="133"/>
        <v>0.3695</v>
      </c>
      <c r="P636" s="15">
        <f t="shared" si="134"/>
        <v>1.2674750874745</v>
      </c>
      <c r="Q636" s="15">
        <f t="shared" si="135"/>
        <v>0.543591224214687</v>
      </c>
      <c r="R636" s="7">
        <f t="shared" si="136"/>
        <v>0.0669844061737309</v>
      </c>
    </row>
    <row r="637" spans="1:18">
      <c r="A637" s="6">
        <v>2020</v>
      </c>
      <c r="B637" s="19" t="s">
        <v>34</v>
      </c>
      <c r="C637" s="6">
        <v>0.5543</v>
      </c>
      <c r="D637" s="6">
        <v>9941</v>
      </c>
      <c r="E637" s="6">
        <f t="shared" si="126"/>
        <v>5510.2963</v>
      </c>
      <c r="F637" s="6">
        <f t="shared" si="137"/>
        <v>4430.7037</v>
      </c>
      <c r="G637" s="15">
        <v>34750.3363604568</v>
      </c>
      <c r="H637" s="15">
        <v>16107.9342473973</v>
      </c>
      <c r="I637" s="15">
        <f t="shared" si="127"/>
        <v>191484649.870781</v>
      </c>
      <c r="J637" s="15">
        <f t="shared" si="128"/>
        <v>71369483.8692999</v>
      </c>
      <c r="K637" s="15">
        <f t="shared" si="129"/>
        <v>262854133.74008</v>
      </c>
      <c r="L637" s="15">
        <f t="shared" si="130"/>
        <v>0.728482550934989</v>
      </c>
      <c r="M637" s="15">
        <f t="shared" si="131"/>
        <v>0.271517449065011</v>
      </c>
      <c r="N637" s="15">
        <f t="shared" si="132"/>
        <v>0.5543</v>
      </c>
      <c r="O637" s="15">
        <f t="shared" si="133"/>
        <v>0.4457</v>
      </c>
      <c r="P637" s="15">
        <f t="shared" si="134"/>
        <v>1.31423877130613</v>
      </c>
      <c r="Q637" s="15">
        <f t="shared" si="135"/>
        <v>0.609193289353851</v>
      </c>
      <c r="R637" s="7">
        <f t="shared" si="136"/>
        <v>0.0644940163425595</v>
      </c>
    </row>
    <row r="638" spans="1:18">
      <c r="A638" s="6">
        <v>2020</v>
      </c>
      <c r="B638" s="19" t="s">
        <v>35</v>
      </c>
      <c r="C638" s="6">
        <v>0.6289</v>
      </c>
      <c r="D638" s="6">
        <v>5745</v>
      </c>
      <c r="E638" s="6">
        <f t="shared" si="126"/>
        <v>3613.0305</v>
      </c>
      <c r="F638" s="6">
        <f t="shared" si="137"/>
        <v>2131.9695</v>
      </c>
      <c r="G638" s="15">
        <v>36705.7433865377</v>
      </c>
      <c r="H638" s="15">
        <v>16305.9088066323</v>
      </c>
      <c r="I638" s="15">
        <f t="shared" si="127"/>
        <v>132618970.380734</v>
      </c>
      <c r="J638" s="15">
        <f t="shared" si="128"/>
        <v>34763700.2455215</v>
      </c>
      <c r="K638" s="15">
        <f t="shared" si="129"/>
        <v>167382670.626255</v>
      </c>
      <c r="L638" s="15">
        <f t="shared" si="130"/>
        <v>0.792310039531246</v>
      </c>
      <c r="M638" s="15">
        <f t="shared" si="131"/>
        <v>0.207689960468754</v>
      </c>
      <c r="N638" s="15">
        <f t="shared" si="132"/>
        <v>0.6289</v>
      </c>
      <c r="O638" s="15">
        <f t="shared" si="133"/>
        <v>0.3711</v>
      </c>
      <c r="P638" s="15">
        <f t="shared" si="134"/>
        <v>1.25983469475472</v>
      </c>
      <c r="Q638" s="15">
        <f t="shared" si="135"/>
        <v>0.559660362351803</v>
      </c>
      <c r="R638" s="7">
        <f t="shared" si="136"/>
        <v>0.0624597014632782</v>
      </c>
    </row>
    <row r="639" spans="1:18">
      <c r="A639" s="6">
        <v>2020</v>
      </c>
      <c r="B639" s="19" t="s">
        <v>36</v>
      </c>
      <c r="C639" s="6">
        <v>0.5876</v>
      </c>
      <c r="D639" s="6">
        <v>6645</v>
      </c>
      <c r="E639" s="6">
        <f t="shared" si="126"/>
        <v>3904.602</v>
      </c>
      <c r="F639" s="6">
        <f t="shared" si="137"/>
        <v>2740.398</v>
      </c>
      <c r="G639" s="15">
        <v>41697.5216902222</v>
      </c>
      <c r="H639" s="15">
        <v>16584.5699643506</v>
      </c>
      <c r="I639" s="15">
        <f t="shared" si="127"/>
        <v>162812226.586685</v>
      </c>
      <c r="J639" s="15">
        <f t="shared" si="128"/>
        <v>45448322.3611665</v>
      </c>
      <c r="K639" s="15">
        <f t="shared" si="129"/>
        <v>208260548.947851</v>
      </c>
      <c r="L639" s="15">
        <f t="shared" si="130"/>
        <v>0.781771811364299</v>
      </c>
      <c r="M639" s="15">
        <f t="shared" si="131"/>
        <v>0.218228188635701</v>
      </c>
      <c r="N639" s="15">
        <f t="shared" si="132"/>
        <v>0.5876</v>
      </c>
      <c r="O639" s="15">
        <f t="shared" si="133"/>
        <v>0.4124</v>
      </c>
      <c r="P639" s="15">
        <f t="shared" si="134"/>
        <v>1.33044896420064</v>
      </c>
      <c r="Q639" s="15">
        <f t="shared" si="135"/>
        <v>0.52916631579947</v>
      </c>
      <c r="R639" s="7">
        <f t="shared" si="136"/>
        <v>0.0843168379047552</v>
      </c>
    </row>
    <row r="640" spans="1:18">
      <c r="A640" s="6">
        <v>2020</v>
      </c>
      <c r="B640" s="19" t="s">
        <v>37</v>
      </c>
      <c r="C640" s="6">
        <v>0.7415</v>
      </c>
      <c r="D640" s="6">
        <v>12624</v>
      </c>
      <c r="E640" s="6">
        <f t="shared" si="126"/>
        <v>9360.696</v>
      </c>
      <c r="F640" s="6">
        <f t="shared" si="137"/>
        <v>3263.304</v>
      </c>
      <c r="G640" s="15">
        <v>50256.9608800917</v>
      </c>
      <c r="H640" s="15">
        <v>20143.4301651968</v>
      </c>
      <c r="I640" s="15">
        <f t="shared" si="127"/>
        <v>470440132.682431</v>
      </c>
      <c r="J640" s="15">
        <f t="shared" si="128"/>
        <v>65734136.2318074</v>
      </c>
      <c r="K640" s="15">
        <f t="shared" si="129"/>
        <v>536174268.914238</v>
      </c>
      <c r="L640" s="15">
        <f t="shared" si="130"/>
        <v>0.877401546394757</v>
      </c>
      <c r="M640" s="15">
        <f t="shared" si="131"/>
        <v>0.122598453605243</v>
      </c>
      <c r="N640" s="15">
        <f t="shared" si="132"/>
        <v>0.7415</v>
      </c>
      <c r="O640" s="15">
        <f t="shared" si="133"/>
        <v>0.2585</v>
      </c>
      <c r="P640" s="15">
        <f t="shared" si="134"/>
        <v>1.18327922642584</v>
      </c>
      <c r="Q640" s="15">
        <f t="shared" si="135"/>
        <v>0.474268679323958</v>
      </c>
      <c r="R640" s="7">
        <f t="shared" si="136"/>
        <v>0.0562013943608752</v>
      </c>
    </row>
    <row r="641" spans="1:18">
      <c r="A641" s="6">
        <v>2020</v>
      </c>
      <c r="B641" s="19" t="s">
        <v>38</v>
      </c>
      <c r="C641" s="6">
        <v>0.542</v>
      </c>
      <c r="D641" s="6">
        <v>5019</v>
      </c>
      <c r="E641" s="6">
        <f t="shared" si="126"/>
        <v>2720.298</v>
      </c>
      <c r="F641" s="6">
        <f t="shared" si="137"/>
        <v>2298.702</v>
      </c>
      <c r="G641" s="15">
        <v>35859.3246850731</v>
      </c>
      <c r="H641" s="15">
        <v>14814.9312998886</v>
      </c>
      <c r="I641" s="15">
        <f t="shared" si="127"/>
        <v>97548049.222155</v>
      </c>
      <c r="J641" s="15">
        <f t="shared" si="128"/>
        <v>34055112.2089165</v>
      </c>
      <c r="K641" s="15">
        <f t="shared" si="129"/>
        <v>131603161.431072</v>
      </c>
      <c r="L641" s="15">
        <f t="shared" si="130"/>
        <v>0.741228768073682</v>
      </c>
      <c r="M641" s="15">
        <f t="shared" si="131"/>
        <v>0.258771231926318</v>
      </c>
      <c r="N641" s="15">
        <f t="shared" si="132"/>
        <v>0.542</v>
      </c>
      <c r="O641" s="15">
        <f t="shared" si="133"/>
        <v>0.458</v>
      </c>
      <c r="P641" s="15">
        <f t="shared" si="134"/>
        <v>1.36758075290347</v>
      </c>
      <c r="Q641" s="15">
        <f t="shared" si="135"/>
        <v>0.565002689795455</v>
      </c>
      <c r="R641" s="7">
        <f t="shared" si="136"/>
        <v>0.084297792851467</v>
      </c>
    </row>
    <row r="642" spans="1:18">
      <c r="A642" s="6">
        <v>2020</v>
      </c>
      <c r="B642" s="19" t="s">
        <v>39</v>
      </c>
      <c r="C642" s="6">
        <v>0.6027</v>
      </c>
      <c r="D642" s="6">
        <v>1012</v>
      </c>
      <c r="E642" s="6">
        <f t="shared" si="126"/>
        <v>609.9324</v>
      </c>
      <c r="F642" s="6">
        <f t="shared" si="137"/>
        <v>402.0676</v>
      </c>
      <c r="G642" s="15">
        <v>37096.9744156888</v>
      </c>
      <c r="H642" s="15">
        <v>16278.8348818815</v>
      </c>
      <c r="I642" s="15">
        <f t="shared" si="127"/>
        <v>22626646.6380997</v>
      </c>
      <c r="J642" s="15">
        <f t="shared" si="128"/>
        <v>6545192.07175438</v>
      </c>
      <c r="K642" s="15">
        <f t="shared" si="129"/>
        <v>29171838.709854</v>
      </c>
      <c r="L642" s="15">
        <f t="shared" si="130"/>
        <v>0.775633201017821</v>
      </c>
      <c r="M642" s="15">
        <f t="shared" si="131"/>
        <v>0.224366798982179</v>
      </c>
      <c r="N642" s="15">
        <f t="shared" si="132"/>
        <v>0.6027</v>
      </c>
      <c r="O642" s="15">
        <f t="shared" si="133"/>
        <v>0.3973</v>
      </c>
      <c r="P642" s="15">
        <f t="shared" si="134"/>
        <v>1.2869308130377</v>
      </c>
      <c r="Q642" s="15">
        <f t="shared" si="135"/>
        <v>0.564728917649583</v>
      </c>
      <c r="R642" s="7">
        <f t="shared" si="136"/>
        <v>0.0674560519820304</v>
      </c>
    </row>
    <row r="643" spans="1:18">
      <c r="A643" s="6">
        <v>2020</v>
      </c>
      <c r="B643" s="19" t="s">
        <v>40</v>
      </c>
      <c r="C643" s="6">
        <v>0.6946</v>
      </c>
      <c r="D643" s="6">
        <v>3209</v>
      </c>
      <c r="E643" s="6">
        <f t="shared" si="126"/>
        <v>2228.9714</v>
      </c>
      <c r="F643" s="6">
        <f t="shared" si="137"/>
        <v>980.0286</v>
      </c>
      <c r="G643" s="15">
        <v>40006.2153297277</v>
      </c>
      <c r="H643" s="15">
        <v>16361.3741515791</v>
      </c>
      <c r="I643" s="15">
        <f t="shared" si="127"/>
        <v>89172709.7922046</v>
      </c>
      <c r="J643" s="15">
        <f t="shared" si="128"/>
        <v>16034614.6038483</v>
      </c>
      <c r="K643" s="15">
        <f t="shared" si="129"/>
        <v>105207324.396053</v>
      </c>
      <c r="L643" s="15">
        <f t="shared" si="130"/>
        <v>0.847590320389805</v>
      </c>
      <c r="M643" s="15">
        <f t="shared" si="131"/>
        <v>0.152409679610195</v>
      </c>
      <c r="N643" s="15">
        <f t="shared" si="132"/>
        <v>0.6946</v>
      </c>
      <c r="O643" s="15">
        <f t="shared" si="133"/>
        <v>0.3054</v>
      </c>
      <c r="P643" s="15">
        <f t="shared" si="134"/>
        <v>1.22025672385518</v>
      </c>
      <c r="Q643" s="15">
        <f t="shared" si="135"/>
        <v>0.499049376588719</v>
      </c>
      <c r="R643" s="7">
        <f t="shared" si="136"/>
        <v>0.062790018282792</v>
      </c>
    </row>
    <row r="644" spans="1:18">
      <c r="A644" s="6">
        <v>2020</v>
      </c>
      <c r="B644" s="19" t="s">
        <v>41</v>
      </c>
      <c r="C644" s="6">
        <v>0.5673</v>
      </c>
      <c r="D644" s="6">
        <v>8371</v>
      </c>
      <c r="E644" s="6">
        <f t="shared" si="126"/>
        <v>4748.8683</v>
      </c>
      <c r="F644" s="6">
        <f t="shared" si="137"/>
        <v>3622.1317</v>
      </c>
      <c r="G644" s="15">
        <v>38253.1189357301</v>
      </c>
      <c r="H644" s="15">
        <v>15929.1189356273</v>
      </c>
      <c r="I644" s="15">
        <f t="shared" si="127"/>
        <v>181659023.890018</v>
      </c>
      <c r="J644" s="15">
        <f t="shared" si="128"/>
        <v>57697366.6498059</v>
      </c>
      <c r="K644" s="15">
        <f t="shared" si="129"/>
        <v>239356390.539824</v>
      </c>
      <c r="L644" s="15">
        <f t="shared" si="130"/>
        <v>0.758947874674747</v>
      </c>
      <c r="M644" s="15">
        <f t="shared" si="131"/>
        <v>0.241052125325253</v>
      </c>
      <c r="N644" s="15">
        <f t="shared" si="132"/>
        <v>0.5673</v>
      </c>
      <c r="O644" s="15">
        <f t="shared" si="133"/>
        <v>0.4327</v>
      </c>
      <c r="P644" s="15">
        <f t="shared" si="134"/>
        <v>1.33782456314956</v>
      </c>
      <c r="Q644" s="15">
        <f t="shared" si="135"/>
        <v>0.557088341403404</v>
      </c>
      <c r="R644" s="7">
        <f t="shared" si="136"/>
        <v>0.0798647842160833</v>
      </c>
    </row>
    <row r="645" spans="1:18">
      <c r="A645" s="6">
        <v>2020</v>
      </c>
      <c r="B645" s="19" t="s">
        <v>42</v>
      </c>
      <c r="C645" s="6">
        <v>0.5315</v>
      </c>
      <c r="D645" s="6">
        <v>3858</v>
      </c>
      <c r="E645" s="6">
        <f t="shared" si="126"/>
        <v>2050.527</v>
      </c>
      <c r="F645" s="6">
        <f t="shared" si="137"/>
        <v>1807.473</v>
      </c>
      <c r="G645" s="15">
        <v>36096.1946965907</v>
      </c>
      <c r="H645" s="15">
        <v>11642.3450295179</v>
      </c>
      <c r="I645" s="15">
        <f t="shared" si="127"/>
        <v>74016221.822616</v>
      </c>
      <c r="J645" s="15">
        <f t="shared" si="128"/>
        <v>21043224.2975378</v>
      </c>
      <c r="K645" s="15">
        <f t="shared" si="129"/>
        <v>95059446.1201538</v>
      </c>
      <c r="L645" s="15">
        <f t="shared" si="130"/>
        <v>0.778630897228883</v>
      </c>
      <c r="M645" s="15">
        <f t="shared" si="131"/>
        <v>0.221369102771117</v>
      </c>
      <c r="N645" s="15">
        <f t="shared" si="132"/>
        <v>0.5315</v>
      </c>
      <c r="O645" s="15">
        <f t="shared" si="133"/>
        <v>0.4685</v>
      </c>
      <c r="P645" s="15">
        <f t="shared" si="134"/>
        <v>1.46496876242499</v>
      </c>
      <c r="Q645" s="15">
        <f t="shared" si="135"/>
        <v>0.472506089159268</v>
      </c>
      <c r="R645" s="7">
        <f t="shared" si="136"/>
        <v>0.131346242849287</v>
      </c>
    </row>
    <row r="646" spans="1:18">
      <c r="A646" s="6">
        <v>2020</v>
      </c>
      <c r="B646" s="19" t="s">
        <v>43</v>
      </c>
      <c r="C646" s="6">
        <v>0.5005</v>
      </c>
      <c r="D646" s="6">
        <v>4722</v>
      </c>
      <c r="E646" s="6">
        <f t="shared" si="126"/>
        <v>2363.361</v>
      </c>
      <c r="F646" s="6">
        <f t="shared" si="137"/>
        <v>2358.639</v>
      </c>
      <c r="G646" s="15">
        <v>37499.5</v>
      </c>
      <c r="H646" s="15">
        <v>12841.9425384699</v>
      </c>
      <c r="I646" s="15">
        <f t="shared" si="127"/>
        <v>88624855.8195</v>
      </c>
      <c r="J646" s="15">
        <f t="shared" si="128"/>
        <v>30289506.5069941</v>
      </c>
      <c r="K646" s="15">
        <f t="shared" si="129"/>
        <v>118914362.326494</v>
      </c>
      <c r="L646" s="15">
        <f t="shared" si="130"/>
        <v>0.745283026251862</v>
      </c>
      <c r="M646" s="15">
        <f t="shared" si="131"/>
        <v>0.254716973748137</v>
      </c>
      <c r="N646" s="15">
        <f t="shared" si="132"/>
        <v>0.5005</v>
      </c>
      <c r="O646" s="15">
        <f t="shared" si="133"/>
        <v>0.4995</v>
      </c>
      <c r="P646" s="15">
        <f t="shared" si="134"/>
        <v>1.4890769755282</v>
      </c>
      <c r="Q646" s="15">
        <f t="shared" si="135"/>
        <v>0.509943891387663</v>
      </c>
      <c r="R646" s="7">
        <f t="shared" si="136"/>
        <v>0.125198931244594</v>
      </c>
    </row>
    <row r="647" spans="1:18">
      <c r="A647" s="6">
        <v>2020</v>
      </c>
      <c r="B647" s="19" t="s">
        <v>44</v>
      </c>
      <c r="C647" s="6">
        <v>0.3573</v>
      </c>
      <c r="D647" s="6">
        <v>366</v>
      </c>
      <c r="E647" s="6">
        <f t="shared" si="126"/>
        <v>130.7718</v>
      </c>
      <c r="F647" s="6">
        <f t="shared" si="137"/>
        <v>235.2282</v>
      </c>
      <c r="G647" s="15">
        <v>41156.4495509136</v>
      </c>
      <c r="H647" s="15">
        <v>14598.4483681139</v>
      </c>
      <c r="I647" s="15">
        <f t="shared" si="127"/>
        <v>5382102.98938216</v>
      </c>
      <c r="J647" s="15">
        <f t="shared" si="128"/>
        <v>3433966.73242437</v>
      </c>
      <c r="K647" s="15">
        <f t="shared" si="129"/>
        <v>8816069.72180653</v>
      </c>
      <c r="L647" s="15">
        <f t="shared" si="130"/>
        <v>0.610487797762028</v>
      </c>
      <c r="M647" s="15">
        <f t="shared" si="131"/>
        <v>0.389512202237972</v>
      </c>
      <c r="N647" s="15">
        <f t="shared" si="132"/>
        <v>0.3573</v>
      </c>
      <c r="O647" s="15">
        <f t="shared" si="133"/>
        <v>0.6427</v>
      </c>
      <c r="P647" s="15">
        <f t="shared" si="134"/>
        <v>1.70861404355451</v>
      </c>
      <c r="Q647" s="15">
        <f t="shared" si="135"/>
        <v>0.606056017174377</v>
      </c>
      <c r="R647" s="7">
        <f t="shared" si="136"/>
        <v>0.131966620289388</v>
      </c>
    </row>
    <row r="648" spans="1:18">
      <c r="A648" s="6">
        <v>2020</v>
      </c>
      <c r="B648" s="19" t="s">
        <v>45</v>
      </c>
      <c r="C648" s="6">
        <v>0.6266</v>
      </c>
      <c r="D648" s="6">
        <v>3955</v>
      </c>
      <c r="E648" s="6">
        <f t="shared" si="126"/>
        <v>2478.203</v>
      </c>
      <c r="F648" s="6">
        <f t="shared" si="137"/>
        <v>1476.797</v>
      </c>
      <c r="G648" s="15">
        <v>37868.1587179904</v>
      </c>
      <c r="H648" s="15">
        <v>13316.4759534332</v>
      </c>
      <c r="I648" s="15">
        <f t="shared" si="127"/>
        <v>93844984.5394</v>
      </c>
      <c r="J648" s="15">
        <f t="shared" si="128"/>
        <v>19665731.7386023</v>
      </c>
      <c r="K648" s="15">
        <f t="shared" si="129"/>
        <v>113510716.278002</v>
      </c>
      <c r="L648" s="15">
        <f t="shared" si="130"/>
        <v>0.826749998736345</v>
      </c>
      <c r="M648" s="15">
        <f t="shared" si="131"/>
        <v>0.173250001263655</v>
      </c>
      <c r="N648" s="15">
        <f t="shared" si="132"/>
        <v>0.6266</v>
      </c>
      <c r="O648" s="15">
        <f t="shared" si="133"/>
        <v>0.3734</v>
      </c>
      <c r="P648" s="15">
        <f t="shared" si="134"/>
        <v>1.31942227694916</v>
      </c>
      <c r="Q648" s="15">
        <f t="shared" si="135"/>
        <v>0.463979649875884</v>
      </c>
      <c r="R648" s="7">
        <f t="shared" si="136"/>
        <v>0.0961289128975728</v>
      </c>
    </row>
    <row r="649" spans="1:18">
      <c r="A649" s="6">
        <v>2020</v>
      </c>
      <c r="B649" s="19" t="s">
        <v>46</v>
      </c>
      <c r="C649" s="6">
        <v>0.5223</v>
      </c>
      <c r="D649" s="6">
        <v>2501</v>
      </c>
      <c r="E649" s="6">
        <f t="shared" si="126"/>
        <v>1306.2723</v>
      </c>
      <c r="F649" s="6">
        <f t="shared" si="137"/>
        <v>1194.7277</v>
      </c>
      <c r="G649" s="15">
        <v>33821.8273320874</v>
      </c>
      <c r="H649" s="15">
        <v>10344.3037689227</v>
      </c>
      <c r="I649" s="15">
        <f t="shared" si="127"/>
        <v>44180516.1792887</v>
      </c>
      <c r="J649" s="15">
        <f t="shared" si="128"/>
        <v>12358626.2499464</v>
      </c>
      <c r="K649" s="15">
        <f t="shared" si="129"/>
        <v>56539142.429235</v>
      </c>
      <c r="L649" s="15">
        <f t="shared" si="130"/>
        <v>0.781414685137566</v>
      </c>
      <c r="M649" s="15">
        <f t="shared" si="131"/>
        <v>0.218585314862434</v>
      </c>
      <c r="N649" s="15">
        <f t="shared" si="132"/>
        <v>0.5223</v>
      </c>
      <c r="O649" s="15">
        <f t="shared" si="133"/>
        <v>0.4777</v>
      </c>
      <c r="P649" s="15">
        <f t="shared" si="134"/>
        <v>1.49610316894039</v>
      </c>
      <c r="Q649" s="15">
        <f t="shared" si="135"/>
        <v>0.457578636932037</v>
      </c>
      <c r="R649" s="7">
        <f t="shared" si="136"/>
        <v>0.143912295540213</v>
      </c>
    </row>
    <row r="650" spans="1:18">
      <c r="A650" s="6">
        <v>2020</v>
      </c>
      <c r="B650" s="19" t="s">
        <v>47</v>
      </c>
      <c r="C650" s="6">
        <v>0.6008</v>
      </c>
      <c r="D650" s="6">
        <v>593</v>
      </c>
      <c r="E650" s="6">
        <f t="shared" si="126"/>
        <v>356.2744</v>
      </c>
      <c r="F650" s="6">
        <f t="shared" si="137"/>
        <v>236.7256</v>
      </c>
      <c r="G650" s="15">
        <v>35505.7901296737</v>
      </c>
      <c r="H650" s="15">
        <v>12342.4700539646</v>
      </c>
      <c r="I650" s="15">
        <f t="shared" si="127"/>
        <v>12649804.0749754</v>
      </c>
      <c r="J650" s="15">
        <f t="shared" si="128"/>
        <v>2921778.6290068</v>
      </c>
      <c r="K650" s="15">
        <f t="shared" si="129"/>
        <v>15571582.7039822</v>
      </c>
      <c r="L650" s="15">
        <f t="shared" si="130"/>
        <v>0.812364697632207</v>
      </c>
      <c r="M650" s="15">
        <f t="shared" si="131"/>
        <v>0.187635302367793</v>
      </c>
      <c r="N650" s="15">
        <f t="shared" si="132"/>
        <v>0.6008</v>
      </c>
      <c r="O650" s="15">
        <f t="shared" si="133"/>
        <v>0.3992</v>
      </c>
      <c r="P650" s="15">
        <f t="shared" si="134"/>
        <v>1.35213831163816</v>
      </c>
      <c r="Q650" s="15">
        <f t="shared" si="135"/>
        <v>0.470028312544572</v>
      </c>
      <c r="R650" s="7">
        <f t="shared" si="136"/>
        <v>0.103422502850572</v>
      </c>
    </row>
    <row r="651" spans="1:18">
      <c r="A651" s="6">
        <v>2020</v>
      </c>
      <c r="B651" s="19" t="s">
        <v>48</v>
      </c>
      <c r="C651" s="6">
        <v>0.6496</v>
      </c>
      <c r="D651" s="6">
        <v>721</v>
      </c>
      <c r="E651" s="6">
        <f t="shared" si="126"/>
        <v>468.3616</v>
      </c>
      <c r="F651" s="6">
        <f t="shared" si="137"/>
        <v>252.6384</v>
      </c>
      <c r="G651" s="15">
        <v>35719.6494502666</v>
      </c>
      <c r="H651" s="15">
        <v>13889.3703142313</v>
      </c>
      <c r="I651" s="15">
        <f t="shared" si="127"/>
        <v>16729712.167966</v>
      </c>
      <c r="J651" s="15">
        <f t="shared" si="128"/>
        <v>3508988.29319489</v>
      </c>
      <c r="K651" s="15">
        <f t="shared" si="129"/>
        <v>20238700.4611609</v>
      </c>
      <c r="L651" s="15">
        <f t="shared" si="130"/>
        <v>0.826619881057639</v>
      </c>
      <c r="M651" s="15">
        <f t="shared" si="131"/>
        <v>0.173380118942361</v>
      </c>
      <c r="N651" s="15">
        <f t="shared" si="132"/>
        <v>0.6496</v>
      </c>
      <c r="O651" s="15">
        <f t="shared" si="133"/>
        <v>0.3504</v>
      </c>
      <c r="P651" s="15">
        <f t="shared" si="134"/>
        <v>1.27250597453454</v>
      </c>
      <c r="Q651" s="15">
        <f t="shared" si="135"/>
        <v>0.494806275520437</v>
      </c>
      <c r="R651" s="7">
        <f t="shared" si="136"/>
        <v>0.0772172711056111</v>
      </c>
    </row>
    <row r="652" spans="1:18">
      <c r="A652" s="6">
        <v>2020</v>
      </c>
      <c r="B652" s="19" t="s">
        <v>49</v>
      </c>
      <c r="C652" s="6">
        <v>0.5653</v>
      </c>
      <c r="D652" s="6">
        <v>2590</v>
      </c>
      <c r="E652" s="6">
        <f t="shared" si="126"/>
        <v>1464.127</v>
      </c>
      <c r="F652" s="6">
        <f t="shared" si="137"/>
        <v>1125.873</v>
      </c>
      <c r="G652" s="15">
        <v>34838.3894624575</v>
      </c>
      <c r="H652" s="15">
        <v>14056.052307255</v>
      </c>
      <c r="I652" s="15">
        <f t="shared" si="127"/>
        <v>51007826.6484995</v>
      </c>
      <c r="J652" s="15">
        <f t="shared" si="128"/>
        <v>15825329.7793261</v>
      </c>
      <c r="K652" s="15">
        <f t="shared" si="129"/>
        <v>66833156.4278256</v>
      </c>
      <c r="L652" s="15">
        <f t="shared" si="130"/>
        <v>0.763211396480785</v>
      </c>
      <c r="M652" s="15">
        <f t="shared" si="131"/>
        <v>0.236788603519216</v>
      </c>
      <c r="N652" s="15">
        <f t="shared" si="132"/>
        <v>0.5653</v>
      </c>
      <c r="O652" s="15">
        <f t="shared" si="133"/>
        <v>0.4347</v>
      </c>
      <c r="P652" s="15">
        <f t="shared" si="134"/>
        <v>1.35009976380822</v>
      </c>
      <c r="Q652" s="15">
        <f t="shared" si="135"/>
        <v>0.544717284378228</v>
      </c>
      <c r="R652" s="7">
        <f t="shared" si="136"/>
        <v>0.0852533224888792</v>
      </c>
    </row>
    <row r="653" spans="1:18">
      <c r="A653" s="6">
        <v>2021</v>
      </c>
      <c r="B653" s="19" t="s">
        <v>19</v>
      </c>
      <c r="C653" s="6">
        <v>0.875</v>
      </c>
      <c r="D653" s="6">
        <v>2189</v>
      </c>
      <c r="E653" s="6">
        <f t="shared" si="126"/>
        <v>1915.375</v>
      </c>
      <c r="F653" s="6">
        <f t="shared" si="137"/>
        <v>273.625</v>
      </c>
      <c r="G653" s="15">
        <v>81517.5</v>
      </c>
      <c r="H653" s="15">
        <v>33302.7</v>
      </c>
      <c r="I653" s="15">
        <f t="shared" si="127"/>
        <v>156136581.5625</v>
      </c>
      <c r="J653" s="15">
        <f t="shared" si="128"/>
        <v>9112451.2875</v>
      </c>
      <c r="K653" s="15">
        <f t="shared" si="129"/>
        <v>165249032.85</v>
      </c>
      <c r="L653" s="15">
        <f t="shared" si="130"/>
        <v>0.944856250409819</v>
      </c>
      <c r="M653" s="15">
        <f t="shared" si="131"/>
        <v>0.055143749590181</v>
      </c>
      <c r="N653" s="15">
        <f t="shared" si="132"/>
        <v>0.875</v>
      </c>
      <c r="O653" s="15">
        <f t="shared" si="133"/>
        <v>0.125</v>
      </c>
      <c r="P653" s="15">
        <f t="shared" si="134"/>
        <v>1.07983571475408</v>
      </c>
      <c r="Q653" s="15">
        <f t="shared" si="135"/>
        <v>0.441149996721448</v>
      </c>
      <c r="R653" s="7">
        <f t="shared" si="136"/>
        <v>0.0274453733982251</v>
      </c>
    </row>
    <row r="654" spans="1:18">
      <c r="A654" s="6">
        <v>2021</v>
      </c>
      <c r="B654" s="19" t="s">
        <v>20</v>
      </c>
      <c r="C654" s="6">
        <v>0.8488</v>
      </c>
      <c r="D654" s="6">
        <v>1373</v>
      </c>
      <c r="E654" s="6">
        <f t="shared" si="126"/>
        <v>1165.4024</v>
      </c>
      <c r="F654" s="6">
        <f t="shared" si="137"/>
        <v>207.5976</v>
      </c>
      <c r="G654" s="15">
        <v>51485.7</v>
      </c>
      <c r="H654" s="15">
        <v>27954.5</v>
      </c>
      <c r="I654" s="15">
        <f t="shared" si="127"/>
        <v>60001558.34568</v>
      </c>
      <c r="J654" s="15">
        <f t="shared" si="128"/>
        <v>5803287.1092</v>
      </c>
      <c r="K654" s="15">
        <f t="shared" si="129"/>
        <v>65804845.45488</v>
      </c>
      <c r="L654" s="15">
        <f t="shared" si="130"/>
        <v>0.911810641464402</v>
      </c>
      <c r="M654" s="15">
        <f t="shared" si="131"/>
        <v>0.0881893585355976</v>
      </c>
      <c r="N654" s="15">
        <f t="shared" si="132"/>
        <v>0.8488</v>
      </c>
      <c r="O654" s="15">
        <f t="shared" si="133"/>
        <v>0.1512</v>
      </c>
      <c r="P654" s="15">
        <f t="shared" si="134"/>
        <v>1.07423496873751</v>
      </c>
      <c r="Q654" s="15">
        <f t="shared" si="135"/>
        <v>0.583262953277762</v>
      </c>
      <c r="R654" s="7">
        <f t="shared" si="136"/>
        <v>0.0177492249305829</v>
      </c>
    </row>
    <row r="655" spans="1:18">
      <c r="A655" s="6">
        <v>2021</v>
      </c>
      <c r="B655" s="19" t="s">
        <v>21</v>
      </c>
      <c r="C655" s="6">
        <v>0.6114</v>
      </c>
      <c r="D655" s="6">
        <v>7448</v>
      </c>
      <c r="E655" s="6">
        <f t="shared" si="126"/>
        <v>4553.7072</v>
      </c>
      <c r="F655" s="6">
        <f t="shared" si="137"/>
        <v>2894.2928</v>
      </c>
      <c r="G655" s="15">
        <v>39791</v>
      </c>
      <c r="H655" s="15">
        <v>18178.9</v>
      </c>
      <c r="I655" s="15">
        <f t="shared" si="127"/>
        <v>181196563.1952</v>
      </c>
      <c r="J655" s="15">
        <f t="shared" si="128"/>
        <v>52615059.38192</v>
      </c>
      <c r="K655" s="15">
        <f t="shared" si="129"/>
        <v>233811622.57712</v>
      </c>
      <c r="L655" s="15">
        <f t="shared" si="130"/>
        <v>0.774968161111984</v>
      </c>
      <c r="M655" s="15">
        <f t="shared" si="131"/>
        <v>0.225031838888016</v>
      </c>
      <c r="N655" s="15">
        <f t="shared" si="132"/>
        <v>0.6114</v>
      </c>
      <c r="O655" s="15">
        <f t="shared" si="133"/>
        <v>0.3886</v>
      </c>
      <c r="P655" s="15">
        <f t="shared" si="134"/>
        <v>1.26753052193651</v>
      </c>
      <c r="Q655" s="15">
        <f t="shared" si="135"/>
        <v>0.579083476294431</v>
      </c>
      <c r="R655" s="7">
        <f t="shared" si="136"/>
        <v>0.0607852802752707</v>
      </c>
    </row>
    <row r="656" spans="1:18">
      <c r="A656" s="6">
        <v>2021</v>
      </c>
      <c r="B656" s="19" t="s">
        <v>22</v>
      </c>
      <c r="C656" s="6">
        <v>0.6342</v>
      </c>
      <c r="D656" s="6">
        <v>3480</v>
      </c>
      <c r="E656" s="6">
        <f t="shared" si="126"/>
        <v>2207.016</v>
      </c>
      <c r="F656" s="6">
        <f t="shared" si="137"/>
        <v>1272.984</v>
      </c>
      <c r="G656" s="15">
        <v>37433.1</v>
      </c>
      <c r="H656" s="15">
        <v>15308.3</v>
      </c>
      <c r="I656" s="15">
        <f t="shared" si="127"/>
        <v>82615450.6296</v>
      </c>
      <c r="J656" s="15">
        <f t="shared" si="128"/>
        <v>19487220.9672</v>
      </c>
      <c r="K656" s="15">
        <f t="shared" si="129"/>
        <v>102102671.5968</v>
      </c>
      <c r="L656" s="15">
        <f t="shared" si="130"/>
        <v>0.809140929787279</v>
      </c>
      <c r="M656" s="15">
        <f t="shared" si="131"/>
        <v>0.190859070212721</v>
      </c>
      <c r="N656" s="15">
        <f t="shared" si="132"/>
        <v>0.6342</v>
      </c>
      <c r="O656" s="15">
        <f t="shared" si="133"/>
        <v>0.3658</v>
      </c>
      <c r="P656" s="15">
        <f t="shared" si="134"/>
        <v>1.27584504854506</v>
      </c>
      <c r="Q656" s="15">
        <f t="shared" si="135"/>
        <v>0.521757983085622</v>
      </c>
      <c r="R656" s="7">
        <f t="shared" si="136"/>
        <v>0.0729501626583698</v>
      </c>
    </row>
    <row r="657" spans="1:18">
      <c r="A657" s="6">
        <v>2021</v>
      </c>
      <c r="B657" s="19" t="s">
        <v>23</v>
      </c>
      <c r="C657" s="6">
        <v>0.6821</v>
      </c>
      <c r="D657" s="6">
        <v>2400</v>
      </c>
      <c r="E657" s="6">
        <f t="shared" si="126"/>
        <v>1637.04</v>
      </c>
      <c r="F657" s="6">
        <f t="shared" si="137"/>
        <v>762.96</v>
      </c>
      <c r="G657" s="15">
        <v>44376.9</v>
      </c>
      <c r="H657" s="15">
        <v>18336.8</v>
      </c>
      <c r="I657" s="15">
        <f t="shared" si="127"/>
        <v>72646760.376</v>
      </c>
      <c r="J657" s="15">
        <f t="shared" si="128"/>
        <v>13990244.928</v>
      </c>
      <c r="K657" s="15">
        <f t="shared" si="129"/>
        <v>86637005.304</v>
      </c>
      <c r="L657" s="15">
        <f t="shared" si="130"/>
        <v>0.838518830620822</v>
      </c>
      <c r="M657" s="15">
        <f t="shared" si="131"/>
        <v>0.161481169379178</v>
      </c>
      <c r="N657" s="15">
        <f t="shared" si="132"/>
        <v>0.6821</v>
      </c>
      <c r="O657" s="15">
        <f t="shared" si="133"/>
        <v>0.3179</v>
      </c>
      <c r="P657" s="15">
        <f t="shared" si="134"/>
        <v>1.2293194995174</v>
      </c>
      <c r="Q657" s="15">
        <f t="shared" si="135"/>
        <v>0.507962155958409</v>
      </c>
      <c r="R657" s="7">
        <f t="shared" si="136"/>
        <v>0.0637422378223391</v>
      </c>
    </row>
    <row r="658" spans="1:18">
      <c r="A658" s="6">
        <v>2021</v>
      </c>
      <c r="B658" s="19" t="s">
        <v>24</v>
      </c>
      <c r="C658" s="6">
        <v>0.7281</v>
      </c>
      <c r="D658" s="6">
        <v>4229</v>
      </c>
      <c r="E658" s="6">
        <f t="shared" si="126"/>
        <v>3079.1349</v>
      </c>
      <c r="F658" s="6">
        <f t="shared" si="137"/>
        <v>1149.8651</v>
      </c>
      <c r="G658" s="15">
        <v>43050.8</v>
      </c>
      <c r="H658" s="15">
        <v>19216.6</v>
      </c>
      <c r="I658" s="15">
        <f t="shared" si="127"/>
        <v>132559220.75292</v>
      </c>
      <c r="J658" s="15">
        <f t="shared" si="128"/>
        <v>22096497.68066</v>
      </c>
      <c r="K658" s="15">
        <f t="shared" si="129"/>
        <v>154655718.43358</v>
      </c>
      <c r="L658" s="15">
        <f t="shared" si="130"/>
        <v>0.857124599694968</v>
      </c>
      <c r="M658" s="15">
        <f t="shared" si="131"/>
        <v>0.142875400305032</v>
      </c>
      <c r="N658" s="15">
        <f t="shared" si="132"/>
        <v>0.7281</v>
      </c>
      <c r="O658" s="15">
        <f t="shared" si="133"/>
        <v>0.2719</v>
      </c>
      <c r="P658" s="15">
        <f t="shared" si="134"/>
        <v>1.17720725133219</v>
      </c>
      <c r="Q658" s="15">
        <f t="shared" si="135"/>
        <v>0.525470394648884</v>
      </c>
      <c r="R658" s="7">
        <f t="shared" si="136"/>
        <v>0.0479006956108488</v>
      </c>
    </row>
    <row r="659" spans="1:18">
      <c r="A659" s="6">
        <v>2021</v>
      </c>
      <c r="B659" s="19" t="s">
        <v>25</v>
      </c>
      <c r="C659" s="6">
        <v>0.6336</v>
      </c>
      <c r="D659" s="6">
        <v>2375</v>
      </c>
      <c r="E659" s="6">
        <f t="shared" si="126"/>
        <v>1504.8</v>
      </c>
      <c r="F659" s="6">
        <f t="shared" si="137"/>
        <v>870.2</v>
      </c>
      <c r="G659" s="15">
        <v>35645.8</v>
      </c>
      <c r="H659" s="15">
        <v>17641.7</v>
      </c>
      <c r="I659" s="15">
        <f t="shared" si="127"/>
        <v>53639799.84</v>
      </c>
      <c r="J659" s="15">
        <f t="shared" si="128"/>
        <v>15351807.34</v>
      </c>
      <c r="K659" s="15">
        <f t="shared" si="129"/>
        <v>68991607.18</v>
      </c>
      <c r="L659" s="15">
        <f t="shared" si="130"/>
        <v>0.777482972675982</v>
      </c>
      <c r="M659" s="15">
        <f t="shared" si="131"/>
        <v>0.222517027324018</v>
      </c>
      <c r="N659" s="15">
        <f t="shared" si="132"/>
        <v>0.6336</v>
      </c>
      <c r="O659" s="15">
        <f t="shared" si="133"/>
        <v>0.3664</v>
      </c>
      <c r="P659" s="15">
        <f t="shared" si="134"/>
        <v>1.22708802505679</v>
      </c>
      <c r="Q659" s="15">
        <f t="shared" si="135"/>
        <v>0.607306297281709</v>
      </c>
      <c r="R659" s="7">
        <f t="shared" si="136"/>
        <v>0.0481330117947975</v>
      </c>
    </row>
    <row r="660" spans="1:18">
      <c r="A660" s="6">
        <v>2021</v>
      </c>
      <c r="B660" s="19" t="s">
        <v>26</v>
      </c>
      <c r="C660" s="6">
        <v>0.6569</v>
      </c>
      <c r="D660" s="6">
        <v>3125</v>
      </c>
      <c r="E660" s="6">
        <f t="shared" si="126"/>
        <v>2052.8125</v>
      </c>
      <c r="F660" s="6">
        <f t="shared" si="137"/>
        <v>1072.1875</v>
      </c>
      <c r="G660" s="15">
        <v>33646.1</v>
      </c>
      <c r="H660" s="15">
        <v>17889.3</v>
      </c>
      <c r="I660" s="15">
        <f t="shared" si="127"/>
        <v>69069134.65625</v>
      </c>
      <c r="J660" s="15">
        <f t="shared" si="128"/>
        <v>19180683.84375</v>
      </c>
      <c r="K660" s="15">
        <f t="shared" si="129"/>
        <v>88249818.5</v>
      </c>
      <c r="L660" s="15">
        <f t="shared" si="130"/>
        <v>0.782654693575942</v>
      </c>
      <c r="M660" s="15">
        <f t="shared" si="131"/>
        <v>0.217345306424058</v>
      </c>
      <c r="N660" s="15">
        <f t="shared" si="132"/>
        <v>0.6569</v>
      </c>
      <c r="O660" s="15">
        <f t="shared" si="133"/>
        <v>0.3431</v>
      </c>
      <c r="P660" s="15">
        <f t="shared" si="134"/>
        <v>1.191436586354</v>
      </c>
      <c r="Q660" s="15">
        <f t="shared" si="135"/>
        <v>0.633475098875133</v>
      </c>
      <c r="R660" s="7">
        <f t="shared" si="136"/>
        <v>0.0378639854993585</v>
      </c>
    </row>
    <row r="661" spans="1:18">
      <c r="A661" s="6">
        <v>2021</v>
      </c>
      <c r="B661" s="19" t="s">
        <v>27</v>
      </c>
      <c r="C661" s="6">
        <v>0.893</v>
      </c>
      <c r="D661" s="6">
        <v>2489</v>
      </c>
      <c r="E661" s="6">
        <f t="shared" si="126"/>
        <v>2222.677</v>
      </c>
      <c r="F661" s="6">
        <f t="shared" si="137"/>
        <v>266.323</v>
      </c>
      <c r="G661" s="15">
        <v>82428.9</v>
      </c>
      <c r="H661" s="15">
        <v>38520.7</v>
      </c>
      <c r="I661" s="15">
        <f t="shared" si="127"/>
        <v>183212820.1653</v>
      </c>
      <c r="J661" s="15">
        <f t="shared" si="128"/>
        <v>10258948.3861</v>
      </c>
      <c r="K661" s="15">
        <f t="shared" si="129"/>
        <v>193471768.5514</v>
      </c>
      <c r="L661" s="15">
        <f t="shared" si="130"/>
        <v>0.946974442509557</v>
      </c>
      <c r="M661" s="15">
        <f t="shared" si="131"/>
        <v>0.0530255574904433</v>
      </c>
      <c r="N661" s="15">
        <f t="shared" si="132"/>
        <v>0.893</v>
      </c>
      <c r="O661" s="15">
        <f t="shared" si="133"/>
        <v>0.107</v>
      </c>
      <c r="P661" s="15">
        <f t="shared" si="134"/>
        <v>1.06044170493791</v>
      </c>
      <c r="Q661" s="15">
        <f t="shared" si="135"/>
        <v>0.49556595785461</v>
      </c>
      <c r="R661" s="7">
        <f t="shared" si="136"/>
        <v>0.0183468432298479</v>
      </c>
    </row>
    <row r="662" spans="1:18">
      <c r="A662" s="6">
        <v>2021</v>
      </c>
      <c r="B662" s="19" t="s">
        <v>28</v>
      </c>
      <c r="C662" s="6">
        <v>0.7394</v>
      </c>
      <c r="D662" s="6">
        <v>8505</v>
      </c>
      <c r="E662" s="6">
        <f t="shared" si="126"/>
        <v>6288.597</v>
      </c>
      <c r="F662" s="6">
        <f t="shared" si="137"/>
        <v>2216.403</v>
      </c>
      <c r="G662" s="15">
        <v>57743.5</v>
      </c>
      <c r="H662" s="15">
        <v>26790.8</v>
      </c>
      <c r="I662" s="15">
        <f t="shared" si="127"/>
        <v>363125600.8695</v>
      </c>
      <c r="J662" s="15">
        <f t="shared" si="128"/>
        <v>59379209.4924</v>
      </c>
      <c r="K662" s="15">
        <f t="shared" si="129"/>
        <v>422504810.3619</v>
      </c>
      <c r="L662" s="15">
        <f t="shared" si="130"/>
        <v>0.859459092450242</v>
      </c>
      <c r="M662" s="15">
        <f t="shared" si="131"/>
        <v>0.140540907549758</v>
      </c>
      <c r="N662" s="15">
        <f t="shared" si="132"/>
        <v>0.7394</v>
      </c>
      <c r="O662" s="15">
        <f t="shared" si="133"/>
        <v>0.2606</v>
      </c>
      <c r="P662" s="15">
        <f t="shared" si="134"/>
        <v>1.16237367115261</v>
      </c>
      <c r="Q662" s="15">
        <f t="shared" si="135"/>
        <v>0.539297419607668</v>
      </c>
      <c r="R662" s="7">
        <f t="shared" si="136"/>
        <v>0.0425354772777751</v>
      </c>
    </row>
    <row r="663" spans="1:18">
      <c r="A663" s="6">
        <v>2021</v>
      </c>
      <c r="B663" s="19" t="s">
        <v>29</v>
      </c>
      <c r="C663" s="6">
        <v>0.7266</v>
      </c>
      <c r="D663" s="6">
        <v>6540</v>
      </c>
      <c r="E663" s="6">
        <f t="shared" si="126"/>
        <v>4751.964</v>
      </c>
      <c r="F663" s="6">
        <f t="shared" si="137"/>
        <v>1788.036</v>
      </c>
      <c r="G663" s="15">
        <v>68486.8</v>
      </c>
      <c r="H663" s="15">
        <v>35247.4</v>
      </c>
      <c r="I663" s="15">
        <f t="shared" si="127"/>
        <v>325446808.0752</v>
      </c>
      <c r="J663" s="15">
        <f t="shared" si="128"/>
        <v>63023620.1064</v>
      </c>
      <c r="K663" s="15">
        <f t="shared" si="129"/>
        <v>388470428.1816</v>
      </c>
      <c r="L663" s="15">
        <f t="shared" si="130"/>
        <v>0.837764690606158</v>
      </c>
      <c r="M663" s="15">
        <f t="shared" si="131"/>
        <v>0.162235309393842</v>
      </c>
      <c r="N663" s="15">
        <f t="shared" si="132"/>
        <v>0.7266</v>
      </c>
      <c r="O663" s="15">
        <f t="shared" si="133"/>
        <v>0.2734</v>
      </c>
      <c r="P663" s="15">
        <f t="shared" si="134"/>
        <v>1.15299296807894</v>
      </c>
      <c r="Q663" s="15">
        <f t="shared" si="135"/>
        <v>0.593399083371769</v>
      </c>
      <c r="R663" s="7">
        <f t="shared" si="136"/>
        <v>0.0345964585299415</v>
      </c>
    </row>
    <row r="664" spans="1:18">
      <c r="A664" s="6">
        <v>2021</v>
      </c>
      <c r="B664" s="19" t="s">
        <v>30</v>
      </c>
      <c r="C664" s="6">
        <v>0.5939</v>
      </c>
      <c r="D664" s="6">
        <v>6113</v>
      </c>
      <c r="E664" s="6">
        <f t="shared" ref="E664:E684" si="138">C664*D664</f>
        <v>3630.5107</v>
      </c>
      <c r="F664" s="6">
        <f t="shared" si="137"/>
        <v>2482.4893</v>
      </c>
      <c r="G664" s="15">
        <v>43008.7</v>
      </c>
      <c r="H664" s="15">
        <v>18371.7</v>
      </c>
      <c r="I664" s="15">
        <f t="shared" si="127"/>
        <v>156143545.54309</v>
      </c>
      <c r="J664" s="15">
        <f t="shared" si="128"/>
        <v>45607548.67281</v>
      </c>
      <c r="K664" s="15">
        <f t="shared" si="129"/>
        <v>201751094.2159</v>
      </c>
      <c r="L664" s="15">
        <f t="shared" si="130"/>
        <v>0.773941505249017</v>
      </c>
      <c r="M664" s="15">
        <f t="shared" si="131"/>
        <v>0.226058494750982</v>
      </c>
      <c r="N664" s="15">
        <f t="shared" si="132"/>
        <v>0.5939</v>
      </c>
      <c r="O664" s="15">
        <f t="shared" si="133"/>
        <v>0.4061</v>
      </c>
      <c r="P664" s="15">
        <f t="shared" si="134"/>
        <v>1.3031512127446</v>
      </c>
      <c r="Q664" s="15">
        <f t="shared" si="135"/>
        <v>0.556657214358489</v>
      </c>
      <c r="R664" s="7">
        <f t="shared" si="136"/>
        <v>0.0725020236797183</v>
      </c>
    </row>
    <row r="665" spans="1:18">
      <c r="A665" s="6">
        <v>2021</v>
      </c>
      <c r="B665" s="19" t="s">
        <v>31</v>
      </c>
      <c r="C665" s="6">
        <v>0.697</v>
      </c>
      <c r="D665" s="6">
        <v>4187</v>
      </c>
      <c r="E665" s="6">
        <f t="shared" si="138"/>
        <v>2918.339</v>
      </c>
      <c r="F665" s="6">
        <f t="shared" si="137"/>
        <v>1268.661</v>
      </c>
      <c r="G665" s="15">
        <v>51140.5</v>
      </c>
      <c r="H665" s="15">
        <v>23228.9</v>
      </c>
      <c r="I665" s="15">
        <f t="shared" si="127"/>
        <v>149245315.6295</v>
      </c>
      <c r="J665" s="15">
        <f t="shared" si="128"/>
        <v>29469599.5029</v>
      </c>
      <c r="K665" s="15">
        <f t="shared" si="129"/>
        <v>178714915.1324</v>
      </c>
      <c r="L665" s="15">
        <f t="shared" si="130"/>
        <v>0.835102741810511</v>
      </c>
      <c r="M665" s="15">
        <f t="shared" si="131"/>
        <v>0.164897258189489</v>
      </c>
      <c r="N665" s="15">
        <f t="shared" si="132"/>
        <v>0.697</v>
      </c>
      <c r="O665" s="15">
        <f t="shared" si="133"/>
        <v>0.303</v>
      </c>
      <c r="P665" s="15">
        <f t="shared" si="134"/>
        <v>1.19813879743258</v>
      </c>
      <c r="Q665" s="15">
        <f t="shared" si="135"/>
        <v>0.54421537356267</v>
      </c>
      <c r="R665" s="7">
        <f t="shared" si="136"/>
        <v>0.0506358059649857</v>
      </c>
    </row>
    <row r="666" spans="1:18">
      <c r="A666" s="6">
        <v>2021</v>
      </c>
      <c r="B666" s="19" t="s">
        <v>32</v>
      </c>
      <c r="C666" s="6">
        <v>0.6146</v>
      </c>
      <c r="D666" s="6">
        <v>4517</v>
      </c>
      <c r="E666" s="6">
        <f t="shared" si="138"/>
        <v>2776.1482</v>
      </c>
      <c r="F666" s="6">
        <f t="shared" si="137"/>
        <v>1740.8518</v>
      </c>
      <c r="G666" s="15">
        <v>41684.4</v>
      </c>
      <c r="H666" s="15">
        <v>18684.2</v>
      </c>
      <c r="I666" s="15">
        <f t="shared" si="127"/>
        <v>115722072.02808</v>
      </c>
      <c r="J666" s="15">
        <f t="shared" si="128"/>
        <v>32526423.20156</v>
      </c>
      <c r="K666" s="15">
        <f t="shared" si="129"/>
        <v>148248495.22964</v>
      </c>
      <c r="L666" s="15">
        <f t="shared" si="130"/>
        <v>0.780595255613381</v>
      </c>
      <c r="M666" s="15">
        <f t="shared" si="131"/>
        <v>0.219404744386618</v>
      </c>
      <c r="N666" s="15">
        <f t="shared" si="132"/>
        <v>0.6146</v>
      </c>
      <c r="O666" s="15">
        <f t="shared" si="133"/>
        <v>0.3854</v>
      </c>
      <c r="P666" s="15">
        <f t="shared" si="134"/>
        <v>1.27008665085158</v>
      </c>
      <c r="Q666" s="15">
        <f t="shared" si="135"/>
        <v>0.569290981802331</v>
      </c>
      <c r="R666" s="7">
        <f t="shared" si="136"/>
        <v>0.0630240728037636</v>
      </c>
    </row>
    <row r="667" spans="1:18">
      <c r="A667" s="6">
        <v>2021</v>
      </c>
      <c r="B667" s="19" t="s">
        <v>33</v>
      </c>
      <c r="C667" s="6">
        <v>0.6394</v>
      </c>
      <c r="D667" s="6">
        <v>10170</v>
      </c>
      <c r="E667" s="6">
        <f t="shared" si="138"/>
        <v>6502.698</v>
      </c>
      <c r="F667" s="6">
        <f t="shared" si="137"/>
        <v>3667.302</v>
      </c>
      <c r="G667" s="15">
        <v>47066.4</v>
      </c>
      <c r="H667" s="15">
        <v>20793.9</v>
      </c>
      <c r="I667" s="15">
        <f t="shared" si="127"/>
        <v>306058585.1472</v>
      </c>
      <c r="J667" s="15">
        <f t="shared" si="128"/>
        <v>76257511.0578</v>
      </c>
      <c r="K667" s="15">
        <f t="shared" si="129"/>
        <v>382316096.205</v>
      </c>
      <c r="L667" s="15">
        <f t="shared" si="130"/>
        <v>0.800538057866885</v>
      </c>
      <c r="M667" s="15">
        <f t="shared" si="131"/>
        <v>0.199461942133115</v>
      </c>
      <c r="N667" s="15">
        <f t="shared" si="132"/>
        <v>0.6394</v>
      </c>
      <c r="O667" s="15">
        <f t="shared" si="133"/>
        <v>0.3606</v>
      </c>
      <c r="P667" s="15">
        <f t="shared" si="134"/>
        <v>1.25201447899106</v>
      </c>
      <c r="Q667" s="15">
        <f t="shared" si="135"/>
        <v>0.553139051949847</v>
      </c>
      <c r="R667" s="7">
        <f t="shared" si="136"/>
        <v>0.0618134373707874</v>
      </c>
    </row>
    <row r="668" spans="1:18">
      <c r="A668" s="6">
        <v>2021</v>
      </c>
      <c r="B668" s="19" t="s">
        <v>34</v>
      </c>
      <c r="C668" s="6">
        <v>0.5645</v>
      </c>
      <c r="D668" s="6">
        <v>9883</v>
      </c>
      <c r="E668" s="6">
        <f t="shared" si="138"/>
        <v>5578.9535</v>
      </c>
      <c r="F668" s="6">
        <f t="shared" si="137"/>
        <v>4304.0465</v>
      </c>
      <c r="G668" s="15">
        <v>37094.8</v>
      </c>
      <c r="H668" s="15">
        <v>17533.3</v>
      </c>
      <c r="I668" s="15">
        <f t="shared" si="127"/>
        <v>206950164.2918</v>
      </c>
      <c r="J668" s="15">
        <f t="shared" si="128"/>
        <v>75464138.49845</v>
      </c>
      <c r="K668" s="15">
        <f t="shared" si="129"/>
        <v>282414302.79025</v>
      </c>
      <c r="L668" s="15">
        <f t="shared" si="130"/>
        <v>0.732789247028691</v>
      </c>
      <c r="M668" s="15">
        <f t="shared" si="131"/>
        <v>0.267210752971309</v>
      </c>
      <c r="N668" s="15">
        <f t="shared" si="132"/>
        <v>0.5645</v>
      </c>
      <c r="O668" s="15">
        <f t="shared" si="133"/>
        <v>0.4355</v>
      </c>
      <c r="P668" s="15">
        <f t="shared" si="134"/>
        <v>1.29812089819077</v>
      </c>
      <c r="Q668" s="15">
        <f t="shared" si="135"/>
        <v>0.613572337477174</v>
      </c>
      <c r="R668" s="7">
        <f t="shared" si="136"/>
        <v>0.0606767330767393</v>
      </c>
    </row>
    <row r="669" spans="1:18">
      <c r="A669" s="6">
        <v>2021</v>
      </c>
      <c r="B669" s="19" t="s">
        <v>35</v>
      </c>
      <c r="C669" s="6">
        <v>0.6409</v>
      </c>
      <c r="D669" s="6">
        <v>5830</v>
      </c>
      <c r="E669" s="6">
        <f t="shared" si="138"/>
        <v>3736.447</v>
      </c>
      <c r="F669" s="6">
        <f t="shared" si="137"/>
        <v>2093.553</v>
      </c>
      <c r="G669" s="15">
        <v>40277.8</v>
      </c>
      <c r="H669" s="15">
        <v>18259</v>
      </c>
      <c r="I669" s="15">
        <f t="shared" si="127"/>
        <v>150495864.9766</v>
      </c>
      <c r="J669" s="15">
        <f t="shared" si="128"/>
        <v>38226184.227</v>
      </c>
      <c r="K669" s="15">
        <f t="shared" si="129"/>
        <v>188722049.2036</v>
      </c>
      <c r="L669" s="15">
        <f t="shared" si="130"/>
        <v>0.79744717488861</v>
      </c>
      <c r="M669" s="15">
        <f t="shared" si="131"/>
        <v>0.20255282511139</v>
      </c>
      <c r="N669" s="15">
        <f t="shared" si="132"/>
        <v>0.6409</v>
      </c>
      <c r="O669" s="15">
        <f t="shared" si="133"/>
        <v>0.3591</v>
      </c>
      <c r="P669" s="15">
        <f t="shared" si="134"/>
        <v>1.24426146807397</v>
      </c>
      <c r="Q669" s="15">
        <f t="shared" si="135"/>
        <v>0.564056878617071</v>
      </c>
      <c r="R669" s="7">
        <f t="shared" si="136"/>
        <v>0.0582940396341603</v>
      </c>
    </row>
    <row r="670" spans="1:18">
      <c r="A670" s="6">
        <v>2021</v>
      </c>
      <c r="B670" s="19" t="s">
        <v>36</v>
      </c>
      <c r="C670" s="6">
        <v>0.5971</v>
      </c>
      <c r="D670" s="6">
        <v>6622</v>
      </c>
      <c r="E670" s="6">
        <f t="shared" si="138"/>
        <v>3953.9962</v>
      </c>
      <c r="F670" s="6">
        <f t="shared" si="137"/>
        <v>2668.0038</v>
      </c>
      <c r="G670" s="15">
        <v>44866.1</v>
      </c>
      <c r="H670" s="15">
        <v>18295.2</v>
      </c>
      <c r="I670" s="15">
        <f t="shared" si="127"/>
        <v>177400388.90882</v>
      </c>
      <c r="J670" s="15">
        <f t="shared" si="128"/>
        <v>48811663.12176</v>
      </c>
      <c r="K670" s="15">
        <f t="shared" si="129"/>
        <v>226212052.03058</v>
      </c>
      <c r="L670" s="15">
        <f t="shared" si="130"/>
        <v>0.784221650952702</v>
      </c>
      <c r="M670" s="15">
        <f t="shared" si="131"/>
        <v>0.215778349047298</v>
      </c>
      <c r="N670" s="15">
        <f t="shared" si="132"/>
        <v>0.5971</v>
      </c>
      <c r="O670" s="15">
        <f t="shared" si="133"/>
        <v>0.4029</v>
      </c>
      <c r="P670" s="15">
        <f t="shared" si="134"/>
        <v>1.31338410811037</v>
      </c>
      <c r="Q670" s="15">
        <f t="shared" si="135"/>
        <v>0.535563040574083</v>
      </c>
      <c r="R670" s="7">
        <f t="shared" si="136"/>
        <v>0.0790444715909933</v>
      </c>
    </row>
    <row r="671" spans="1:18">
      <c r="A671" s="6">
        <v>2021</v>
      </c>
      <c r="B671" s="19" t="s">
        <v>37</v>
      </c>
      <c r="C671" s="6">
        <v>0.7463</v>
      </c>
      <c r="D671" s="6">
        <v>12684</v>
      </c>
      <c r="E671" s="6">
        <f t="shared" si="138"/>
        <v>9466.0692</v>
      </c>
      <c r="F671" s="6">
        <f t="shared" si="137"/>
        <v>3217.9308</v>
      </c>
      <c r="G671" s="15">
        <v>54853.6</v>
      </c>
      <c r="H671" s="15">
        <v>22306</v>
      </c>
      <c r="I671" s="15">
        <f t="shared" si="127"/>
        <v>519247973.46912</v>
      </c>
      <c r="J671" s="15">
        <f t="shared" si="128"/>
        <v>71779164.4248</v>
      </c>
      <c r="K671" s="15">
        <f t="shared" si="129"/>
        <v>591027137.89392</v>
      </c>
      <c r="L671" s="15">
        <f t="shared" si="130"/>
        <v>0.878551829818543</v>
      </c>
      <c r="M671" s="15">
        <f t="shared" si="131"/>
        <v>0.121448170181457</v>
      </c>
      <c r="N671" s="15">
        <f t="shared" si="132"/>
        <v>0.7463</v>
      </c>
      <c r="O671" s="15">
        <f t="shared" si="133"/>
        <v>0.2537</v>
      </c>
      <c r="P671" s="15">
        <f t="shared" si="134"/>
        <v>1.17721000913646</v>
      </c>
      <c r="Q671" s="15">
        <f t="shared" si="135"/>
        <v>0.478707805208737</v>
      </c>
      <c r="R671" s="7">
        <f t="shared" si="136"/>
        <v>0.0538667046530096</v>
      </c>
    </row>
    <row r="672" spans="1:18">
      <c r="A672" s="6">
        <v>2021</v>
      </c>
      <c r="B672" s="19" t="s">
        <v>38</v>
      </c>
      <c r="C672" s="6">
        <v>0.5508</v>
      </c>
      <c r="D672" s="6">
        <v>5037</v>
      </c>
      <c r="E672" s="6">
        <f t="shared" si="138"/>
        <v>2774.3796</v>
      </c>
      <c r="F672" s="6">
        <f t="shared" si="137"/>
        <v>2262.6204</v>
      </c>
      <c r="G672" s="15">
        <v>38529.9</v>
      </c>
      <c r="H672" s="15">
        <v>16362.9</v>
      </c>
      <c r="I672" s="15">
        <f t="shared" ref="I672:I683" si="139">E672*G672</f>
        <v>106896568.55004</v>
      </c>
      <c r="J672" s="15">
        <f t="shared" ref="J672:J683" si="140">F672*H672</f>
        <v>37023031.34316</v>
      </c>
      <c r="K672" s="15">
        <f t="shared" ref="K672:K683" si="141">I672+J672</f>
        <v>143919599.8932</v>
      </c>
      <c r="L672" s="15">
        <f t="shared" ref="L672:L683" si="142">I672/K672</f>
        <v>0.742751985340189</v>
      </c>
      <c r="M672" s="15">
        <f t="shared" ref="M672:M683" si="143">J672/K672</f>
        <v>0.257248014659811</v>
      </c>
      <c r="N672" s="15">
        <f t="shared" ref="N672:N683" si="144">C672</f>
        <v>0.5508</v>
      </c>
      <c r="O672" s="15">
        <f t="shared" ref="O672:O683" si="145">F672/D672</f>
        <v>0.4492</v>
      </c>
      <c r="P672" s="15">
        <f t="shared" ref="P672:P683" si="146">(L672/N672)</f>
        <v>1.34849670541066</v>
      </c>
      <c r="Q672" s="15">
        <f t="shared" ref="Q672:Q683" si="147">M672/O672</f>
        <v>0.572680353205278</v>
      </c>
      <c r="R672" s="7">
        <f t="shared" ref="R672:R683" si="148">L672*LN(P672)+M672*LN(Q672)</f>
        <v>0.0786785937809853</v>
      </c>
    </row>
    <row r="673" spans="1:18">
      <c r="A673" s="6">
        <v>2021</v>
      </c>
      <c r="B673" s="19" t="s">
        <v>39</v>
      </c>
      <c r="C673" s="6">
        <v>0.6097</v>
      </c>
      <c r="D673" s="6">
        <v>1020</v>
      </c>
      <c r="E673" s="6">
        <f t="shared" si="138"/>
        <v>621.894</v>
      </c>
      <c r="F673" s="6">
        <f t="shared" si="137"/>
        <v>398.106</v>
      </c>
      <c r="G673" s="15">
        <v>40213.2</v>
      </c>
      <c r="H673" s="15">
        <v>18076.3</v>
      </c>
      <c r="I673" s="15">
        <f t="shared" si="139"/>
        <v>25008347.8008</v>
      </c>
      <c r="J673" s="15">
        <f t="shared" si="140"/>
        <v>7196283.4878</v>
      </c>
      <c r="K673" s="15">
        <f t="shared" si="141"/>
        <v>32204631.2886</v>
      </c>
      <c r="L673" s="15">
        <f t="shared" si="142"/>
        <v>0.776545074423896</v>
      </c>
      <c r="M673" s="15">
        <f t="shared" si="143"/>
        <v>0.223454925576105</v>
      </c>
      <c r="N673" s="15">
        <f t="shared" si="144"/>
        <v>0.6097</v>
      </c>
      <c r="O673" s="15">
        <f t="shared" si="145"/>
        <v>0.3903</v>
      </c>
      <c r="P673" s="15">
        <f t="shared" si="146"/>
        <v>1.2736510979562</v>
      </c>
      <c r="Q673" s="15">
        <f t="shared" si="147"/>
        <v>0.572520946902651</v>
      </c>
      <c r="R673" s="7">
        <f t="shared" si="148"/>
        <v>0.0632145251403068</v>
      </c>
    </row>
    <row r="674" spans="1:18">
      <c r="A674" s="6">
        <v>2021</v>
      </c>
      <c r="B674" s="19" t="s">
        <v>40</v>
      </c>
      <c r="C674" s="6">
        <v>0.7032</v>
      </c>
      <c r="D674" s="6">
        <v>3212</v>
      </c>
      <c r="E674" s="6">
        <f t="shared" si="138"/>
        <v>2258.6784</v>
      </c>
      <c r="F674" s="6">
        <f t="shared" si="137"/>
        <v>953.3216</v>
      </c>
      <c r="G674" s="15">
        <v>43502.5</v>
      </c>
      <c r="H674" s="15">
        <v>18099.6</v>
      </c>
      <c r="I674" s="15">
        <f t="shared" si="139"/>
        <v>98258157.096</v>
      </c>
      <c r="J674" s="15">
        <f t="shared" si="140"/>
        <v>17254739.63136</v>
      </c>
      <c r="K674" s="15">
        <f t="shared" si="141"/>
        <v>115512896.72736</v>
      </c>
      <c r="L674" s="15">
        <f t="shared" si="142"/>
        <v>0.850624994089746</v>
      </c>
      <c r="M674" s="15">
        <f t="shared" si="143"/>
        <v>0.149375005910254</v>
      </c>
      <c r="N674" s="15">
        <f t="shared" si="144"/>
        <v>0.7032</v>
      </c>
      <c r="O674" s="15">
        <f t="shared" si="145"/>
        <v>0.2968</v>
      </c>
      <c r="P674" s="15">
        <f t="shared" si="146"/>
        <v>1.20964874017313</v>
      </c>
      <c r="Q674" s="15">
        <f t="shared" si="147"/>
        <v>0.503285060344523</v>
      </c>
      <c r="R674" s="7">
        <f t="shared" si="148"/>
        <v>0.0593388098903365</v>
      </c>
    </row>
    <row r="675" spans="1:18">
      <c r="A675" s="6">
        <v>2021</v>
      </c>
      <c r="B675" s="19" t="s">
        <v>41</v>
      </c>
      <c r="C675" s="6">
        <v>0.5782</v>
      </c>
      <c r="D675" s="6">
        <v>8372</v>
      </c>
      <c r="E675" s="6">
        <f t="shared" si="138"/>
        <v>4840.6904</v>
      </c>
      <c r="F675" s="6">
        <f t="shared" si="137"/>
        <v>3531.3096</v>
      </c>
      <c r="G675" s="15">
        <v>41443.8</v>
      </c>
      <c r="H675" s="15">
        <v>17575.3</v>
      </c>
      <c r="I675" s="15">
        <f t="shared" si="139"/>
        <v>200616604.79952</v>
      </c>
      <c r="J675" s="15">
        <f t="shared" si="140"/>
        <v>62063825.61288</v>
      </c>
      <c r="K675" s="15">
        <f t="shared" si="141"/>
        <v>262680430.4124</v>
      </c>
      <c r="L675" s="15">
        <f t="shared" si="142"/>
        <v>0.763728780574016</v>
      </c>
      <c r="M675" s="15">
        <f t="shared" si="143"/>
        <v>0.236271219425984</v>
      </c>
      <c r="N675" s="15">
        <f t="shared" si="144"/>
        <v>0.5782</v>
      </c>
      <c r="O675" s="15">
        <f t="shared" si="145"/>
        <v>0.4218</v>
      </c>
      <c r="P675" s="15">
        <f t="shared" si="146"/>
        <v>1.32087302070913</v>
      </c>
      <c r="Q675" s="15">
        <f t="shared" si="147"/>
        <v>0.560149880099534</v>
      </c>
      <c r="R675" s="7">
        <f t="shared" si="148"/>
        <v>0.0756091000699933</v>
      </c>
    </row>
    <row r="676" spans="1:18">
      <c r="A676" s="6">
        <v>2021</v>
      </c>
      <c r="B676" s="19" t="s">
        <v>42</v>
      </c>
      <c r="C676" s="6">
        <v>0.5433</v>
      </c>
      <c r="D676" s="6">
        <v>3852</v>
      </c>
      <c r="E676" s="6">
        <f t="shared" si="138"/>
        <v>2092.7916</v>
      </c>
      <c r="F676" s="6">
        <f t="shared" si="137"/>
        <v>1759.2084</v>
      </c>
      <c r="G676" s="15">
        <v>39211.2</v>
      </c>
      <c r="H676" s="15">
        <v>12856.1</v>
      </c>
      <c r="I676" s="15">
        <f t="shared" si="139"/>
        <v>82060869.98592</v>
      </c>
      <c r="J676" s="15">
        <f t="shared" si="140"/>
        <v>22616559.11124</v>
      </c>
      <c r="K676" s="15">
        <f t="shared" si="141"/>
        <v>104677429.09716</v>
      </c>
      <c r="L676" s="15">
        <f t="shared" si="142"/>
        <v>0.783940441542105</v>
      </c>
      <c r="M676" s="15">
        <f t="shared" si="143"/>
        <v>0.216059558457895</v>
      </c>
      <c r="N676" s="15">
        <f t="shared" si="144"/>
        <v>0.5433</v>
      </c>
      <c r="O676" s="15">
        <f t="shared" si="145"/>
        <v>0.4567</v>
      </c>
      <c r="P676" s="15">
        <f t="shared" si="146"/>
        <v>1.44292369140826</v>
      </c>
      <c r="Q676" s="15">
        <f t="shared" si="147"/>
        <v>0.473088588696946</v>
      </c>
      <c r="R676" s="7">
        <f t="shared" si="148"/>
        <v>0.125733873334431</v>
      </c>
    </row>
    <row r="677" spans="1:18">
      <c r="A677" s="6">
        <v>2021</v>
      </c>
      <c r="B677" s="19" t="s">
        <v>43</v>
      </c>
      <c r="C677" s="6">
        <v>0.5105</v>
      </c>
      <c r="D677" s="6">
        <v>4690</v>
      </c>
      <c r="E677" s="6">
        <f t="shared" si="138"/>
        <v>2394.245</v>
      </c>
      <c r="F677" s="6">
        <f t="shared" si="137"/>
        <v>2295.755</v>
      </c>
      <c r="G677" s="15">
        <v>40904.9</v>
      </c>
      <c r="H677" s="15">
        <v>14197.3</v>
      </c>
      <c r="I677" s="15">
        <f t="shared" si="139"/>
        <v>97936352.3005</v>
      </c>
      <c r="J677" s="15">
        <f t="shared" si="140"/>
        <v>32593522.4615</v>
      </c>
      <c r="K677" s="15">
        <f t="shared" si="141"/>
        <v>130529874.762</v>
      </c>
      <c r="L677" s="15">
        <f t="shared" si="142"/>
        <v>0.75029837023188</v>
      </c>
      <c r="M677" s="15">
        <f t="shared" si="143"/>
        <v>0.24970162976812</v>
      </c>
      <c r="N677" s="15">
        <f t="shared" si="144"/>
        <v>0.5105</v>
      </c>
      <c r="O677" s="15">
        <f t="shared" si="145"/>
        <v>0.4895</v>
      </c>
      <c r="P677" s="15">
        <f t="shared" si="146"/>
        <v>1.46973236088517</v>
      </c>
      <c r="Q677" s="15">
        <f t="shared" si="147"/>
        <v>0.510115689005352</v>
      </c>
      <c r="R677" s="7">
        <f t="shared" si="148"/>
        <v>0.120846537940559</v>
      </c>
    </row>
    <row r="678" spans="1:18">
      <c r="A678" s="6">
        <v>2021</v>
      </c>
      <c r="B678" s="19" t="s">
        <v>44</v>
      </c>
      <c r="C678" s="6">
        <v>0.3661</v>
      </c>
      <c r="D678" s="6">
        <v>366</v>
      </c>
      <c r="E678" s="6">
        <f t="shared" si="138"/>
        <v>133.9926</v>
      </c>
      <c r="F678" s="6">
        <f t="shared" si="137"/>
        <v>232.0074</v>
      </c>
      <c r="G678" s="15">
        <v>46503.3</v>
      </c>
      <c r="H678" s="15">
        <v>16932.3</v>
      </c>
      <c r="I678" s="15">
        <f t="shared" si="139"/>
        <v>6231098.07558</v>
      </c>
      <c r="J678" s="15">
        <f t="shared" si="140"/>
        <v>3928418.89902</v>
      </c>
      <c r="K678" s="15">
        <f t="shared" si="141"/>
        <v>10159516.9746</v>
      </c>
      <c r="L678" s="15">
        <f t="shared" si="142"/>
        <v>0.613326213358222</v>
      </c>
      <c r="M678" s="15">
        <f t="shared" si="143"/>
        <v>0.386673786641778</v>
      </c>
      <c r="N678" s="15">
        <f t="shared" si="144"/>
        <v>0.3661</v>
      </c>
      <c r="O678" s="15">
        <f t="shared" si="145"/>
        <v>0.6339</v>
      </c>
      <c r="P678" s="15">
        <f t="shared" si="146"/>
        <v>1.67529694989954</v>
      </c>
      <c r="Q678" s="15">
        <f t="shared" si="147"/>
        <v>0.609991775740303</v>
      </c>
      <c r="R678" s="7">
        <f t="shared" si="148"/>
        <v>0.125333814651574</v>
      </c>
    </row>
    <row r="679" spans="1:18">
      <c r="A679" s="6">
        <v>2021</v>
      </c>
      <c r="B679" s="19" t="s">
        <v>45</v>
      </c>
      <c r="C679" s="6">
        <v>0.6363</v>
      </c>
      <c r="D679" s="6">
        <v>3954</v>
      </c>
      <c r="E679" s="6">
        <f t="shared" si="138"/>
        <v>2515.9302</v>
      </c>
      <c r="F679" s="6">
        <f t="shared" si="137"/>
        <v>1438.0698</v>
      </c>
      <c r="G679" s="15">
        <v>40713.1</v>
      </c>
      <c r="H679" s="15">
        <v>14744.8</v>
      </c>
      <c r="I679" s="15">
        <f t="shared" si="139"/>
        <v>102431317.82562</v>
      </c>
      <c r="J679" s="15">
        <f t="shared" si="140"/>
        <v>21204051.58704</v>
      </c>
      <c r="K679" s="15">
        <f t="shared" si="141"/>
        <v>123635369.41266</v>
      </c>
      <c r="L679" s="15">
        <f t="shared" si="142"/>
        <v>0.828495262417449</v>
      </c>
      <c r="M679" s="15">
        <f t="shared" si="143"/>
        <v>0.171504737582551</v>
      </c>
      <c r="N679" s="15">
        <f t="shared" si="144"/>
        <v>0.6363</v>
      </c>
      <c r="O679" s="15">
        <f t="shared" si="145"/>
        <v>0.3637</v>
      </c>
      <c r="P679" s="15">
        <f t="shared" si="146"/>
        <v>1.30205133178917</v>
      </c>
      <c r="Q679" s="15">
        <f t="shared" si="147"/>
        <v>0.471555506138441</v>
      </c>
      <c r="R679" s="7">
        <f t="shared" si="148"/>
        <v>0.0897505643779569</v>
      </c>
    </row>
    <row r="680" spans="1:18">
      <c r="A680" s="6">
        <v>2021</v>
      </c>
      <c r="B680" s="19" t="s">
        <v>46</v>
      </c>
      <c r="C680" s="6">
        <v>0.5333</v>
      </c>
      <c r="D680" s="6">
        <v>2490</v>
      </c>
      <c r="E680" s="6">
        <f t="shared" si="138"/>
        <v>1327.917</v>
      </c>
      <c r="F680" s="6">
        <f t="shared" si="137"/>
        <v>1162.083</v>
      </c>
      <c r="G680" s="15">
        <v>36187.3</v>
      </c>
      <c r="H680" s="15">
        <v>11432.8</v>
      </c>
      <c r="I680" s="15">
        <f t="shared" si="139"/>
        <v>48053730.8541</v>
      </c>
      <c r="J680" s="15">
        <f t="shared" si="140"/>
        <v>13285862.5224</v>
      </c>
      <c r="K680" s="15">
        <f t="shared" si="141"/>
        <v>61339593.3765</v>
      </c>
      <c r="L680" s="15">
        <f t="shared" si="142"/>
        <v>0.783404783255541</v>
      </c>
      <c r="M680" s="15">
        <f t="shared" si="143"/>
        <v>0.216595216744459</v>
      </c>
      <c r="N680" s="15">
        <f t="shared" si="144"/>
        <v>0.5333</v>
      </c>
      <c r="O680" s="15">
        <f t="shared" si="145"/>
        <v>0.4667</v>
      </c>
      <c r="P680" s="15">
        <f t="shared" si="146"/>
        <v>1.46897577959036</v>
      </c>
      <c r="Q680" s="15">
        <f t="shared" si="147"/>
        <v>0.464099457348316</v>
      </c>
      <c r="R680" s="7">
        <f t="shared" si="148"/>
        <v>0.134999676400875</v>
      </c>
    </row>
    <row r="681" spans="1:18">
      <c r="A681" s="6">
        <v>2021</v>
      </c>
      <c r="B681" s="19" t="s">
        <v>47</v>
      </c>
      <c r="C681" s="6">
        <v>0.6102</v>
      </c>
      <c r="D681" s="6">
        <v>594</v>
      </c>
      <c r="E681" s="6">
        <f t="shared" si="138"/>
        <v>362.4588</v>
      </c>
      <c r="F681" s="6">
        <f t="shared" si="137"/>
        <v>231.5412</v>
      </c>
      <c r="G681" s="15">
        <v>37745.3</v>
      </c>
      <c r="H681" s="15">
        <v>13604.2</v>
      </c>
      <c r="I681" s="15">
        <f t="shared" si="139"/>
        <v>13681116.14364</v>
      </c>
      <c r="J681" s="15">
        <f t="shared" si="140"/>
        <v>3149932.79304</v>
      </c>
      <c r="K681" s="15">
        <f t="shared" si="141"/>
        <v>16831048.93668</v>
      </c>
      <c r="L681" s="15">
        <f t="shared" si="142"/>
        <v>0.812849882090513</v>
      </c>
      <c r="M681" s="15">
        <f t="shared" si="143"/>
        <v>0.187150117909487</v>
      </c>
      <c r="N681" s="15">
        <f t="shared" si="144"/>
        <v>0.6102</v>
      </c>
      <c r="O681" s="15">
        <f t="shared" si="145"/>
        <v>0.3898</v>
      </c>
      <c r="P681" s="15">
        <f t="shared" si="146"/>
        <v>1.33210403489104</v>
      </c>
      <c r="Q681" s="15">
        <f t="shared" si="147"/>
        <v>0.480118311722644</v>
      </c>
      <c r="R681" s="7">
        <f t="shared" si="148"/>
        <v>0.0957762725978263</v>
      </c>
    </row>
    <row r="682" spans="1:18">
      <c r="A682" s="6">
        <v>2021</v>
      </c>
      <c r="B682" s="19" t="s">
        <v>48</v>
      </c>
      <c r="C682" s="6">
        <v>0.6604</v>
      </c>
      <c r="D682" s="6">
        <v>725</v>
      </c>
      <c r="E682" s="6">
        <f t="shared" si="138"/>
        <v>478.79</v>
      </c>
      <c r="F682" s="6">
        <f t="shared" si="137"/>
        <v>246.21</v>
      </c>
      <c r="G682" s="15">
        <v>38290.7</v>
      </c>
      <c r="H682" s="15">
        <v>15336.6</v>
      </c>
      <c r="I682" s="15">
        <f t="shared" si="139"/>
        <v>18333204.253</v>
      </c>
      <c r="J682" s="15">
        <f t="shared" si="140"/>
        <v>3776024.286</v>
      </c>
      <c r="K682" s="15">
        <f t="shared" si="141"/>
        <v>22109228.539</v>
      </c>
      <c r="L682" s="15">
        <f t="shared" si="142"/>
        <v>0.829210491024632</v>
      </c>
      <c r="M682" s="15">
        <f t="shared" si="143"/>
        <v>0.170789508975368</v>
      </c>
      <c r="N682" s="15">
        <f t="shared" si="144"/>
        <v>0.6604</v>
      </c>
      <c r="O682" s="15">
        <f t="shared" si="145"/>
        <v>0.3396</v>
      </c>
      <c r="P682" s="15">
        <f t="shared" si="146"/>
        <v>1.25561855091555</v>
      </c>
      <c r="Q682" s="15">
        <f t="shared" si="147"/>
        <v>0.502913748455147</v>
      </c>
      <c r="R682" s="7">
        <f t="shared" si="148"/>
        <v>0.0713619113015709</v>
      </c>
    </row>
    <row r="683" spans="1:18">
      <c r="A683" s="6">
        <v>2021</v>
      </c>
      <c r="B683" s="19" t="s">
        <v>49</v>
      </c>
      <c r="C683" s="6">
        <v>0.5726</v>
      </c>
      <c r="D683" s="6">
        <v>2589</v>
      </c>
      <c r="E683" s="6">
        <f t="shared" si="138"/>
        <v>1482.4614</v>
      </c>
      <c r="F683" s="6">
        <f t="shared" si="137"/>
        <v>1106.5386</v>
      </c>
      <c r="G683" s="15">
        <v>37642.4</v>
      </c>
      <c r="H683" s="15">
        <v>15575.3</v>
      </c>
      <c r="I683" s="15">
        <f t="shared" si="139"/>
        <v>55803405.00336</v>
      </c>
      <c r="J683" s="15">
        <f t="shared" si="140"/>
        <v>17234670.65658</v>
      </c>
      <c r="K683" s="15">
        <f t="shared" si="141"/>
        <v>73038075.65994</v>
      </c>
      <c r="L683" s="15">
        <f t="shared" si="142"/>
        <v>0.764031698523611</v>
      </c>
      <c r="M683" s="15">
        <f t="shared" si="143"/>
        <v>0.235968301476389</v>
      </c>
      <c r="N683" s="15">
        <f t="shared" si="144"/>
        <v>0.5726</v>
      </c>
      <c r="O683" s="15">
        <f t="shared" si="145"/>
        <v>0.4274</v>
      </c>
      <c r="P683" s="15">
        <f t="shared" si="146"/>
        <v>1.33432011617815</v>
      </c>
      <c r="Q683" s="15">
        <f t="shared" si="147"/>
        <v>0.552101781648078</v>
      </c>
      <c r="R683" s="7">
        <f t="shared" si="148"/>
        <v>0.080192897402216</v>
      </c>
    </row>
    <row r="684" spans="1:18">
      <c r="A684" s="6">
        <v>2022</v>
      </c>
      <c r="B684" s="19" t="s">
        <v>19</v>
      </c>
      <c r="C684" s="6">
        <v>0.8757</v>
      </c>
      <c r="D684" s="6">
        <v>2184</v>
      </c>
      <c r="E684" s="6">
        <f t="shared" si="138"/>
        <v>1912.5288</v>
      </c>
      <c r="F684" s="6">
        <f t="shared" si="137"/>
        <v>271.4712</v>
      </c>
      <c r="G684" s="6">
        <v>84023.1345246711</v>
      </c>
      <c r="H684" s="6">
        <v>34753.8297634154</v>
      </c>
      <c r="I684" s="15">
        <f t="shared" ref="I684:I714" si="149">E684*G684</f>
        <v>160696664.644708</v>
      </c>
      <c r="J684" s="15">
        <f t="shared" ref="J684:J714" si="150">F684*H684</f>
        <v>9434663.8704701</v>
      </c>
      <c r="K684" s="15">
        <f t="shared" ref="K684:K714" si="151">I684+J684</f>
        <v>170131328.515178</v>
      </c>
      <c r="L684" s="15">
        <f t="shared" ref="L684:L714" si="152">I684/K684</f>
        <v>0.94454481750768</v>
      </c>
      <c r="M684" s="15">
        <f t="shared" ref="M684:M714" si="153">J684/K684</f>
        <v>0.0554551824923203</v>
      </c>
      <c r="N684" s="15">
        <f t="shared" ref="N684:N714" si="154">C684</f>
        <v>0.8757</v>
      </c>
      <c r="O684" s="15">
        <f t="shared" ref="O684:O714" si="155">F684/D684</f>
        <v>0.1243</v>
      </c>
      <c r="P684" s="15">
        <f t="shared" ref="P684:P714" si="156">(L684/N684)</f>
        <v>1.07861689791901</v>
      </c>
      <c r="Q684" s="15">
        <f t="shared" ref="Q684:Q714" si="157">M684/O684</f>
        <v>0.446139843059697</v>
      </c>
      <c r="R684" s="7">
        <f t="shared" ref="R684:R714" si="158">L684*LN(P684)+M684*LN(Q684)</f>
        <v>0.0267236022991221</v>
      </c>
    </row>
    <row r="685" spans="1:18">
      <c r="A685" s="6">
        <v>2022</v>
      </c>
      <c r="B685" s="19" t="s">
        <v>20</v>
      </c>
      <c r="C685" s="6">
        <v>0.8511</v>
      </c>
      <c r="D685" s="6">
        <v>1363</v>
      </c>
      <c r="E685" s="6">
        <f t="shared" ref="E685:E714" si="159">C685*D685</f>
        <v>1160.0493</v>
      </c>
      <c r="F685" s="6">
        <f t="shared" ref="F685:F714" si="160">D685-E685</f>
        <v>202.9507</v>
      </c>
      <c r="G685" s="6">
        <v>53003.2335745595</v>
      </c>
      <c r="H685" s="6">
        <v>29017.7604026675</v>
      </c>
      <c r="I685" s="15">
        <f t="shared" si="149"/>
        <v>61486364.0059042</v>
      </c>
      <c r="J685" s="15">
        <f t="shared" si="150"/>
        <v>5889174.78615365</v>
      </c>
      <c r="K685" s="15">
        <f t="shared" si="151"/>
        <v>67375538.7920579</v>
      </c>
      <c r="L685" s="15">
        <f t="shared" si="152"/>
        <v>0.912591796789492</v>
      </c>
      <c r="M685" s="15">
        <f t="shared" si="153"/>
        <v>0.0874082032105079</v>
      </c>
      <c r="N685" s="15">
        <f t="shared" si="154"/>
        <v>0.8511</v>
      </c>
      <c r="O685" s="15">
        <f t="shared" si="155"/>
        <v>0.1489</v>
      </c>
      <c r="P685" s="15">
        <f t="shared" si="156"/>
        <v>1.07224979061155</v>
      </c>
      <c r="Q685" s="15">
        <f t="shared" si="157"/>
        <v>0.587026213636722</v>
      </c>
      <c r="R685" s="7">
        <f t="shared" si="158"/>
        <v>0.0171004270602331</v>
      </c>
    </row>
    <row r="686" spans="1:18">
      <c r="A686" s="6">
        <v>2022</v>
      </c>
      <c r="B686" s="19" t="s">
        <v>21</v>
      </c>
      <c r="C686" s="6">
        <v>0.6165</v>
      </c>
      <c r="D686" s="6">
        <v>7420</v>
      </c>
      <c r="E686" s="6">
        <f t="shared" si="159"/>
        <v>4574.43</v>
      </c>
      <c r="F686" s="6">
        <f t="shared" si="160"/>
        <v>2845.57</v>
      </c>
      <c r="G686" s="6">
        <v>41277.7491450981</v>
      </c>
      <c r="H686" s="6">
        <v>19364.1658963239</v>
      </c>
      <c r="I686" s="15">
        <f t="shared" si="149"/>
        <v>188822174.021811</v>
      </c>
      <c r="J686" s="15">
        <f t="shared" si="150"/>
        <v>55102089.5496024</v>
      </c>
      <c r="K686" s="15">
        <f t="shared" si="151"/>
        <v>243924263.571414</v>
      </c>
      <c r="L686" s="15">
        <f t="shared" si="152"/>
        <v>0.774101646376519</v>
      </c>
      <c r="M686" s="15">
        <f t="shared" si="153"/>
        <v>0.225898353623481</v>
      </c>
      <c r="N686" s="15">
        <f t="shared" si="154"/>
        <v>0.6165</v>
      </c>
      <c r="O686" s="15">
        <f t="shared" si="155"/>
        <v>0.3835</v>
      </c>
      <c r="P686" s="15">
        <f t="shared" si="156"/>
        <v>1.25563932907789</v>
      </c>
      <c r="Q686" s="15">
        <f t="shared" si="157"/>
        <v>0.589043946866965</v>
      </c>
      <c r="R686" s="7">
        <f t="shared" si="158"/>
        <v>0.0566625505333813</v>
      </c>
    </row>
    <row r="687" spans="1:18">
      <c r="A687" s="6">
        <v>2022</v>
      </c>
      <c r="B687" s="19" t="s">
        <v>22</v>
      </c>
      <c r="C687" s="6">
        <v>0.6396</v>
      </c>
      <c r="D687" s="6">
        <v>3481</v>
      </c>
      <c r="E687" s="6">
        <f t="shared" si="159"/>
        <v>2226.4476</v>
      </c>
      <c r="F687" s="6">
        <f t="shared" si="160"/>
        <v>1254.5524</v>
      </c>
      <c r="G687" s="6">
        <v>39532.0338085241</v>
      </c>
      <c r="H687" s="6">
        <v>16322.6804786251</v>
      </c>
      <c r="I687" s="15">
        <f t="shared" si="149"/>
        <v>88016001.7961074</v>
      </c>
      <c r="J687" s="15">
        <f t="shared" si="150"/>
        <v>20477657.9688923</v>
      </c>
      <c r="K687" s="15">
        <f t="shared" si="151"/>
        <v>108493659.765</v>
      </c>
      <c r="L687" s="15">
        <f t="shared" si="152"/>
        <v>0.811254795780256</v>
      </c>
      <c r="M687" s="15">
        <f t="shared" si="153"/>
        <v>0.188745204219744</v>
      </c>
      <c r="N687" s="15">
        <f t="shared" si="154"/>
        <v>0.6396</v>
      </c>
      <c r="O687" s="15">
        <f t="shared" si="155"/>
        <v>0.3604</v>
      </c>
      <c r="P687" s="15">
        <f t="shared" si="156"/>
        <v>1.26837835487845</v>
      </c>
      <c r="Q687" s="15">
        <f t="shared" si="157"/>
        <v>0.523710333573096</v>
      </c>
      <c r="R687" s="7">
        <f t="shared" si="158"/>
        <v>0.0707835439631292</v>
      </c>
    </row>
    <row r="688" spans="1:18">
      <c r="A688" s="6">
        <v>2022</v>
      </c>
      <c r="B688" s="19" t="s">
        <v>23</v>
      </c>
      <c r="C688" s="6">
        <v>0.686</v>
      </c>
      <c r="D688" s="6">
        <v>2401</v>
      </c>
      <c r="E688" s="6">
        <f t="shared" si="159"/>
        <v>1647.086</v>
      </c>
      <c r="F688" s="6">
        <f t="shared" si="160"/>
        <v>753.914</v>
      </c>
      <c r="G688" s="6">
        <v>46295.3625101846</v>
      </c>
      <c r="H688" s="6">
        <v>19640.9441086561</v>
      </c>
      <c r="I688" s="15">
        <f t="shared" si="149"/>
        <v>76252443.4554499</v>
      </c>
      <c r="J688" s="15">
        <f t="shared" si="150"/>
        <v>14807582.7367334</v>
      </c>
      <c r="K688" s="15">
        <f t="shared" si="151"/>
        <v>91060026.1921833</v>
      </c>
      <c r="L688" s="15">
        <f t="shared" si="152"/>
        <v>0.837386575032586</v>
      </c>
      <c r="M688" s="15">
        <f t="shared" si="153"/>
        <v>0.162613424967414</v>
      </c>
      <c r="N688" s="15">
        <f t="shared" si="154"/>
        <v>0.686</v>
      </c>
      <c r="O688" s="15">
        <f t="shared" si="155"/>
        <v>0.314</v>
      </c>
      <c r="P688" s="15">
        <f t="shared" si="156"/>
        <v>1.22068013853147</v>
      </c>
      <c r="Q688" s="15">
        <f t="shared" si="157"/>
        <v>0.517877149577752</v>
      </c>
      <c r="R688" s="7">
        <f t="shared" si="158"/>
        <v>0.0599793095063224</v>
      </c>
    </row>
    <row r="689" spans="1:18">
      <c r="A689" s="6">
        <v>2022</v>
      </c>
      <c r="B689" s="19" t="s">
        <v>24</v>
      </c>
      <c r="C689" s="6">
        <v>0.73</v>
      </c>
      <c r="D689" s="6">
        <v>4197</v>
      </c>
      <c r="E689" s="6">
        <f t="shared" si="159"/>
        <v>3063.81</v>
      </c>
      <c r="F689" s="6">
        <f t="shared" si="160"/>
        <v>1133.19</v>
      </c>
      <c r="G689" s="6">
        <v>44002.6123251809</v>
      </c>
      <c r="H689" s="6">
        <v>19907.9616904892</v>
      </c>
      <c r="I689" s="15">
        <f t="shared" si="149"/>
        <v>134815643.668012</v>
      </c>
      <c r="J689" s="15">
        <f t="shared" si="150"/>
        <v>22559503.1080455</v>
      </c>
      <c r="K689" s="15">
        <f t="shared" si="151"/>
        <v>157375146.776058</v>
      </c>
      <c r="L689" s="15">
        <f t="shared" si="152"/>
        <v>0.856651424508933</v>
      </c>
      <c r="M689" s="15">
        <f t="shared" si="153"/>
        <v>0.143348575491067</v>
      </c>
      <c r="N689" s="15">
        <f t="shared" si="154"/>
        <v>0.73</v>
      </c>
      <c r="O689" s="15">
        <f t="shared" si="155"/>
        <v>0.27</v>
      </c>
      <c r="P689" s="15">
        <f t="shared" si="156"/>
        <v>1.17349510206703</v>
      </c>
      <c r="Q689" s="15">
        <f t="shared" si="157"/>
        <v>0.530920649966914</v>
      </c>
      <c r="R689" s="7">
        <f t="shared" si="158"/>
        <v>0.0462926119831084</v>
      </c>
    </row>
    <row r="690" spans="1:18">
      <c r="A690" s="6">
        <v>2022</v>
      </c>
      <c r="B690" s="19" t="s">
        <v>25</v>
      </c>
      <c r="C690" s="6">
        <v>0.6372</v>
      </c>
      <c r="D690" s="6">
        <v>2348</v>
      </c>
      <c r="E690" s="6">
        <f t="shared" si="159"/>
        <v>1496.1456</v>
      </c>
      <c r="F690" s="6">
        <f t="shared" si="160"/>
        <v>851.8544</v>
      </c>
      <c r="G690" s="6">
        <v>35470.9164932474</v>
      </c>
      <c r="H690" s="6">
        <v>18134.4744249807</v>
      </c>
      <c r="I690" s="15">
        <f t="shared" si="149"/>
        <v>53069655.6393395</v>
      </c>
      <c r="J690" s="15">
        <f t="shared" si="150"/>
        <v>15447931.8306073</v>
      </c>
      <c r="K690" s="15">
        <f t="shared" si="151"/>
        <v>68517587.4699468</v>
      </c>
      <c r="L690" s="15">
        <f t="shared" si="152"/>
        <v>0.774540634003159</v>
      </c>
      <c r="M690" s="15">
        <f t="shared" si="153"/>
        <v>0.225459365996841</v>
      </c>
      <c r="N690" s="15">
        <f t="shared" si="154"/>
        <v>0.6372</v>
      </c>
      <c r="O690" s="15">
        <f t="shared" si="155"/>
        <v>0.3628</v>
      </c>
      <c r="P690" s="15">
        <f t="shared" si="156"/>
        <v>1.21553771814683</v>
      </c>
      <c r="Q690" s="15">
        <f t="shared" si="157"/>
        <v>0.62144257441246</v>
      </c>
      <c r="R690" s="7">
        <f t="shared" si="158"/>
        <v>0.0439262363055668</v>
      </c>
    </row>
    <row r="691" spans="1:18">
      <c r="A691" s="6">
        <v>2022</v>
      </c>
      <c r="B691" s="19" t="s">
        <v>26</v>
      </c>
      <c r="C691" s="6">
        <v>0.6621</v>
      </c>
      <c r="D691" s="6">
        <v>3099</v>
      </c>
      <c r="E691" s="6">
        <f t="shared" si="159"/>
        <v>2051.8479</v>
      </c>
      <c r="F691" s="6">
        <f t="shared" si="160"/>
        <v>1047.1521</v>
      </c>
      <c r="G691" s="6">
        <v>35042.0754692726</v>
      </c>
      <c r="H691" s="6">
        <v>18577.3556051179</v>
      </c>
      <c r="I691" s="15">
        <f t="shared" si="149"/>
        <v>71901008.9632685</v>
      </c>
      <c r="J691" s="15">
        <f t="shared" si="150"/>
        <v>19453316.934346</v>
      </c>
      <c r="K691" s="15">
        <f t="shared" si="151"/>
        <v>91354325.8976145</v>
      </c>
      <c r="L691" s="15">
        <f t="shared" si="152"/>
        <v>0.78705642296405</v>
      </c>
      <c r="M691" s="15">
        <f t="shared" si="153"/>
        <v>0.21294357703595</v>
      </c>
      <c r="N691" s="15">
        <f t="shared" si="154"/>
        <v>0.6621</v>
      </c>
      <c r="O691" s="15">
        <f t="shared" si="155"/>
        <v>0.3379</v>
      </c>
      <c r="P691" s="15">
        <f t="shared" si="156"/>
        <v>1.18872741725427</v>
      </c>
      <c r="Q691" s="15">
        <f t="shared" si="157"/>
        <v>0.630197031772567</v>
      </c>
      <c r="R691" s="7">
        <f t="shared" si="158"/>
        <v>0.0377480452787314</v>
      </c>
    </row>
    <row r="692" spans="1:18">
      <c r="A692" s="6">
        <v>2022</v>
      </c>
      <c r="B692" s="19" t="s">
        <v>27</v>
      </c>
      <c r="C692" s="6">
        <v>0.8933</v>
      </c>
      <c r="D692" s="6">
        <v>2475</v>
      </c>
      <c r="E692" s="6">
        <f t="shared" si="159"/>
        <v>2210.9175</v>
      </c>
      <c r="F692" s="6">
        <f t="shared" si="160"/>
        <v>264.0825</v>
      </c>
      <c r="G692" s="6">
        <v>84034.0019887012</v>
      </c>
      <c r="H692" s="6">
        <v>39729.4203690714</v>
      </c>
      <c r="I692" s="15">
        <f t="shared" si="149"/>
        <v>185792245.591854</v>
      </c>
      <c r="J692" s="15">
        <f t="shared" si="150"/>
        <v>10491844.6546153</v>
      </c>
      <c r="K692" s="15">
        <f t="shared" si="151"/>
        <v>196284090.24647</v>
      </c>
      <c r="L692" s="15">
        <f t="shared" si="152"/>
        <v>0.946547656300412</v>
      </c>
      <c r="M692" s="15">
        <f t="shared" si="153"/>
        <v>0.0534523436995883</v>
      </c>
      <c r="N692" s="15">
        <f t="shared" si="154"/>
        <v>0.8933</v>
      </c>
      <c r="O692" s="15">
        <f t="shared" si="155"/>
        <v>0.1067</v>
      </c>
      <c r="P692" s="15">
        <f t="shared" si="156"/>
        <v>1.05960780958291</v>
      </c>
      <c r="Q692" s="15">
        <f t="shared" si="157"/>
        <v>0.500959172442252</v>
      </c>
      <c r="R692" s="7">
        <f t="shared" si="158"/>
        <v>0.0178561200127831</v>
      </c>
    </row>
    <row r="693" spans="1:18">
      <c r="A693" s="6">
        <v>2022</v>
      </c>
      <c r="B693" s="19" t="s">
        <v>28</v>
      </c>
      <c r="C693" s="6">
        <v>0.7442</v>
      </c>
      <c r="D693" s="6">
        <v>8515</v>
      </c>
      <c r="E693" s="6">
        <f t="shared" si="159"/>
        <v>6336.863</v>
      </c>
      <c r="F693" s="6">
        <f t="shared" si="160"/>
        <v>2178.137</v>
      </c>
      <c r="G693" s="6">
        <v>60178.1489658351</v>
      </c>
      <c r="H693" s="6">
        <v>28486.4986715149</v>
      </c>
      <c r="I693" s="15">
        <f t="shared" si="149"/>
        <v>381340685.590089</v>
      </c>
      <c r="J693" s="15">
        <f t="shared" si="150"/>
        <v>62047496.7568775</v>
      </c>
      <c r="K693" s="15">
        <f t="shared" si="151"/>
        <v>443388182.346966</v>
      </c>
      <c r="L693" s="15">
        <f t="shared" si="152"/>
        <v>0.860060553647496</v>
      </c>
      <c r="M693" s="15">
        <f t="shared" si="153"/>
        <v>0.139939446352504</v>
      </c>
      <c r="N693" s="15">
        <f t="shared" si="154"/>
        <v>0.7442</v>
      </c>
      <c r="O693" s="15">
        <f t="shared" si="155"/>
        <v>0.2558</v>
      </c>
      <c r="P693" s="15">
        <f t="shared" si="156"/>
        <v>1.1556846998757</v>
      </c>
      <c r="Q693" s="15">
        <f t="shared" si="157"/>
        <v>0.547065857515652</v>
      </c>
      <c r="R693" s="7">
        <f t="shared" si="158"/>
        <v>0.0400351993276126</v>
      </c>
    </row>
    <row r="694" spans="1:18">
      <c r="A694" s="6">
        <v>2022</v>
      </c>
      <c r="B694" s="19" t="s">
        <v>29</v>
      </c>
      <c r="C694" s="6">
        <v>0.7338</v>
      </c>
      <c r="D694" s="6">
        <v>6577</v>
      </c>
      <c r="E694" s="6">
        <f t="shared" si="159"/>
        <v>4826.2026</v>
      </c>
      <c r="F694" s="6">
        <f t="shared" si="160"/>
        <v>1750.7974</v>
      </c>
      <c r="G694" s="6">
        <v>71267.9325773324</v>
      </c>
      <c r="H694" s="6">
        <v>37565.0459399795</v>
      </c>
      <c r="I694" s="15">
        <f t="shared" si="149"/>
        <v>343953481.501346</v>
      </c>
      <c r="J694" s="15">
        <f t="shared" si="150"/>
        <v>65768784.7625967</v>
      </c>
      <c r="K694" s="15">
        <f t="shared" si="151"/>
        <v>409722266.263943</v>
      </c>
      <c r="L694" s="15">
        <f t="shared" si="152"/>
        <v>0.83947959342725</v>
      </c>
      <c r="M694" s="15">
        <f t="shared" si="153"/>
        <v>0.16052040657275</v>
      </c>
      <c r="N694" s="15">
        <f t="shared" si="154"/>
        <v>0.7338</v>
      </c>
      <c r="O694" s="15">
        <f t="shared" si="155"/>
        <v>0.2662</v>
      </c>
      <c r="P694" s="15">
        <f t="shared" si="156"/>
        <v>1.14401688938028</v>
      </c>
      <c r="Q694" s="15">
        <f t="shared" si="157"/>
        <v>0.60300678652423</v>
      </c>
      <c r="R694" s="7">
        <f t="shared" si="158"/>
        <v>0.0317528048015616</v>
      </c>
    </row>
    <row r="695" spans="1:18">
      <c r="A695" s="6">
        <v>2022</v>
      </c>
      <c r="B695" s="19" t="s">
        <v>30</v>
      </c>
      <c r="C695" s="6">
        <v>0.6015</v>
      </c>
      <c r="D695" s="6">
        <v>6127</v>
      </c>
      <c r="E695" s="6">
        <f t="shared" si="159"/>
        <v>3685.3905</v>
      </c>
      <c r="F695" s="6">
        <f t="shared" si="160"/>
        <v>2441.6095</v>
      </c>
      <c r="G695" s="6">
        <v>45133.1932250912</v>
      </c>
      <c r="H695" s="6">
        <v>19574.8774776664</v>
      </c>
      <c r="I695" s="15">
        <f t="shared" si="149"/>
        <v>166333441.546415</v>
      </c>
      <c r="J695" s="15">
        <f t="shared" si="150"/>
        <v>47794206.8108063</v>
      </c>
      <c r="K695" s="15">
        <f t="shared" si="151"/>
        <v>214127648.357222</v>
      </c>
      <c r="L695" s="15">
        <f t="shared" si="152"/>
        <v>0.776795723590665</v>
      </c>
      <c r="M695" s="15">
        <f t="shared" si="153"/>
        <v>0.223204276409335</v>
      </c>
      <c r="N695" s="15">
        <f t="shared" si="154"/>
        <v>0.6015</v>
      </c>
      <c r="O695" s="15">
        <f t="shared" si="155"/>
        <v>0.3985</v>
      </c>
      <c r="P695" s="15">
        <f t="shared" si="156"/>
        <v>1.29143096191299</v>
      </c>
      <c r="Q695" s="15">
        <f t="shared" si="157"/>
        <v>0.560111107677128</v>
      </c>
      <c r="R695" s="7">
        <f t="shared" si="158"/>
        <v>0.0692925002008436</v>
      </c>
    </row>
    <row r="696" spans="1:18">
      <c r="A696" s="6">
        <v>2022</v>
      </c>
      <c r="B696" s="19" t="s">
        <v>31</v>
      </c>
      <c r="C696" s="6">
        <v>0.7011</v>
      </c>
      <c r="D696" s="6">
        <v>4188</v>
      </c>
      <c r="E696" s="6">
        <f t="shared" si="159"/>
        <v>2936.2068</v>
      </c>
      <c r="F696" s="6">
        <f t="shared" si="160"/>
        <v>1251.7932</v>
      </c>
      <c r="G696" s="6">
        <v>53817.1158420782</v>
      </c>
      <c r="H696" s="6">
        <v>24986.6060196773</v>
      </c>
      <c r="I696" s="15">
        <f t="shared" si="149"/>
        <v>158018181.491898</v>
      </c>
      <c r="J696" s="15">
        <f t="shared" si="150"/>
        <v>31278063.5065111</v>
      </c>
      <c r="K696" s="15">
        <f t="shared" si="151"/>
        <v>189296244.998409</v>
      </c>
      <c r="L696" s="15">
        <f t="shared" si="152"/>
        <v>0.834766592930705</v>
      </c>
      <c r="M696" s="15">
        <f t="shared" si="153"/>
        <v>0.165233407069295</v>
      </c>
      <c r="N696" s="15">
        <f t="shared" si="154"/>
        <v>0.7011</v>
      </c>
      <c r="O696" s="15">
        <f t="shared" si="155"/>
        <v>0.2989</v>
      </c>
      <c r="P696" s="15">
        <f t="shared" si="156"/>
        <v>1.190652678549</v>
      </c>
      <c r="Q696" s="15">
        <f t="shared" si="157"/>
        <v>0.55280497513983</v>
      </c>
      <c r="R696" s="7">
        <f t="shared" si="158"/>
        <v>0.0477260247683258</v>
      </c>
    </row>
    <row r="697" spans="1:18">
      <c r="A697" s="6">
        <v>2022</v>
      </c>
      <c r="B697" s="19" t="s">
        <v>32</v>
      </c>
      <c r="C697" s="6">
        <v>0.6207</v>
      </c>
      <c r="D697" s="6">
        <v>4528</v>
      </c>
      <c r="E697" s="6">
        <f t="shared" si="159"/>
        <v>2810.5296</v>
      </c>
      <c r="F697" s="6">
        <f t="shared" si="160"/>
        <v>1717.4704</v>
      </c>
      <c r="G697" s="6">
        <v>43696.5250558847</v>
      </c>
      <c r="H697" s="6">
        <v>19936.0467595659</v>
      </c>
      <c r="I697" s="15">
        <f t="shared" si="149"/>
        <v>122810377.086706</v>
      </c>
      <c r="J697" s="15">
        <f t="shared" si="150"/>
        <v>34239570.2025703</v>
      </c>
      <c r="K697" s="15">
        <f t="shared" si="151"/>
        <v>157049947.289276</v>
      </c>
      <c r="L697" s="15">
        <f t="shared" si="152"/>
        <v>0.781982924581928</v>
      </c>
      <c r="M697" s="15">
        <f t="shared" si="153"/>
        <v>0.218017075418072</v>
      </c>
      <c r="N697" s="15">
        <f t="shared" si="154"/>
        <v>0.6207</v>
      </c>
      <c r="O697" s="15">
        <f t="shared" si="155"/>
        <v>0.3793</v>
      </c>
      <c r="P697" s="15">
        <f t="shared" si="156"/>
        <v>1.25984038115342</v>
      </c>
      <c r="Q697" s="15">
        <f t="shared" si="157"/>
        <v>0.574787965773984</v>
      </c>
      <c r="R697" s="7">
        <f t="shared" si="158"/>
        <v>0.0598985093616268</v>
      </c>
    </row>
    <row r="698" spans="1:18">
      <c r="A698" s="6">
        <v>2022</v>
      </c>
      <c r="B698" s="19" t="s">
        <v>33</v>
      </c>
      <c r="C698" s="6">
        <v>0.6454</v>
      </c>
      <c r="D698" s="6">
        <v>10163</v>
      </c>
      <c r="E698" s="6">
        <f t="shared" si="159"/>
        <v>6559.2002</v>
      </c>
      <c r="F698" s="6">
        <f t="shared" si="160"/>
        <v>3603.7998</v>
      </c>
      <c r="G698" s="6">
        <v>49049.6591318577</v>
      </c>
      <c r="H698" s="6">
        <v>22109.898487843</v>
      </c>
      <c r="I698" s="15">
        <f t="shared" si="149"/>
        <v>321726533.987613</v>
      </c>
      <c r="J698" s="15">
        <f t="shared" si="150"/>
        <v>79679647.7485089</v>
      </c>
      <c r="K698" s="15">
        <f t="shared" si="151"/>
        <v>401406181.736122</v>
      </c>
      <c r="L698" s="15">
        <f t="shared" si="152"/>
        <v>0.801498702875261</v>
      </c>
      <c r="M698" s="15">
        <f t="shared" si="153"/>
        <v>0.198501297124739</v>
      </c>
      <c r="N698" s="15">
        <f t="shared" si="154"/>
        <v>0.6454</v>
      </c>
      <c r="O698" s="15">
        <f t="shared" si="155"/>
        <v>0.3546</v>
      </c>
      <c r="P698" s="15">
        <f t="shared" si="156"/>
        <v>1.24186349996167</v>
      </c>
      <c r="Q698" s="15">
        <f t="shared" si="157"/>
        <v>0.55978933199306</v>
      </c>
      <c r="R698" s="7">
        <f t="shared" si="158"/>
        <v>0.0584456856573013</v>
      </c>
    </row>
    <row r="699" spans="1:18">
      <c r="A699" s="6">
        <v>2022</v>
      </c>
      <c r="B699" s="19" t="s">
        <v>34</v>
      </c>
      <c r="C699" s="6">
        <v>0.5707</v>
      </c>
      <c r="D699" s="6">
        <v>9872</v>
      </c>
      <c r="E699" s="6">
        <f t="shared" si="159"/>
        <v>5633.9504</v>
      </c>
      <c r="F699" s="6">
        <f t="shared" si="160"/>
        <v>4238.0496</v>
      </c>
      <c r="G699" s="6">
        <v>38483.7364832886</v>
      </c>
      <c r="H699" s="6">
        <v>18697.2626120577</v>
      </c>
      <c r="I699" s="15">
        <f t="shared" si="149"/>
        <v>216815462.553518</v>
      </c>
      <c r="J699" s="15">
        <f t="shared" si="150"/>
        <v>79239926.3341261</v>
      </c>
      <c r="K699" s="15">
        <f t="shared" si="151"/>
        <v>296055388.887644</v>
      </c>
      <c r="L699" s="15">
        <f t="shared" si="152"/>
        <v>0.732347630516537</v>
      </c>
      <c r="M699" s="15">
        <f t="shared" si="153"/>
        <v>0.267652369483463</v>
      </c>
      <c r="N699" s="15">
        <f t="shared" si="154"/>
        <v>0.5707</v>
      </c>
      <c r="O699" s="15">
        <f t="shared" si="155"/>
        <v>0.4293</v>
      </c>
      <c r="P699" s="15">
        <f t="shared" si="156"/>
        <v>1.28324449012885</v>
      </c>
      <c r="Q699" s="15">
        <f t="shared" si="157"/>
        <v>0.623462309535203</v>
      </c>
      <c r="R699" s="7">
        <f t="shared" si="158"/>
        <v>0.0561844655740205</v>
      </c>
    </row>
    <row r="700" spans="1:18">
      <c r="A700" s="6">
        <v>2022</v>
      </c>
      <c r="B700" s="19" t="s">
        <v>35</v>
      </c>
      <c r="C700" s="6">
        <v>0.6467</v>
      </c>
      <c r="D700" s="6">
        <v>5844</v>
      </c>
      <c r="E700" s="6">
        <f t="shared" si="159"/>
        <v>3779.3148</v>
      </c>
      <c r="F700" s="6">
        <f t="shared" si="160"/>
        <v>2064.6852</v>
      </c>
      <c r="G700" s="6">
        <v>42625.7797471897</v>
      </c>
      <c r="H700" s="6">
        <v>19709.4567085647</v>
      </c>
      <c r="I700" s="15">
        <f t="shared" si="149"/>
        <v>161096240.260094</v>
      </c>
      <c r="J700" s="15">
        <f t="shared" si="150"/>
        <v>40693823.5662142</v>
      </c>
      <c r="K700" s="15">
        <f t="shared" si="151"/>
        <v>201790063.826309</v>
      </c>
      <c r="L700" s="15">
        <f t="shared" si="152"/>
        <v>0.798335840751596</v>
      </c>
      <c r="M700" s="15">
        <f t="shared" si="153"/>
        <v>0.201664159248404</v>
      </c>
      <c r="N700" s="15">
        <f t="shared" si="154"/>
        <v>0.6467</v>
      </c>
      <c r="O700" s="15">
        <f t="shared" si="155"/>
        <v>0.3533</v>
      </c>
      <c r="P700" s="15">
        <f t="shared" si="156"/>
        <v>1.23447632712478</v>
      </c>
      <c r="Q700" s="15">
        <f t="shared" si="157"/>
        <v>0.570801469709606</v>
      </c>
      <c r="R700" s="7">
        <f t="shared" si="158"/>
        <v>0.0550910521204463</v>
      </c>
    </row>
    <row r="701" spans="1:18">
      <c r="A701" s="6">
        <v>2022</v>
      </c>
      <c r="B701" s="19" t="s">
        <v>36</v>
      </c>
      <c r="C701" s="6">
        <v>0.6031</v>
      </c>
      <c r="D701" s="6">
        <v>6604</v>
      </c>
      <c r="E701" s="6">
        <f t="shared" si="159"/>
        <v>3982.8724</v>
      </c>
      <c r="F701" s="6">
        <f t="shared" si="160"/>
        <v>2621.1276</v>
      </c>
      <c r="G701" s="6">
        <v>47301.1925712299</v>
      </c>
      <c r="H701" s="6">
        <v>19546.276365451</v>
      </c>
      <c r="I701" s="15">
        <f t="shared" si="149"/>
        <v>188394614.379037</v>
      </c>
      <c r="J701" s="15">
        <f t="shared" si="150"/>
        <v>51233284.4587113</v>
      </c>
      <c r="K701" s="15">
        <f t="shared" si="151"/>
        <v>239627898.837748</v>
      </c>
      <c r="L701" s="15">
        <f t="shared" si="152"/>
        <v>0.786196495870452</v>
      </c>
      <c r="M701" s="15">
        <f t="shared" si="153"/>
        <v>0.213803504129548</v>
      </c>
      <c r="N701" s="15">
        <f t="shared" si="154"/>
        <v>0.6031</v>
      </c>
      <c r="O701" s="15">
        <f t="shared" si="155"/>
        <v>0.3969</v>
      </c>
      <c r="P701" s="15">
        <f t="shared" si="156"/>
        <v>1.30359226640765</v>
      </c>
      <c r="Q701" s="15">
        <f t="shared" si="157"/>
        <v>0.538683557897576</v>
      </c>
      <c r="R701" s="7">
        <f t="shared" si="158"/>
        <v>0.0761747375300914</v>
      </c>
    </row>
    <row r="702" spans="1:18">
      <c r="A702" s="6">
        <v>2022</v>
      </c>
      <c r="B702" s="19" t="s">
        <v>37</v>
      </c>
      <c r="C702" s="6">
        <v>0.7479</v>
      </c>
      <c r="D702" s="6">
        <v>12657</v>
      </c>
      <c r="E702" s="6">
        <f t="shared" si="159"/>
        <v>9466.1703</v>
      </c>
      <c r="F702" s="6">
        <f t="shared" si="160"/>
        <v>3190.8297</v>
      </c>
      <c r="G702" s="6">
        <v>56905.3120758146</v>
      </c>
      <c r="H702" s="6">
        <v>23597.7556081812</v>
      </c>
      <c r="I702" s="15">
        <f t="shared" si="149"/>
        <v>538675375.084308</v>
      </c>
      <c r="J702" s="15">
        <f t="shared" si="150"/>
        <v>75296419.4479261</v>
      </c>
      <c r="K702" s="15">
        <f t="shared" si="151"/>
        <v>613971794.532234</v>
      </c>
      <c r="L702" s="15">
        <f t="shared" si="152"/>
        <v>0.877361761373269</v>
      </c>
      <c r="M702" s="15">
        <f t="shared" si="153"/>
        <v>0.122638238626731</v>
      </c>
      <c r="N702" s="15">
        <f t="shared" si="154"/>
        <v>0.7479</v>
      </c>
      <c r="O702" s="15">
        <f t="shared" si="155"/>
        <v>0.2521</v>
      </c>
      <c r="P702" s="15">
        <f t="shared" si="156"/>
        <v>1.173100362847</v>
      </c>
      <c r="Q702" s="15">
        <f t="shared" si="157"/>
        <v>0.486466634774814</v>
      </c>
      <c r="R702" s="7">
        <f t="shared" si="158"/>
        <v>0.0516994007019805</v>
      </c>
    </row>
    <row r="703" spans="1:18">
      <c r="A703" s="6">
        <v>2022</v>
      </c>
      <c r="B703" s="19" t="s">
        <v>38</v>
      </c>
      <c r="C703" s="6">
        <v>0.5565</v>
      </c>
      <c r="D703" s="6">
        <v>5047</v>
      </c>
      <c r="E703" s="6">
        <f t="shared" si="159"/>
        <v>2808.6555</v>
      </c>
      <c r="F703" s="6">
        <f t="shared" si="160"/>
        <v>2238.3445</v>
      </c>
      <c r="G703" s="6">
        <v>39703.0079656351</v>
      </c>
      <c r="H703" s="6">
        <v>17432.6928154859</v>
      </c>
      <c r="I703" s="15">
        <f t="shared" si="149"/>
        <v>111512071.689225</v>
      </c>
      <c r="J703" s="15">
        <f t="shared" si="150"/>
        <v>39020372.0837324</v>
      </c>
      <c r="K703" s="15">
        <f t="shared" si="151"/>
        <v>150532443.772957</v>
      </c>
      <c r="L703" s="15">
        <f t="shared" si="152"/>
        <v>0.740784304660692</v>
      </c>
      <c r="M703" s="15">
        <f t="shared" si="153"/>
        <v>0.259215695339308</v>
      </c>
      <c r="N703" s="15">
        <f t="shared" si="154"/>
        <v>0.5565</v>
      </c>
      <c r="O703" s="15">
        <f t="shared" si="155"/>
        <v>0.4435</v>
      </c>
      <c r="P703" s="15">
        <f t="shared" si="156"/>
        <v>1.331148795437</v>
      </c>
      <c r="Q703" s="15">
        <f t="shared" si="157"/>
        <v>0.584477328837222</v>
      </c>
      <c r="R703" s="7">
        <f t="shared" si="158"/>
        <v>0.0726871715701989</v>
      </c>
    </row>
    <row r="704" spans="1:18">
      <c r="A704" s="6">
        <v>2022</v>
      </c>
      <c r="B704" s="19" t="s">
        <v>39</v>
      </c>
      <c r="C704" s="6">
        <v>0.6149</v>
      </c>
      <c r="D704" s="6">
        <v>1027</v>
      </c>
      <c r="E704" s="6">
        <f t="shared" si="159"/>
        <v>631.5023</v>
      </c>
      <c r="F704" s="6">
        <f t="shared" si="160"/>
        <v>395.4977</v>
      </c>
      <c r="G704" s="6">
        <v>40117.5223792201</v>
      </c>
      <c r="H704" s="6">
        <v>19117.3721674983</v>
      </c>
      <c r="I704" s="15">
        <f t="shared" si="149"/>
        <v>25334307.652779</v>
      </c>
      <c r="J704" s="15">
        <f t="shared" si="150"/>
        <v>7560876.72228959</v>
      </c>
      <c r="K704" s="15">
        <f t="shared" si="151"/>
        <v>32895184.3750686</v>
      </c>
      <c r="L704" s="15">
        <f t="shared" si="152"/>
        <v>0.770152474718457</v>
      </c>
      <c r="M704" s="15">
        <f t="shared" si="153"/>
        <v>0.229847525281543</v>
      </c>
      <c r="N704" s="15">
        <f t="shared" si="154"/>
        <v>0.6149</v>
      </c>
      <c r="O704" s="15">
        <f t="shared" si="155"/>
        <v>0.3851</v>
      </c>
      <c r="P704" s="15">
        <f t="shared" si="156"/>
        <v>1.25248410264833</v>
      </c>
      <c r="Q704" s="15">
        <f t="shared" si="157"/>
        <v>0.596851532800683</v>
      </c>
      <c r="R704" s="7">
        <f t="shared" si="158"/>
        <v>0.0547622563227113</v>
      </c>
    </row>
    <row r="705" spans="1:18">
      <c r="A705" s="6">
        <v>2022</v>
      </c>
      <c r="B705" s="19" t="s">
        <v>40</v>
      </c>
      <c r="C705" s="6">
        <v>0.7096</v>
      </c>
      <c r="D705" s="6">
        <v>3213</v>
      </c>
      <c r="E705" s="6">
        <f t="shared" si="159"/>
        <v>2279.9448</v>
      </c>
      <c r="F705" s="6">
        <f t="shared" si="160"/>
        <v>933.0552</v>
      </c>
      <c r="G705" s="6">
        <v>45508.9258021825</v>
      </c>
      <c r="H705" s="6">
        <v>19312.6594155862</v>
      </c>
      <c r="I705" s="15">
        <f t="shared" si="149"/>
        <v>103757838.736272</v>
      </c>
      <c r="J705" s="15">
        <f t="shared" si="150"/>
        <v>18019777.2935417</v>
      </c>
      <c r="K705" s="15">
        <f t="shared" si="151"/>
        <v>121777616.029813</v>
      </c>
      <c r="L705" s="15">
        <f t="shared" si="152"/>
        <v>0.85202717969836</v>
      </c>
      <c r="M705" s="15">
        <f t="shared" si="153"/>
        <v>0.14797282030164</v>
      </c>
      <c r="N705" s="15">
        <f t="shared" si="154"/>
        <v>0.7096</v>
      </c>
      <c r="O705" s="15">
        <f t="shared" si="155"/>
        <v>0.2904</v>
      </c>
      <c r="P705" s="15">
        <f t="shared" si="156"/>
        <v>1.2007147402739</v>
      </c>
      <c r="Q705" s="15">
        <f t="shared" si="157"/>
        <v>0.509548279275619</v>
      </c>
      <c r="R705" s="7">
        <f t="shared" si="158"/>
        <v>0.0560824383764542</v>
      </c>
    </row>
    <row r="706" spans="1:18">
      <c r="A706" s="6">
        <v>2022</v>
      </c>
      <c r="B706" s="19" t="s">
        <v>41</v>
      </c>
      <c r="C706" s="6">
        <v>0.5835</v>
      </c>
      <c r="D706" s="6">
        <v>8374</v>
      </c>
      <c r="E706" s="6">
        <f t="shared" si="159"/>
        <v>4886.229</v>
      </c>
      <c r="F706" s="6">
        <f t="shared" si="160"/>
        <v>3487.771</v>
      </c>
      <c r="G706" s="6">
        <v>43233.2584650212</v>
      </c>
      <c r="H706" s="6">
        <v>18672.3661086163</v>
      </c>
      <c r="I706" s="15">
        <f t="shared" si="149"/>
        <v>211247601.276282</v>
      </c>
      <c r="J706" s="15">
        <f t="shared" si="150"/>
        <v>65124937.0150148</v>
      </c>
      <c r="K706" s="15">
        <f t="shared" si="151"/>
        <v>276372538.291297</v>
      </c>
      <c r="L706" s="15">
        <f t="shared" si="152"/>
        <v>0.764358147095016</v>
      </c>
      <c r="M706" s="15">
        <f t="shared" si="153"/>
        <v>0.235641852904984</v>
      </c>
      <c r="N706" s="15">
        <f t="shared" si="154"/>
        <v>0.5835</v>
      </c>
      <c r="O706" s="15">
        <f t="shared" si="155"/>
        <v>0.4165</v>
      </c>
      <c r="P706" s="15">
        <f t="shared" si="156"/>
        <v>1.30995397959729</v>
      </c>
      <c r="Q706" s="15">
        <f t="shared" si="157"/>
        <v>0.565766753673431</v>
      </c>
      <c r="R706" s="7">
        <f t="shared" si="158"/>
        <v>0.0721552628037599</v>
      </c>
    </row>
    <row r="707" spans="1:18">
      <c r="A707" s="6">
        <v>2022</v>
      </c>
      <c r="B707" s="19" t="s">
        <v>42</v>
      </c>
      <c r="C707" s="6">
        <v>0.5481</v>
      </c>
      <c r="D707" s="6">
        <v>3856</v>
      </c>
      <c r="E707" s="6">
        <f t="shared" si="159"/>
        <v>2113.4736</v>
      </c>
      <c r="F707" s="6">
        <f t="shared" si="160"/>
        <v>1742.5264</v>
      </c>
      <c r="G707" s="6">
        <v>41085.7133751072</v>
      </c>
      <c r="H707" s="6">
        <v>13706.6680438253</v>
      </c>
      <c r="I707" s="15">
        <f t="shared" si="149"/>
        <v>86833570.555456</v>
      </c>
      <c r="J707" s="15">
        <f t="shared" si="150"/>
        <v>23884230.9224019</v>
      </c>
      <c r="K707" s="15">
        <f t="shared" si="151"/>
        <v>110717801.477858</v>
      </c>
      <c r="L707" s="15">
        <f t="shared" si="152"/>
        <v>0.784278312939781</v>
      </c>
      <c r="M707" s="15">
        <f t="shared" si="153"/>
        <v>0.215721687060219</v>
      </c>
      <c r="N707" s="15">
        <f t="shared" si="154"/>
        <v>0.5481</v>
      </c>
      <c r="O707" s="15">
        <f t="shared" si="155"/>
        <v>0.4519</v>
      </c>
      <c r="P707" s="15">
        <f t="shared" si="156"/>
        <v>1.43090369082244</v>
      </c>
      <c r="Q707" s="15">
        <f t="shared" si="157"/>
        <v>0.477365981545075</v>
      </c>
      <c r="R707" s="7">
        <f t="shared" si="158"/>
        <v>0.12149166944508</v>
      </c>
    </row>
    <row r="708" spans="1:18">
      <c r="A708" s="6">
        <v>2022</v>
      </c>
      <c r="B708" s="19" t="s">
        <v>43</v>
      </c>
      <c r="C708" s="6">
        <v>0.5172</v>
      </c>
      <c r="D708" s="6">
        <v>4693</v>
      </c>
      <c r="E708" s="6">
        <f t="shared" si="159"/>
        <v>2427.2196</v>
      </c>
      <c r="F708" s="6">
        <f t="shared" si="160"/>
        <v>2265.7804</v>
      </c>
      <c r="G708" s="6">
        <v>42167.8644322342</v>
      </c>
      <c r="H708" s="6">
        <v>15146.9169858045</v>
      </c>
      <c r="I708" s="15">
        <f t="shared" si="149"/>
        <v>102350667.040062</v>
      </c>
      <c r="J708" s="15">
        <f t="shared" si="150"/>
        <v>34319587.6268629</v>
      </c>
      <c r="K708" s="15">
        <f t="shared" si="151"/>
        <v>136670254.666925</v>
      </c>
      <c r="L708" s="15">
        <f t="shared" si="152"/>
        <v>0.748887658763041</v>
      </c>
      <c r="M708" s="15">
        <f t="shared" si="153"/>
        <v>0.251112341236959</v>
      </c>
      <c r="N708" s="15">
        <f t="shared" si="154"/>
        <v>0.5172</v>
      </c>
      <c r="O708" s="15">
        <f t="shared" si="155"/>
        <v>0.4828</v>
      </c>
      <c r="P708" s="15">
        <f t="shared" si="156"/>
        <v>1.44796531083341</v>
      </c>
      <c r="Q708" s="15">
        <f t="shared" si="157"/>
        <v>0.520116696845401</v>
      </c>
      <c r="R708" s="7">
        <f t="shared" si="158"/>
        <v>0.113055100638633</v>
      </c>
    </row>
    <row r="709" spans="1:18">
      <c r="A709" s="6">
        <v>2022</v>
      </c>
      <c r="B709" s="19" t="s">
        <v>44</v>
      </c>
      <c r="C709" s="6">
        <v>0.3739</v>
      </c>
      <c r="D709" s="6">
        <v>364</v>
      </c>
      <c r="E709" s="6">
        <f t="shared" si="159"/>
        <v>136.0996</v>
      </c>
      <c r="F709" s="6">
        <f t="shared" si="160"/>
        <v>227.9004</v>
      </c>
      <c r="G709" s="6">
        <v>48752.8960524893</v>
      </c>
      <c r="H709" s="6">
        <v>18209.4800330183</v>
      </c>
      <c r="I709" s="15">
        <f t="shared" si="149"/>
        <v>6635249.65158537</v>
      </c>
      <c r="J709" s="15">
        <f t="shared" si="150"/>
        <v>4149947.78331688</v>
      </c>
      <c r="K709" s="15">
        <f t="shared" si="151"/>
        <v>10785197.4349023</v>
      </c>
      <c r="L709" s="15">
        <f t="shared" si="152"/>
        <v>0.615218190639039</v>
      </c>
      <c r="M709" s="15">
        <f t="shared" si="153"/>
        <v>0.384781809360961</v>
      </c>
      <c r="N709" s="15">
        <f t="shared" si="154"/>
        <v>0.3739</v>
      </c>
      <c r="O709" s="15">
        <f t="shared" si="155"/>
        <v>0.6261</v>
      </c>
      <c r="P709" s="15">
        <f t="shared" si="156"/>
        <v>1.64540837293137</v>
      </c>
      <c r="Q709" s="15">
        <f t="shared" si="157"/>
        <v>0.614569253092095</v>
      </c>
      <c r="R709" s="7">
        <f t="shared" si="158"/>
        <v>0.119046912375076</v>
      </c>
    </row>
    <row r="710" spans="1:18">
      <c r="A710" s="6">
        <v>2022</v>
      </c>
      <c r="B710" s="19" t="s">
        <v>45</v>
      </c>
      <c r="C710" s="6">
        <v>0.6402</v>
      </c>
      <c r="D710" s="6">
        <v>3956</v>
      </c>
      <c r="E710" s="6">
        <f t="shared" si="159"/>
        <v>2532.6312</v>
      </c>
      <c r="F710" s="6">
        <f t="shared" si="160"/>
        <v>1423.3688</v>
      </c>
      <c r="G710" s="6">
        <v>42431.3186294071</v>
      </c>
      <c r="H710" s="6">
        <v>15704.3437742327</v>
      </c>
      <c r="I710" s="15">
        <f t="shared" si="149"/>
        <v>107462881.417978</v>
      </c>
      <c r="J710" s="15">
        <f t="shared" si="150"/>
        <v>22353072.9527171</v>
      </c>
      <c r="K710" s="15">
        <f t="shared" si="151"/>
        <v>129815954.370695</v>
      </c>
      <c r="L710" s="15">
        <f t="shared" si="152"/>
        <v>0.827809508768953</v>
      </c>
      <c r="M710" s="15">
        <f t="shared" si="153"/>
        <v>0.172190491231047</v>
      </c>
      <c r="N710" s="15">
        <f t="shared" si="154"/>
        <v>0.6402</v>
      </c>
      <c r="O710" s="15">
        <f t="shared" si="155"/>
        <v>0.3598</v>
      </c>
      <c r="P710" s="15">
        <f t="shared" si="156"/>
        <v>1.29304827986403</v>
      </c>
      <c r="Q710" s="15">
        <f t="shared" si="157"/>
        <v>0.478572793860608</v>
      </c>
      <c r="R710" s="7">
        <f t="shared" si="158"/>
        <v>0.085853804976656</v>
      </c>
    </row>
    <row r="711" spans="1:18">
      <c r="A711" s="6">
        <v>2022</v>
      </c>
      <c r="B711" s="19" t="s">
        <v>46</v>
      </c>
      <c r="C711" s="6">
        <v>0.5419</v>
      </c>
      <c r="D711" s="6">
        <v>2492</v>
      </c>
      <c r="E711" s="6">
        <f t="shared" si="159"/>
        <v>1350.4148</v>
      </c>
      <c r="F711" s="6">
        <f t="shared" si="160"/>
        <v>1141.5852</v>
      </c>
      <c r="G711" s="6">
        <v>37572.353168593</v>
      </c>
      <c r="H711" s="6">
        <v>12165.1518072261</v>
      </c>
      <c r="I711" s="15">
        <f t="shared" si="149"/>
        <v>50738261.7896949</v>
      </c>
      <c r="J711" s="15">
        <f t="shared" si="150"/>
        <v>13887557.2588826</v>
      </c>
      <c r="K711" s="15">
        <f t="shared" si="151"/>
        <v>64625819.0485775</v>
      </c>
      <c r="L711" s="15">
        <f t="shared" si="152"/>
        <v>0.785108220470774</v>
      </c>
      <c r="M711" s="15">
        <f t="shared" si="153"/>
        <v>0.214891779529226</v>
      </c>
      <c r="N711" s="15">
        <f t="shared" si="154"/>
        <v>0.5419</v>
      </c>
      <c r="O711" s="15">
        <f t="shared" si="155"/>
        <v>0.4581</v>
      </c>
      <c r="P711" s="15">
        <f t="shared" si="156"/>
        <v>1.44880645962497</v>
      </c>
      <c r="Q711" s="15">
        <f t="shared" si="157"/>
        <v>0.469093602988924</v>
      </c>
      <c r="R711" s="7">
        <f t="shared" si="158"/>
        <v>0.128408122762392</v>
      </c>
    </row>
    <row r="712" spans="1:18">
      <c r="A712" s="6">
        <v>2022</v>
      </c>
      <c r="B712" s="19" t="s">
        <v>47</v>
      </c>
      <c r="C712" s="6">
        <v>0.6143</v>
      </c>
      <c r="D712" s="6">
        <v>595</v>
      </c>
      <c r="E712" s="6">
        <f t="shared" si="159"/>
        <v>365.5085</v>
      </c>
      <c r="F712" s="6">
        <f t="shared" si="160"/>
        <v>229.4915</v>
      </c>
      <c r="G712" s="6">
        <v>38735.7975055847</v>
      </c>
      <c r="H712" s="6">
        <v>14456.2494104119</v>
      </c>
      <c r="I712" s="15">
        <f t="shared" si="149"/>
        <v>14158263.24257</v>
      </c>
      <c r="J712" s="15">
        <f t="shared" si="150"/>
        <v>3317586.36156954</v>
      </c>
      <c r="K712" s="15">
        <f t="shared" si="151"/>
        <v>17475849.6041395</v>
      </c>
      <c r="L712" s="15">
        <f t="shared" si="152"/>
        <v>0.810161655271759</v>
      </c>
      <c r="M712" s="15">
        <f t="shared" si="153"/>
        <v>0.189838344728241</v>
      </c>
      <c r="N712" s="15">
        <f t="shared" si="154"/>
        <v>0.6143</v>
      </c>
      <c r="O712" s="15">
        <f t="shared" si="155"/>
        <v>0.3857</v>
      </c>
      <c r="P712" s="15">
        <f t="shared" si="156"/>
        <v>1.31883714027635</v>
      </c>
      <c r="Q712" s="15">
        <f t="shared" si="157"/>
        <v>0.492191715655279</v>
      </c>
      <c r="R712" s="7">
        <f t="shared" si="158"/>
        <v>0.089638627850812</v>
      </c>
    </row>
    <row r="713" spans="1:18">
      <c r="A713" s="6">
        <v>2022</v>
      </c>
      <c r="B713" s="19" t="s">
        <v>48</v>
      </c>
      <c r="C713" s="6">
        <v>0.6634</v>
      </c>
      <c r="D713" s="6">
        <v>728</v>
      </c>
      <c r="E713" s="6">
        <f t="shared" si="159"/>
        <v>482.9552</v>
      </c>
      <c r="F713" s="6">
        <f t="shared" si="160"/>
        <v>245.0448</v>
      </c>
      <c r="G713" s="6">
        <v>40193.7146028676</v>
      </c>
      <c r="H713" s="6">
        <v>16430.306145068</v>
      </c>
      <c r="I713" s="15">
        <f t="shared" si="149"/>
        <v>19411763.4747708</v>
      </c>
      <c r="J713" s="15">
        <f t="shared" si="150"/>
        <v>4026161.08325696</v>
      </c>
      <c r="K713" s="15">
        <f t="shared" si="151"/>
        <v>23437924.5580278</v>
      </c>
      <c r="L713" s="15">
        <f t="shared" si="152"/>
        <v>0.828220238814706</v>
      </c>
      <c r="M713" s="15">
        <f t="shared" si="153"/>
        <v>0.171779761185294</v>
      </c>
      <c r="N713" s="15">
        <f t="shared" si="154"/>
        <v>0.6634</v>
      </c>
      <c r="O713" s="15">
        <f t="shared" si="155"/>
        <v>0.3366</v>
      </c>
      <c r="P713" s="15">
        <f t="shared" si="156"/>
        <v>1.24844775220788</v>
      </c>
      <c r="Q713" s="15">
        <f t="shared" si="157"/>
        <v>0.510337971435812</v>
      </c>
      <c r="R713" s="7">
        <f t="shared" si="158"/>
        <v>0.0682297161328068</v>
      </c>
    </row>
    <row r="714" spans="1:18">
      <c r="A714" s="6">
        <v>2022</v>
      </c>
      <c r="B714" s="19" t="s">
        <v>49</v>
      </c>
      <c r="C714" s="6">
        <v>0.5789</v>
      </c>
      <c r="D714" s="6">
        <v>2587</v>
      </c>
      <c r="E714" s="6">
        <f t="shared" si="159"/>
        <v>1497.6143</v>
      </c>
      <c r="F714" s="6">
        <f t="shared" si="160"/>
        <v>1089.3857</v>
      </c>
      <c r="G714" s="6">
        <v>38410.2260979894</v>
      </c>
      <c r="H714" s="6">
        <v>16549.9061692246</v>
      </c>
      <c r="I714" s="15">
        <f t="shared" si="149"/>
        <v>57523703.8705821</v>
      </c>
      <c r="J714" s="15">
        <f t="shared" si="150"/>
        <v>18029231.1170951</v>
      </c>
      <c r="K714" s="15">
        <f t="shared" si="151"/>
        <v>75552934.9876772</v>
      </c>
      <c r="L714" s="15">
        <f t="shared" si="152"/>
        <v>0.761369546794765</v>
      </c>
      <c r="M714" s="15">
        <f t="shared" si="153"/>
        <v>0.238630453205235</v>
      </c>
      <c r="N714" s="15">
        <f t="shared" si="154"/>
        <v>0.5789</v>
      </c>
      <c r="O714" s="15">
        <f t="shared" si="155"/>
        <v>0.4211</v>
      </c>
      <c r="P714" s="15">
        <f t="shared" si="156"/>
        <v>1.31520046086503</v>
      </c>
      <c r="Q714" s="15">
        <f t="shared" si="157"/>
        <v>0.566683574460306</v>
      </c>
      <c r="R714" s="7">
        <f t="shared" si="158"/>
        <v>0.0730757853166726</v>
      </c>
    </row>
    <row r="715" spans="1:18">
      <c r="A715" s="6">
        <v>2023</v>
      </c>
      <c r="B715" s="19" t="s">
        <v>19</v>
      </c>
      <c r="C715" s="6">
        <v>0.8783</v>
      </c>
      <c r="D715" s="6">
        <v>2186</v>
      </c>
      <c r="E715" s="6">
        <v>1919.9638</v>
      </c>
      <c r="F715" s="6">
        <f t="shared" ref="F715:F745" si="161">D715-E715</f>
        <v>266.0362</v>
      </c>
      <c r="G715" s="6">
        <v>38411.2260979894</v>
      </c>
      <c r="H715" s="6">
        <v>16550.9061692246</v>
      </c>
      <c r="I715" s="15">
        <f t="shared" ref="I715:I745" si="162">E715*G715</f>
        <v>73748163.6217549</v>
      </c>
      <c r="J715" s="15">
        <f t="shared" ref="J715:J745" si="163">F715*H715</f>
        <v>4403140.18381707</v>
      </c>
      <c r="K715" s="15">
        <f t="shared" ref="K715:K745" si="164">I715+J715</f>
        <v>78151303.805572</v>
      </c>
      <c r="L715" s="15">
        <f t="shared" ref="L715:L745" si="165">I715/K715</f>
        <v>0.943658775101547</v>
      </c>
      <c r="M715" s="15">
        <f t="shared" ref="M715:M745" si="166">J715/K715</f>
        <v>0.0563412248984532</v>
      </c>
      <c r="N715" s="15">
        <f t="shared" ref="N715:N745" si="167">C715</f>
        <v>0.8783</v>
      </c>
      <c r="O715" s="15">
        <f t="shared" ref="O715:O745" si="168">F715/D715</f>
        <v>0.1217</v>
      </c>
      <c r="P715" s="15">
        <f t="shared" ref="P715:P745" si="169">(L715/N715)</f>
        <v>1.07441509176995</v>
      </c>
      <c r="Q715" s="15">
        <f t="shared" ref="Q715:Q745" si="170">M715/O715</f>
        <v>0.46295172472024</v>
      </c>
      <c r="R715" s="7">
        <f t="shared" ref="R715:R745" si="171">L715*LN(P715)+M715*LN(Q715)</f>
        <v>0.0243422336144325</v>
      </c>
    </row>
    <row r="716" spans="1:18">
      <c r="A716" s="6">
        <v>2023</v>
      </c>
      <c r="B716" s="19" t="s">
        <v>20</v>
      </c>
      <c r="C716" s="6">
        <v>0.8549</v>
      </c>
      <c r="D716" s="6">
        <v>1364</v>
      </c>
      <c r="E716" s="6">
        <v>1166.0836</v>
      </c>
      <c r="F716" s="6">
        <f t="shared" si="161"/>
        <v>197.9164</v>
      </c>
      <c r="G716" s="6">
        <v>38412.2260979894</v>
      </c>
      <c r="H716" s="6">
        <v>16551.9061692246</v>
      </c>
      <c r="I716" s="15">
        <f t="shared" si="162"/>
        <v>44791866.8923574</v>
      </c>
      <c r="J716" s="15">
        <f t="shared" si="163"/>
        <v>3275893.68215072</v>
      </c>
      <c r="K716" s="15">
        <f t="shared" si="164"/>
        <v>48067760.5745081</v>
      </c>
      <c r="L716" s="15">
        <f t="shared" si="165"/>
        <v>0.931848423080312</v>
      </c>
      <c r="M716" s="15">
        <f t="shared" si="166"/>
        <v>0.0681515769196877</v>
      </c>
      <c r="N716" s="15">
        <f t="shared" si="167"/>
        <v>0.8549</v>
      </c>
      <c r="O716" s="15">
        <f t="shared" si="168"/>
        <v>0.1451</v>
      </c>
      <c r="P716" s="15">
        <f t="shared" si="169"/>
        <v>1.09000868298083</v>
      </c>
      <c r="Q716" s="15">
        <f t="shared" si="170"/>
        <v>0.469686953271452</v>
      </c>
      <c r="R716" s="7">
        <f t="shared" si="171"/>
        <v>0.0288105857784962</v>
      </c>
    </row>
    <row r="717" spans="1:18">
      <c r="A717" s="6">
        <v>2023</v>
      </c>
      <c r="B717" s="19" t="s">
        <v>21</v>
      </c>
      <c r="C717" s="6">
        <v>0.6277</v>
      </c>
      <c r="D717" s="6">
        <v>7393</v>
      </c>
      <c r="E717" s="6">
        <v>4640.5861</v>
      </c>
      <c r="F717" s="6">
        <f t="shared" si="161"/>
        <v>2752.4139</v>
      </c>
      <c r="G717" s="6">
        <v>38413.2260979894</v>
      </c>
      <c r="H717" s="6">
        <v>16552.9061692246</v>
      </c>
      <c r="I717" s="15">
        <f t="shared" si="162"/>
        <v>178259883.086487</v>
      </c>
      <c r="J717" s="15">
        <f t="shared" si="163"/>
        <v>45560449.0255695</v>
      </c>
      <c r="K717" s="15">
        <f t="shared" si="164"/>
        <v>223820332.112056</v>
      </c>
      <c r="L717" s="15">
        <f t="shared" si="165"/>
        <v>0.796441866582704</v>
      </c>
      <c r="M717" s="15">
        <f t="shared" si="166"/>
        <v>0.203558133417296</v>
      </c>
      <c r="N717" s="15">
        <f t="shared" si="167"/>
        <v>0.6277</v>
      </c>
      <c r="O717" s="15">
        <f t="shared" si="168"/>
        <v>0.3723</v>
      </c>
      <c r="P717" s="15">
        <f t="shared" si="169"/>
        <v>1.2688256596825</v>
      </c>
      <c r="Q717" s="15">
        <f t="shared" si="170"/>
        <v>0.546758349227226</v>
      </c>
      <c r="R717" s="7">
        <f t="shared" si="171"/>
        <v>0.0667283868941994</v>
      </c>
    </row>
    <row r="718" spans="1:18">
      <c r="A718" s="6">
        <v>2023</v>
      </c>
      <c r="B718" s="19" t="s">
        <v>22</v>
      </c>
      <c r="C718" s="6">
        <v>0.6497</v>
      </c>
      <c r="D718" s="6">
        <v>3466</v>
      </c>
      <c r="E718" s="6">
        <v>2251.8602</v>
      </c>
      <c r="F718" s="6">
        <f t="shared" si="161"/>
        <v>1214.1398</v>
      </c>
      <c r="G718" s="6">
        <v>38414.2260979894</v>
      </c>
      <c r="H718" s="6">
        <v>16553.9061692246</v>
      </c>
      <c r="I718" s="15">
        <f t="shared" si="162"/>
        <v>86503466.8638636</v>
      </c>
      <c r="J718" s="15">
        <f t="shared" si="163"/>
        <v>20098756.3255211</v>
      </c>
      <c r="K718" s="15">
        <f t="shared" si="164"/>
        <v>106602223.189385</v>
      </c>
      <c r="L718" s="15">
        <f t="shared" si="165"/>
        <v>0.811460251726509</v>
      </c>
      <c r="M718" s="15">
        <f t="shared" si="166"/>
        <v>0.188539748273491</v>
      </c>
      <c r="N718" s="15">
        <f t="shared" si="167"/>
        <v>0.6497</v>
      </c>
      <c r="O718" s="15">
        <f t="shared" si="168"/>
        <v>0.3503</v>
      </c>
      <c r="P718" s="15">
        <f t="shared" si="169"/>
        <v>1.24897683811991</v>
      </c>
      <c r="Q718" s="15">
        <f t="shared" si="170"/>
        <v>0.538223660500974</v>
      </c>
      <c r="R718" s="7">
        <f t="shared" si="171"/>
        <v>0.0636108394143646</v>
      </c>
    </row>
    <row r="719" spans="1:18">
      <c r="A719" s="6">
        <v>2023</v>
      </c>
      <c r="B719" s="19" t="s">
        <v>23</v>
      </c>
      <c r="C719" s="6">
        <v>0.6958</v>
      </c>
      <c r="D719" s="6">
        <v>2396</v>
      </c>
      <c r="E719" s="6">
        <v>1667.1368</v>
      </c>
      <c r="F719" s="6">
        <f t="shared" si="161"/>
        <v>728.8632</v>
      </c>
      <c r="G719" s="6">
        <v>38415.2260979894</v>
      </c>
      <c r="H719" s="6">
        <v>16554.9061692246</v>
      </c>
      <c r="I719" s="15">
        <f t="shared" si="162"/>
        <v>64043437.1082785</v>
      </c>
      <c r="J719" s="15">
        <f t="shared" si="163"/>
        <v>12066261.8862008</v>
      </c>
      <c r="K719" s="15">
        <f t="shared" si="164"/>
        <v>76109698.9944793</v>
      </c>
      <c r="L719" s="15">
        <f t="shared" si="165"/>
        <v>0.841462230890231</v>
      </c>
      <c r="M719" s="15">
        <f t="shared" si="166"/>
        <v>0.158537769109769</v>
      </c>
      <c r="N719" s="15">
        <f t="shared" si="167"/>
        <v>0.6958</v>
      </c>
      <c r="O719" s="15">
        <f t="shared" si="168"/>
        <v>0.3042</v>
      </c>
      <c r="P719" s="15">
        <f t="shared" si="169"/>
        <v>1.20934497109835</v>
      </c>
      <c r="Q719" s="15">
        <f t="shared" si="170"/>
        <v>0.521162949078794</v>
      </c>
      <c r="R719" s="7">
        <f t="shared" si="171"/>
        <v>0.0566263084288248</v>
      </c>
    </row>
    <row r="720" spans="1:18">
      <c r="A720" s="6">
        <v>2023</v>
      </c>
      <c r="B720" s="19" t="s">
        <v>24</v>
      </c>
      <c r="C720" s="6">
        <v>0.7351</v>
      </c>
      <c r="D720" s="6">
        <v>4182</v>
      </c>
      <c r="E720" s="6">
        <v>3074.1882</v>
      </c>
      <c r="F720" s="6">
        <f t="shared" si="161"/>
        <v>1107.8118</v>
      </c>
      <c r="G720" s="6">
        <v>38416.2260979894</v>
      </c>
      <c r="H720" s="6">
        <v>16555.9061692246</v>
      </c>
      <c r="I720" s="15">
        <f t="shared" si="162"/>
        <v>118098708.958971</v>
      </c>
      <c r="J720" s="15">
        <f t="shared" si="163"/>
        <v>18340828.2139598</v>
      </c>
      <c r="K720" s="15">
        <f t="shared" si="164"/>
        <v>136439537.172931</v>
      </c>
      <c r="L720" s="15">
        <f t="shared" si="165"/>
        <v>0.865575414619637</v>
      </c>
      <c r="M720" s="15">
        <f t="shared" si="166"/>
        <v>0.134424585380363</v>
      </c>
      <c r="N720" s="15">
        <f t="shared" si="167"/>
        <v>0.7351</v>
      </c>
      <c r="O720" s="15">
        <f t="shared" si="168"/>
        <v>0.2649</v>
      </c>
      <c r="P720" s="15">
        <f t="shared" si="169"/>
        <v>1.17749342214615</v>
      </c>
      <c r="Q720" s="15">
        <f t="shared" si="170"/>
        <v>0.507454078446065</v>
      </c>
      <c r="R720" s="7">
        <f t="shared" si="171"/>
        <v>0.0502378108823508</v>
      </c>
    </row>
    <row r="721" spans="1:18">
      <c r="A721" s="6">
        <v>2023</v>
      </c>
      <c r="B721" s="19" t="s">
        <v>25</v>
      </c>
      <c r="C721" s="6">
        <v>0.6473</v>
      </c>
      <c r="D721" s="6">
        <v>2339</v>
      </c>
      <c r="E721" s="6">
        <v>1514.0347</v>
      </c>
      <c r="F721" s="6">
        <f t="shared" si="161"/>
        <v>824.9653</v>
      </c>
      <c r="G721" s="6">
        <v>38417.2260979894</v>
      </c>
      <c r="H721" s="6">
        <v>16556.9061692246</v>
      </c>
      <c r="I721" s="15">
        <f t="shared" si="162"/>
        <v>58165013.3901015</v>
      </c>
      <c r="J721" s="15">
        <f t="shared" si="163"/>
        <v>13658873.0649662</v>
      </c>
      <c r="K721" s="15">
        <f t="shared" si="164"/>
        <v>71823886.4550678</v>
      </c>
      <c r="L721" s="15">
        <f t="shared" si="165"/>
        <v>0.809828265510095</v>
      </c>
      <c r="M721" s="15">
        <f t="shared" si="166"/>
        <v>0.190171734489905</v>
      </c>
      <c r="N721" s="15">
        <f t="shared" si="167"/>
        <v>0.6473</v>
      </c>
      <c r="O721" s="15">
        <f t="shared" si="168"/>
        <v>0.3527</v>
      </c>
      <c r="P721" s="15">
        <f t="shared" si="169"/>
        <v>1.25108645992599</v>
      </c>
      <c r="Q721" s="15">
        <f t="shared" si="170"/>
        <v>0.539188359767238</v>
      </c>
      <c r="R721" s="7">
        <f t="shared" si="171"/>
        <v>0.063944288998852</v>
      </c>
    </row>
    <row r="722" spans="1:18">
      <c r="A722" s="6">
        <v>2023</v>
      </c>
      <c r="B722" s="19" t="s">
        <v>26</v>
      </c>
      <c r="C722" s="6">
        <v>0.6711</v>
      </c>
      <c r="D722" s="6">
        <v>3062</v>
      </c>
      <c r="E722" s="6">
        <v>2054.9082</v>
      </c>
      <c r="F722" s="6">
        <f t="shared" si="161"/>
        <v>1007.0918</v>
      </c>
      <c r="G722" s="6">
        <v>38418.2260979894</v>
      </c>
      <c r="H722" s="6">
        <v>16557.9061692246</v>
      </c>
      <c r="I722" s="15">
        <f t="shared" si="162"/>
        <v>78945927.8382124</v>
      </c>
      <c r="J722" s="15">
        <f t="shared" si="163"/>
        <v>16675331.5281955</v>
      </c>
      <c r="K722" s="15">
        <f t="shared" si="164"/>
        <v>95621259.3664079</v>
      </c>
      <c r="L722" s="15">
        <f t="shared" si="165"/>
        <v>0.82561062635352</v>
      </c>
      <c r="M722" s="15">
        <f t="shared" si="166"/>
        <v>0.17438937364648</v>
      </c>
      <c r="N722" s="15">
        <f t="shared" si="167"/>
        <v>0.6711</v>
      </c>
      <c r="O722" s="15">
        <f t="shared" si="168"/>
        <v>0.3289</v>
      </c>
      <c r="P722" s="15">
        <f t="shared" si="169"/>
        <v>1.23023487759428</v>
      </c>
      <c r="Q722" s="15">
        <f t="shared" si="170"/>
        <v>0.53022004757215</v>
      </c>
      <c r="R722" s="7">
        <f t="shared" si="171"/>
        <v>0.0604271038486945</v>
      </c>
    </row>
    <row r="723" spans="1:18">
      <c r="A723" s="6">
        <v>2023</v>
      </c>
      <c r="B723" s="19" t="s">
        <v>27</v>
      </c>
      <c r="C723" s="6">
        <v>0.8946</v>
      </c>
      <c r="D723" s="6">
        <v>2487</v>
      </c>
      <c r="E723" s="6">
        <v>2224.8702</v>
      </c>
      <c r="F723" s="6">
        <f t="shared" si="161"/>
        <v>262.1298</v>
      </c>
      <c r="G723" s="6">
        <v>38419.2260979894</v>
      </c>
      <c r="H723" s="6">
        <v>16558.9061692246</v>
      </c>
      <c r="I723" s="15">
        <f t="shared" si="162"/>
        <v>85477791.2524789</v>
      </c>
      <c r="J723" s="15">
        <f t="shared" si="163"/>
        <v>4340582.76235761</v>
      </c>
      <c r="K723" s="15">
        <f t="shared" si="164"/>
        <v>89818374.0148365</v>
      </c>
      <c r="L723" s="15">
        <f t="shared" si="165"/>
        <v>0.951673777108895</v>
      </c>
      <c r="M723" s="15">
        <f t="shared" si="166"/>
        <v>0.0483262228911049</v>
      </c>
      <c r="N723" s="15">
        <f t="shared" si="167"/>
        <v>0.8946</v>
      </c>
      <c r="O723" s="15">
        <f t="shared" si="168"/>
        <v>0.1054</v>
      </c>
      <c r="P723" s="15">
        <f t="shared" si="169"/>
        <v>1.06379809647764</v>
      </c>
      <c r="Q723" s="15">
        <f t="shared" si="170"/>
        <v>0.458503063482968</v>
      </c>
      <c r="R723" s="7">
        <f t="shared" si="171"/>
        <v>0.0211726255653793</v>
      </c>
    </row>
    <row r="724" spans="1:18">
      <c r="A724" s="6">
        <v>2023</v>
      </c>
      <c r="B724" s="19" t="s">
        <v>28</v>
      </c>
      <c r="C724" s="6">
        <v>0.7504</v>
      </c>
      <c r="D724" s="6">
        <v>8526</v>
      </c>
      <c r="E724" s="6">
        <v>6397.9104</v>
      </c>
      <c r="F724" s="6">
        <f t="shared" si="161"/>
        <v>2128.0896</v>
      </c>
      <c r="G724" s="6">
        <v>38420.2260979894</v>
      </c>
      <c r="H724" s="6">
        <v>16559.9061692246</v>
      </c>
      <c r="I724" s="15">
        <f t="shared" si="162"/>
        <v>245809164.122678</v>
      </c>
      <c r="J724" s="15">
        <f t="shared" si="163"/>
        <v>35240964.0957027</v>
      </c>
      <c r="K724" s="15">
        <f t="shared" si="164"/>
        <v>281050128.218381</v>
      </c>
      <c r="L724" s="15">
        <f t="shared" si="165"/>
        <v>0.874609685044086</v>
      </c>
      <c r="M724" s="15">
        <f t="shared" si="166"/>
        <v>0.125390314955914</v>
      </c>
      <c r="N724" s="15">
        <f t="shared" si="167"/>
        <v>0.7504</v>
      </c>
      <c r="O724" s="15">
        <f t="shared" si="168"/>
        <v>0.2496</v>
      </c>
      <c r="P724" s="15">
        <f t="shared" si="169"/>
        <v>1.16552463358753</v>
      </c>
      <c r="Q724" s="15">
        <f t="shared" si="170"/>
        <v>0.502365043893886</v>
      </c>
      <c r="R724" s="7">
        <f t="shared" si="171"/>
        <v>0.0476428810902532</v>
      </c>
    </row>
    <row r="725" spans="1:18">
      <c r="A725" s="6">
        <v>2023</v>
      </c>
      <c r="B725" s="19" t="s">
        <v>29</v>
      </c>
      <c r="C725" s="6">
        <v>0.7423</v>
      </c>
      <c r="D725" s="6">
        <v>6627</v>
      </c>
      <c r="E725" s="6">
        <v>4919.2221</v>
      </c>
      <c r="F725" s="6">
        <f t="shared" si="161"/>
        <v>1707.7779</v>
      </c>
      <c r="G725" s="6">
        <v>38421.2260979894</v>
      </c>
      <c r="H725" s="6">
        <v>16560.9061692246</v>
      </c>
      <c r="I725" s="15">
        <f t="shared" si="162"/>
        <v>189002544.530326</v>
      </c>
      <c r="J725" s="15">
        <f t="shared" si="163"/>
        <v>28282349.5597754</v>
      </c>
      <c r="K725" s="15">
        <f t="shared" si="164"/>
        <v>217284894.090102</v>
      </c>
      <c r="L725" s="15">
        <f t="shared" si="165"/>
        <v>0.869837479139035</v>
      </c>
      <c r="M725" s="15">
        <f t="shared" si="166"/>
        <v>0.130162520860965</v>
      </c>
      <c r="N725" s="15">
        <f t="shared" si="167"/>
        <v>0.7423</v>
      </c>
      <c r="O725" s="15">
        <f t="shared" si="168"/>
        <v>0.2577</v>
      </c>
      <c r="P725" s="15">
        <f t="shared" si="169"/>
        <v>1.17181392851817</v>
      </c>
      <c r="Q725" s="15">
        <f t="shared" si="170"/>
        <v>0.505093212498894</v>
      </c>
      <c r="R725" s="7">
        <f t="shared" si="171"/>
        <v>0.0490126663235326</v>
      </c>
    </row>
    <row r="726" spans="1:18">
      <c r="A726" s="6">
        <v>2023</v>
      </c>
      <c r="B726" s="19" t="s">
        <v>30</v>
      </c>
      <c r="C726" s="6">
        <v>0.6151</v>
      </c>
      <c r="D726" s="6">
        <v>6121</v>
      </c>
      <c r="E726" s="6">
        <v>3765.0271</v>
      </c>
      <c r="F726" s="6">
        <f t="shared" si="161"/>
        <v>2355.9729</v>
      </c>
      <c r="G726" s="6">
        <v>38422.2260979894</v>
      </c>
      <c r="H726" s="6">
        <v>16561.9061692246</v>
      </c>
      <c r="I726" s="15">
        <f t="shared" si="162"/>
        <v>144660722.501257</v>
      </c>
      <c r="J726" s="15">
        <f t="shared" si="163"/>
        <v>39019402.107036</v>
      </c>
      <c r="K726" s="15">
        <f t="shared" si="164"/>
        <v>183680124.608293</v>
      </c>
      <c r="L726" s="15">
        <f t="shared" si="165"/>
        <v>0.787568730202864</v>
      </c>
      <c r="M726" s="15">
        <f t="shared" si="166"/>
        <v>0.212431269797136</v>
      </c>
      <c r="N726" s="15">
        <f t="shared" si="167"/>
        <v>0.6151</v>
      </c>
      <c r="O726" s="15">
        <f t="shared" si="168"/>
        <v>0.3849</v>
      </c>
      <c r="P726" s="15">
        <f t="shared" si="169"/>
        <v>1.28039136758716</v>
      </c>
      <c r="Q726" s="15">
        <f t="shared" si="170"/>
        <v>0.551912885936961</v>
      </c>
      <c r="R726" s="7">
        <f t="shared" si="171"/>
        <v>0.0683983205926594</v>
      </c>
    </row>
    <row r="727" spans="1:18">
      <c r="A727" s="6">
        <v>2023</v>
      </c>
      <c r="B727" s="19" t="s">
        <v>31</v>
      </c>
      <c r="C727" s="6">
        <v>0.7104</v>
      </c>
      <c r="D727" s="6">
        <v>4183</v>
      </c>
      <c r="E727" s="6">
        <v>2971.6032</v>
      </c>
      <c r="F727" s="6">
        <f t="shared" si="161"/>
        <v>1211.3968</v>
      </c>
      <c r="G727" s="6">
        <v>38423.2260979894</v>
      </c>
      <c r="H727" s="6">
        <v>16562.9061692246</v>
      </c>
      <c r="I727" s="15">
        <f t="shared" si="162"/>
        <v>114178581.627109</v>
      </c>
      <c r="J727" s="15">
        <f t="shared" si="163"/>
        <v>20064251.5320989</v>
      </c>
      <c r="K727" s="15">
        <f t="shared" si="164"/>
        <v>134242833.159208</v>
      </c>
      <c r="L727" s="15">
        <f t="shared" si="165"/>
        <v>0.850537633481682</v>
      </c>
      <c r="M727" s="15">
        <f t="shared" si="166"/>
        <v>0.149462366518318</v>
      </c>
      <c r="N727" s="15">
        <f t="shared" si="167"/>
        <v>0.7104</v>
      </c>
      <c r="O727" s="15">
        <f t="shared" si="168"/>
        <v>0.2896</v>
      </c>
      <c r="P727" s="15">
        <f t="shared" si="169"/>
        <v>1.19726581289651</v>
      </c>
      <c r="Q727" s="15">
        <f t="shared" si="170"/>
        <v>0.51609933190027</v>
      </c>
      <c r="R727" s="7">
        <f t="shared" si="171"/>
        <v>0.0542684100989284</v>
      </c>
    </row>
    <row r="728" spans="1:18">
      <c r="A728" s="6">
        <v>2023</v>
      </c>
      <c r="B728" s="19" t="s">
        <v>32</v>
      </c>
      <c r="C728" s="6">
        <v>0.6313</v>
      </c>
      <c r="D728" s="6">
        <v>4515</v>
      </c>
      <c r="E728" s="6">
        <v>2850.3195</v>
      </c>
      <c r="F728" s="6">
        <f t="shared" si="161"/>
        <v>1664.6805</v>
      </c>
      <c r="G728" s="6">
        <v>38424.2260979894</v>
      </c>
      <c r="H728" s="6">
        <v>16563.9061692246</v>
      </c>
      <c r="I728" s="15">
        <f t="shared" si="162"/>
        <v>109521320.919508</v>
      </c>
      <c r="J728" s="15">
        <f t="shared" si="163"/>
        <v>27573611.6037379</v>
      </c>
      <c r="K728" s="15">
        <f t="shared" si="164"/>
        <v>137094932.523246</v>
      </c>
      <c r="L728" s="15">
        <f t="shared" si="165"/>
        <v>0.798872131184991</v>
      </c>
      <c r="M728" s="15">
        <f t="shared" si="166"/>
        <v>0.201127868815009</v>
      </c>
      <c r="N728" s="15">
        <f t="shared" si="167"/>
        <v>0.6313</v>
      </c>
      <c r="O728" s="15">
        <f t="shared" si="168"/>
        <v>0.3687</v>
      </c>
      <c r="P728" s="15">
        <f t="shared" si="169"/>
        <v>1.26543977694439</v>
      </c>
      <c r="Q728" s="15">
        <f t="shared" si="170"/>
        <v>0.545505475495006</v>
      </c>
      <c r="R728" s="7">
        <f t="shared" si="171"/>
        <v>0.0661782230642928</v>
      </c>
    </row>
    <row r="729" spans="1:18">
      <c r="A729" s="6">
        <v>2023</v>
      </c>
      <c r="B729" s="19" t="s">
        <v>33</v>
      </c>
      <c r="C729" s="6">
        <v>0.6553</v>
      </c>
      <c r="D729" s="6">
        <v>10123</v>
      </c>
      <c r="E729" s="6">
        <v>6633.6019</v>
      </c>
      <c r="F729" s="6">
        <f t="shared" si="161"/>
        <v>3489.3981</v>
      </c>
      <c r="G729" s="6">
        <v>38425.2260979894</v>
      </c>
      <c r="H729" s="6">
        <v>16564.9061692246</v>
      </c>
      <c r="I729" s="15">
        <f t="shared" si="162"/>
        <v>254897652.851552</v>
      </c>
      <c r="J729" s="15">
        <f t="shared" si="163"/>
        <v>57801552.1135706</v>
      </c>
      <c r="K729" s="15">
        <f t="shared" si="164"/>
        <v>312699204.965123</v>
      </c>
      <c r="L729" s="15">
        <f t="shared" si="165"/>
        <v>0.815152865131149</v>
      </c>
      <c r="M729" s="15">
        <f t="shared" si="166"/>
        <v>0.184847134868851</v>
      </c>
      <c r="N729" s="15">
        <f t="shared" si="167"/>
        <v>0.6553</v>
      </c>
      <c r="O729" s="15">
        <f t="shared" si="168"/>
        <v>0.3447</v>
      </c>
      <c r="P729" s="15">
        <f t="shared" si="169"/>
        <v>1.2439384482392</v>
      </c>
      <c r="Q729" s="15">
        <f t="shared" si="170"/>
        <v>0.536255105508707</v>
      </c>
      <c r="R729" s="7">
        <f t="shared" si="171"/>
        <v>0.0627469957482275</v>
      </c>
    </row>
    <row r="730" spans="1:18">
      <c r="A730" s="6">
        <v>2023</v>
      </c>
      <c r="B730" s="19" t="s">
        <v>34</v>
      </c>
      <c r="C730" s="6">
        <v>0.5808</v>
      </c>
      <c r="D730" s="6">
        <v>9815</v>
      </c>
      <c r="E730" s="6">
        <v>5700.552</v>
      </c>
      <c r="F730" s="6">
        <f t="shared" si="161"/>
        <v>4114.448</v>
      </c>
      <c r="G730" s="6">
        <v>38426.2260979894</v>
      </c>
      <c r="H730" s="6">
        <v>16565.9061692246</v>
      </c>
      <c r="I730" s="15">
        <f t="shared" si="162"/>
        <v>219050700.035346</v>
      </c>
      <c r="J730" s="15">
        <f t="shared" si="163"/>
        <v>68159559.5061538</v>
      </c>
      <c r="K730" s="15">
        <f t="shared" si="164"/>
        <v>287210259.541499</v>
      </c>
      <c r="L730" s="15">
        <f t="shared" si="165"/>
        <v>0.762684106010129</v>
      </c>
      <c r="M730" s="15">
        <f t="shared" si="166"/>
        <v>0.237315893989871</v>
      </c>
      <c r="N730" s="15">
        <f t="shared" si="167"/>
        <v>0.5808</v>
      </c>
      <c r="O730" s="15">
        <f t="shared" si="168"/>
        <v>0.4192</v>
      </c>
      <c r="P730" s="15">
        <f t="shared" si="169"/>
        <v>1.31316133954912</v>
      </c>
      <c r="Q730" s="15">
        <f t="shared" si="170"/>
        <v>0.566116159326982</v>
      </c>
      <c r="R730" s="7">
        <f t="shared" si="171"/>
        <v>0.0727614252517902</v>
      </c>
    </row>
    <row r="731" spans="1:18">
      <c r="A731" s="6">
        <v>2023</v>
      </c>
      <c r="B731" s="19" t="s">
        <v>35</v>
      </c>
      <c r="C731" s="6">
        <v>0.6547</v>
      </c>
      <c r="D731" s="6">
        <v>5838</v>
      </c>
      <c r="E731" s="6">
        <v>3822.1386</v>
      </c>
      <c r="F731" s="6">
        <f t="shared" si="161"/>
        <v>2015.8614</v>
      </c>
      <c r="G731" s="6">
        <v>38427.2260979894</v>
      </c>
      <c r="H731" s="6">
        <v>16566.9061692246</v>
      </c>
      <c r="I731" s="15">
        <f t="shared" si="162"/>
        <v>146874184.160053</v>
      </c>
      <c r="J731" s="15">
        <f t="shared" si="163"/>
        <v>33396586.6639617</v>
      </c>
      <c r="K731" s="15">
        <f t="shared" si="164"/>
        <v>180270770.824014</v>
      </c>
      <c r="L731" s="15">
        <f t="shared" si="165"/>
        <v>0.814742087631253</v>
      </c>
      <c r="M731" s="15">
        <f t="shared" si="166"/>
        <v>0.185257912368747</v>
      </c>
      <c r="N731" s="15">
        <f t="shared" si="167"/>
        <v>0.6547</v>
      </c>
      <c r="O731" s="15">
        <f t="shared" si="168"/>
        <v>0.3453</v>
      </c>
      <c r="P731" s="15">
        <f t="shared" si="169"/>
        <v>1.2444510273885</v>
      </c>
      <c r="Q731" s="15">
        <f t="shared" si="170"/>
        <v>0.536512923164631</v>
      </c>
      <c r="R731" s="7">
        <f t="shared" si="171"/>
        <v>0.0628260566732848</v>
      </c>
    </row>
    <row r="732" spans="1:18">
      <c r="A732" s="6">
        <v>2023</v>
      </c>
      <c r="B732" s="19" t="s">
        <v>36</v>
      </c>
      <c r="C732" s="6">
        <v>0.6116</v>
      </c>
      <c r="D732" s="6">
        <v>6568</v>
      </c>
      <c r="E732" s="6">
        <v>4016.9888</v>
      </c>
      <c r="F732" s="6">
        <f t="shared" si="161"/>
        <v>2551.0112</v>
      </c>
      <c r="G732" s="6">
        <v>38428.2260979894</v>
      </c>
      <c r="H732" s="6">
        <v>16567.9061692246</v>
      </c>
      <c r="I732" s="15">
        <f t="shared" si="162"/>
        <v>154365753.839491</v>
      </c>
      <c r="J732" s="15">
        <f t="shared" si="163"/>
        <v>42264914.198241</v>
      </c>
      <c r="K732" s="15">
        <f t="shared" si="164"/>
        <v>196630668.037732</v>
      </c>
      <c r="L732" s="15">
        <f t="shared" si="165"/>
        <v>0.785054312127289</v>
      </c>
      <c r="M732" s="15">
        <f t="shared" si="166"/>
        <v>0.214945687872711</v>
      </c>
      <c r="N732" s="15">
        <f t="shared" si="167"/>
        <v>0.6116</v>
      </c>
      <c r="O732" s="15">
        <f t="shared" si="168"/>
        <v>0.3884</v>
      </c>
      <c r="P732" s="15">
        <f t="shared" si="169"/>
        <v>1.28360744298118</v>
      </c>
      <c r="Q732" s="15">
        <f t="shared" si="170"/>
        <v>0.553413202555899</v>
      </c>
      <c r="R732" s="7">
        <f t="shared" si="171"/>
        <v>0.0688352944426339</v>
      </c>
    </row>
    <row r="733" spans="1:18">
      <c r="A733" s="6">
        <v>2023</v>
      </c>
      <c r="B733" s="19" t="s">
        <v>37</v>
      </c>
      <c r="C733" s="6">
        <v>0.7542</v>
      </c>
      <c r="D733" s="6">
        <v>12706</v>
      </c>
      <c r="E733" s="6">
        <v>9582.8652</v>
      </c>
      <c r="F733" s="6">
        <f t="shared" si="161"/>
        <v>3123.1348</v>
      </c>
      <c r="G733" s="6">
        <v>38429.2260979894</v>
      </c>
      <c r="H733" s="6">
        <v>16568.9061692246</v>
      </c>
      <c r="I733" s="15">
        <f t="shared" si="162"/>
        <v>368262093.437354</v>
      </c>
      <c r="J733" s="15">
        <f t="shared" si="163"/>
        <v>51746927.45504</v>
      </c>
      <c r="K733" s="15">
        <f t="shared" si="164"/>
        <v>420009020.892394</v>
      </c>
      <c r="L733" s="15">
        <f t="shared" si="165"/>
        <v>0.876795676090258</v>
      </c>
      <c r="M733" s="15">
        <f t="shared" si="166"/>
        <v>0.123204323909742</v>
      </c>
      <c r="N733" s="15">
        <f t="shared" si="167"/>
        <v>0.7542</v>
      </c>
      <c r="O733" s="15">
        <f t="shared" si="168"/>
        <v>0.2458</v>
      </c>
      <c r="P733" s="15">
        <f t="shared" si="169"/>
        <v>1.16255061799292</v>
      </c>
      <c r="Q733" s="15">
        <f t="shared" si="170"/>
        <v>0.501238095645817</v>
      </c>
      <c r="R733" s="7">
        <f t="shared" si="171"/>
        <v>0.0469657788030578</v>
      </c>
    </row>
    <row r="734" spans="1:18">
      <c r="A734" s="6">
        <v>2023</v>
      </c>
      <c r="B734" s="19" t="s">
        <v>38</v>
      </c>
      <c r="C734" s="6">
        <v>0.5678</v>
      </c>
      <c r="D734" s="6">
        <v>5027</v>
      </c>
      <c r="E734" s="6">
        <v>2854.3306</v>
      </c>
      <c r="F734" s="6">
        <f t="shared" si="161"/>
        <v>2172.6694</v>
      </c>
      <c r="G734" s="6">
        <v>38430.2260979894</v>
      </c>
      <c r="H734" s="6">
        <v>16569.9061692246</v>
      </c>
      <c r="I734" s="15">
        <f t="shared" si="162"/>
        <v>109692570.31641</v>
      </c>
      <c r="J734" s="15">
        <f t="shared" si="163"/>
        <v>36000928.0947455</v>
      </c>
      <c r="K734" s="15">
        <f t="shared" si="164"/>
        <v>145693498.411155</v>
      </c>
      <c r="L734" s="15">
        <f t="shared" si="165"/>
        <v>0.752899556347059</v>
      </c>
      <c r="M734" s="15">
        <f t="shared" si="166"/>
        <v>0.247100443652941</v>
      </c>
      <c r="N734" s="15">
        <f t="shared" si="167"/>
        <v>0.5678</v>
      </c>
      <c r="O734" s="15">
        <f t="shared" si="168"/>
        <v>0.4322</v>
      </c>
      <c r="P734" s="15">
        <f t="shared" si="169"/>
        <v>1.32599428733191</v>
      </c>
      <c r="Q734" s="15">
        <f t="shared" si="170"/>
        <v>0.571727079252524</v>
      </c>
      <c r="R734" s="7">
        <f t="shared" si="171"/>
        <v>0.0742878232783654</v>
      </c>
    </row>
    <row r="735" spans="1:18">
      <c r="A735" s="6">
        <v>2023</v>
      </c>
      <c r="B735" s="19" t="s">
        <v>39</v>
      </c>
      <c r="C735" s="6">
        <v>0.6246</v>
      </c>
      <c r="D735" s="6">
        <v>1043</v>
      </c>
      <c r="E735" s="6">
        <v>651.4578</v>
      </c>
      <c r="F735" s="6">
        <f t="shared" si="161"/>
        <v>391.5422</v>
      </c>
      <c r="G735" s="6">
        <v>38431.2260979894</v>
      </c>
      <c r="H735" s="6">
        <v>16570.9061692246</v>
      </c>
      <c r="I735" s="15">
        <f t="shared" si="162"/>
        <v>25036322.0050988</v>
      </c>
      <c r="J735" s="15">
        <f t="shared" si="163"/>
        <v>6488209.05749177</v>
      </c>
      <c r="K735" s="15">
        <f t="shared" si="164"/>
        <v>31524531.0625905</v>
      </c>
      <c r="L735" s="15">
        <f t="shared" si="165"/>
        <v>0.794185390272429</v>
      </c>
      <c r="M735" s="15">
        <f t="shared" si="166"/>
        <v>0.205814609727571</v>
      </c>
      <c r="N735" s="15">
        <f t="shared" si="167"/>
        <v>0.6246</v>
      </c>
      <c r="O735" s="15">
        <f t="shared" si="168"/>
        <v>0.3754</v>
      </c>
      <c r="P735" s="15">
        <f t="shared" si="169"/>
        <v>1.27151039108618</v>
      </c>
      <c r="Q735" s="15">
        <f t="shared" si="170"/>
        <v>0.548254154841693</v>
      </c>
      <c r="R735" s="7">
        <f t="shared" si="171"/>
        <v>0.0670697434412363</v>
      </c>
    </row>
    <row r="736" spans="1:18">
      <c r="A736" s="6">
        <v>2023</v>
      </c>
      <c r="B736" s="19" t="s">
        <v>40</v>
      </c>
      <c r="C736" s="6">
        <v>0.7167</v>
      </c>
      <c r="D736" s="6">
        <v>3191</v>
      </c>
      <c r="E736" s="6">
        <v>2286.9897</v>
      </c>
      <c r="F736" s="6">
        <f t="shared" si="161"/>
        <v>904.0103</v>
      </c>
      <c r="G736" s="6">
        <v>38432.2260979894</v>
      </c>
      <c r="H736" s="6">
        <v>16571.9061692246</v>
      </c>
      <c r="I736" s="15">
        <f t="shared" si="162"/>
        <v>87894105.2341729</v>
      </c>
      <c r="J736" s="15">
        <f t="shared" si="163"/>
        <v>14981173.8676126</v>
      </c>
      <c r="K736" s="15">
        <f t="shared" si="164"/>
        <v>102875279.101786</v>
      </c>
      <c r="L736" s="15">
        <f t="shared" si="165"/>
        <v>0.85437537571305</v>
      </c>
      <c r="M736" s="15">
        <f t="shared" si="166"/>
        <v>0.145624624286949</v>
      </c>
      <c r="N736" s="15">
        <f t="shared" si="167"/>
        <v>0.7167</v>
      </c>
      <c r="O736" s="15">
        <f t="shared" si="168"/>
        <v>0.2833</v>
      </c>
      <c r="P736" s="15">
        <f t="shared" si="169"/>
        <v>1.19209624070469</v>
      </c>
      <c r="Q736" s="15">
        <f t="shared" si="170"/>
        <v>0.514029736275854</v>
      </c>
      <c r="R736" s="7">
        <f t="shared" si="171"/>
        <v>0.0532156954292577</v>
      </c>
    </row>
    <row r="737" spans="1:18">
      <c r="A737" s="6">
        <v>2023</v>
      </c>
      <c r="B737" s="19" t="s">
        <v>41</v>
      </c>
      <c r="C737" s="6">
        <v>0.5949</v>
      </c>
      <c r="D737" s="6">
        <v>8368</v>
      </c>
      <c r="E737" s="6">
        <v>4978.1232</v>
      </c>
      <c r="F737" s="6">
        <f t="shared" si="161"/>
        <v>3389.8768</v>
      </c>
      <c r="G737" s="6">
        <v>38433.2260979894</v>
      </c>
      <c r="H737" s="6">
        <v>16572.9061692246</v>
      </c>
      <c r="I737" s="15">
        <f t="shared" si="162"/>
        <v>191325334.489246</v>
      </c>
      <c r="J737" s="15">
        <f t="shared" si="163"/>
        <v>56180110.1316313</v>
      </c>
      <c r="K737" s="15">
        <f t="shared" si="164"/>
        <v>247505444.620878</v>
      </c>
      <c r="L737" s="15">
        <f t="shared" si="165"/>
        <v>0.773014649363829</v>
      </c>
      <c r="M737" s="15">
        <f t="shared" si="166"/>
        <v>0.226985350636171</v>
      </c>
      <c r="N737" s="15">
        <f t="shared" si="167"/>
        <v>0.5949</v>
      </c>
      <c r="O737" s="15">
        <f t="shared" si="168"/>
        <v>0.4051</v>
      </c>
      <c r="P737" s="15">
        <f t="shared" si="169"/>
        <v>1.29940267164873</v>
      </c>
      <c r="Q737" s="15">
        <f t="shared" si="170"/>
        <v>0.560319305445991</v>
      </c>
      <c r="R737" s="7">
        <f t="shared" si="171"/>
        <v>0.0709752339740695</v>
      </c>
    </row>
    <row r="738" spans="1:18">
      <c r="A738" s="6">
        <v>2023</v>
      </c>
      <c r="B738" s="19" t="s">
        <v>42</v>
      </c>
      <c r="C738" s="6">
        <v>0.5594</v>
      </c>
      <c r="D738" s="6">
        <v>3865</v>
      </c>
      <c r="E738" s="6">
        <v>2162.081</v>
      </c>
      <c r="F738" s="6">
        <f t="shared" si="161"/>
        <v>1702.919</v>
      </c>
      <c r="G738" s="6">
        <v>38434.2260979894</v>
      </c>
      <c r="H738" s="6">
        <v>16573.9061692246</v>
      </c>
      <c r="I738" s="15">
        <f t="shared" si="162"/>
        <v>83097909.996167</v>
      </c>
      <c r="J738" s="15">
        <f t="shared" si="163"/>
        <v>28224019.7197898</v>
      </c>
      <c r="K738" s="15">
        <f t="shared" si="164"/>
        <v>111321929.715957</v>
      </c>
      <c r="L738" s="15">
        <f t="shared" si="165"/>
        <v>0.746464871819913</v>
      </c>
      <c r="M738" s="15">
        <f t="shared" si="166"/>
        <v>0.253535128180087</v>
      </c>
      <c r="N738" s="15">
        <f t="shared" si="167"/>
        <v>0.5594</v>
      </c>
      <c r="O738" s="15">
        <f t="shared" si="168"/>
        <v>0.4406</v>
      </c>
      <c r="P738" s="15">
        <f t="shared" si="169"/>
        <v>1.33440270257403</v>
      </c>
      <c r="Q738" s="15">
        <f t="shared" si="170"/>
        <v>0.575431521062386</v>
      </c>
      <c r="R738" s="7">
        <f t="shared" si="171"/>
        <v>0.0752306085240473</v>
      </c>
    </row>
    <row r="739" spans="1:18">
      <c r="A739" s="6">
        <v>2023</v>
      </c>
      <c r="B739" s="19" t="s">
        <v>43</v>
      </c>
      <c r="C739" s="6">
        <v>0.5292</v>
      </c>
      <c r="D739" s="6">
        <v>4673</v>
      </c>
      <c r="E739" s="6">
        <v>2472.9516</v>
      </c>
      <c r="F739" s="6">
        <f t="shared" si="161"/>
        <v>2200.0484</v>
      </c>
      <c r="G739" s="6">
        <v>38435.2260979894</v>
      </c>
      <c r="H739" s="6">
        <v>16574.9061692246</v>
      </c>
      <c r="I739" s="15">
        <f t="shared" si="162"/>
        <v>95048453.8753846</v>
      </c>
      <c r="J739" s="15">
        <f t="shared" si="163"/>
        <v>36465595.7977527</v>
      </c>
      <c r="K739" s="15">
        <f t="shared" si="164"/>
        <v>131514049.673137</v>
      </c>
      <c r="L739" s="15">
        <f t="shared" si="165"/>
        <v>0.722724713531492</v>
      </c>
      <c r="M739" s="15">
        <f t="shared" si="166"/>
        <v>0.277275286468508</v>
      </c>
      <c r="N739" s="15">
        <f t="shared" si="167"/>
        <v>0.5292</v>
      </c>
      <c r="O739" s="15">
        <f t="shared" si="168"/>
        <v>0.4708</v>
      </c>
      <c r="P739" s="15">
        <f t="shared" si="169"/>
        <v>1.36569295829836</v>
      </c>
      <c r="Q739" s="15">
        <f t="shared" si="170"/>
        <v>0.588944958514247</v>
      </c>
      <c r="R739" s="7">
        <f t="shared" si="171"/>
        <v>0.0784500130350863</v>
      </c>
    </row>
    <row r="740" spans="1:18">
      <c r="A740" s="6">
        <v>2023</v>
      </c>
      <c r="B740" s="19" t="s">
        <v>44</v>
      </c>
      <c r="C740" s="6">
        <v>0.3888</v>
      </c>
      <c r="D740" s="6">
        <v>365</v>
      </c>
      <c r="E740" s="6">
        <v>141.912</v>
      </c>
      <c r="F740" s="6">
        <f t="shared" si="161"/>
        <v>223.088</v>
      </c>
      <c r="G740" s="6">
        <v>38436.2260979894</v>
      </c>
      <c r="H740" s="6">
        <v>16575.9061692246</v>
      </c>
      <c r="I740" s="15">
        <f t="shared" si="162"/>
        <v>5454561.71801787</v>
      </c>
      <c r="J740" s="15">
        <f t="shared" si="163"/>
        <v>3697885.75547998</v>
      </c>
      <c r="K740" s="15">
        <f t="shared" si="164"/>
        <v>9152447.47349785</v>
      </c>
      <c r="L740" s="15">
        <f t="shared" si="165"/>
        <v>0.595967552265369</v>
      </c>
      <c r="M740" s="15">
        <f t="shared" si="166"/>
        <v>0.404032447734631</v>
      </c>
      <c r="N740" s="15">
        <f t="shared" si="167"/>
        <v>0.3888</v>
      </c>
      <c r="O740" s="15">
        <f t="shared" si="168"/>
        <v>0.6112</v>
      </c>
      <c r="P740" s="15">
        <f t="shared" si="169"/>
        <v>1.532838354592</v>
      </c>
      <c r="Q740" s="15">
        <f t="shared" si="170"/>
        <v>0.661047852968965</v>
      </c>
      <c r="R740" s="7">
        <f t="shared" si="171"/>
        <v>0.0873095805536072</v>
      </c>
    </row>
    <row r="741" spans="1:18">
      <c r="A741" s="6">
        <v>2023</v>
      </c>
      <c r="B741" s="19" t="s">
        <v>45</v>
      </c>
      <c r="C741" s="6">
        <v>0.6516</v>
      </c>
      <c r="D741" s="6">
        <v>3952</v>
      </c>
      <c r="E741" s="6">
        <v>2575.1232</v>
      </c>
      <c r="F741" s="6">
        <f t="shared" si="161"/>
        <v>1376.8768</v>
      </c>
      <c r="G741" s="6">
        <v>38437.2260979894</v>
      </c>
      <c r="H741" s="6">
        <v>16576.9061692246</v>
      </c>
      <c r="I741" s="15">
        <f t="shared" si="162"/>
        <v>98980592.668578</v>
      </c>
      <c r="J741" s="15">
        <f t="shared" si="163"/>
        <v>22824357.5201822</v>
      </c>
      <c r="K741" s="15">
        <f t="shared" si="164"/>
        <v>121804950.18876</v>
      </c>
      <c r="L741" s="15">
        <f t="shared" si="165"/>
        <v>0.812615517802754</v>
      </c>
      <c r="M741" s="15">
        <f t="shared" si="166"/>
        <v>0.187384482197246</v>
      </c>
      <c r="N741" s="15">
        <f t="shared" si="167"/>
        <v>0.6516</v>
      </c>
      <c r="O741" s="15">
        <f t="shared" si="168"/>
        <v>0.3484</v>
      </c>
      <c r="P741" s="15">
        <f t="shared" si="169"/>
        <v>1.24710791559661</v>
      </c>
      <c r="Q741" s="15">
        <f t="shared" si="170"/>
        <v>0.537842945457079</v>
      </c>
      <c r="R741" s="7">
        <f t="shared" si="171"/>
        <v>0.0632338765269527</v>
      </c>
    </row>
    <row r="742" spans="1:18">
      <c r="A742" s="6">
        <v>2023</v>
      </c>
      <c r="B742" s="19" t="s">
        <v>46</v>
      </c>
      <c r="C742" s="6">
        <v>0.5549</v>
      </c>
      <c r="D742" s="6">
        <v>2465</v>
      </c>
      <c r="E742" s="6">
        <v>1367.8285</v>
      </c>
      <c r="F742" s="6">
        <f t="shared" si="161"/>
        <v>1097.1715</v>
      </c>
      <c r="G742" s="6">
        <v>38438.2260979894</v>
      </c>
      <c r="H742" s="6">
        <v>16577.9061692246</v>
      </c>
      <c r="I742" s="15">
        <f t="shared" si="162"/>
        <v>52576901.1462737</v>
      </c>
      <c r="J742" s="15">
        <f t="shared" si="163"/>
        <v>18188806.1785474</v>
      </c>
      <c r="K742" s="15">
        <f t="shared" si="164"/>
        <v>70765707.3248211</v>
      </c>
      <c r="L742" s="15">
        <f t="shared" si="165"/>
        <v>0.742971463634793</v>
      </c>
      <c r="M742" s="15">
        <f t="shared" si="166"/>
        <v>0.257028536365207</v>
      </c>
      <c r="N742" s="15">
        <f t="shared" si="167"/>
        <v>0.5549</v>
      </c>
      <c r="O742" s="15">
        <f t="shared" si="168"/>
        <v>0.4451</v>
      </c>
      <c r="P742" s="15">
        <f t="shared" si="169"/>
        <v>1.33892857025553</v>
      </c>
      <c r="Q742" s="15">
        <f t="shared" si="170"/>
        <v>0.577462449708397</v>
      </c>
      <c r="R742" s="7">
        <f t="shared" si="171"/>
        <v>0.0757134549384954</v>
      </c>
    </row>
    <row r="743" spans="1:18">
      <c r="A743" s="6">
        <v>2023</v>
      </c>
      <c r="B743" s="19" t="s">
        <v>47</v>
      </c>
      <c r="C743" s="6">
        <v>0.628</v>
      </c>
      <c r="D743" s="6">
        <v>594</v>
      </c>
      <c r="E743" s="6">
        <v>373.032</v>
      </c>
      <c r="F743" s="6">
        <f t="shared" si="161"/>
        <v>220.968</v>
      </c>
      <c r="G743" s="6">
        <v>38439.2260979894</v>
      </c>
      <c r="H743" s="6">
        <v>16578.9061692246</v>
      </c>
      <c r="I743" s="15">
        <f t="shared" si="162"/>
        <v>14339061.3897852</v>
      </c>
      <c r="J743" s="15">
        <f t="shared" si="163"/>
        <v>3663407.73840122</v>
      </c>
      <c r="K743" s="15">
        <f t="shared" si="164"/>
        <v>18002469.1281864</v>
      </c>
      <c r="L743" s="15">
        <f t="shared" si="165"/>
        <v>0.796505262010674</v>
      </c>
      <c r="M743" s="15">
        <f t="shared" si="166"/>
        <v>0.203494737989326</v>
      </c>
      <c r="N743" s="15">
        <f t="shared" si="167"/>
        <v>0.628</v>
      </c>
      <c r="O743" s="15">
        <f t="shared" si="168"/>
        <v>0.372</v>
      </c>
      <c r="P743" s="15">
        <f t="shared" si="169"/>
        <v>1.26832048090872</v>
      </c>
      <c r="Q743" s="15">
        <f t="shared" si="170"/>
        <v>0.547028865562704</v>
      </c>
      <c r="R743" s="7">
        <f t="shared" si="171"/>
        <v>0.0665652235726025</v>
      </c>
    </row>
    <row r="744" spans="1:18">
      <c r="A744" s="6">
        <v>2023</v>
      </c>
      <c r="B744" s="19" t="s">
        <v>48</v>
      </c>
      <c r="C744" s="6">
        <v>0.6731</v>
      </c>
      <c r="D744" s="6">
        <v>729</v>
      </c>
      <c r="E744" s="6">
        <v>490.6899</v>
      </c>
      <c r="F744" s="6">
        <f t="shared" si="161"/>
        <v>238.3101</v>
      </c>
      <c r="G744" s="6">
        <v>38440.2260979894</v>
      </c>
      <c r="H744" s="6">
        <v>16579.9061692246</v>
      </c>
      <c r="I744" s="15">
        <f t="shared" si="162"/>
        <v>18862230.6999998</v>
      </c>
      <c r="J744" s="15">
        <f t="shared" si="163"/>
        <v>3951159.09717853</v>
      </c>
      <c r="K744" s="15">
        <f t="shared" si="164"/>
        <v>22813389.7971783</v>
      </c>
      <c r="L744" s="15">
        <f t="shared" si="165"/>
        <v>0.826805260756679</v>
      </c>
      <c r="M744" s="15">
        <f t="shared" si="166"/>
        <v>0.173194739243321</v>
      </c>
      <c r="N744" s="15">
        <f t="shared" si="167"/>
        <v>0.6731</v>
      </c>
      <c r="O744" s="15">
        <f t="shared" si="168"/>
        <v>0.3269</v>
      </c>
      <c r="P744" s="15">
        <f t="shared" si="169"/>
        <v>1.2283542724063</v>
      </c>
      <c r="Q744" s="15">
        <f t="shared" si="170"/>
        <v>0.529809541888408</v>
      </c>
      <c r="R744" s="7">
        <f t="shared" si="171"/>
        <v>0.0600335800432368</v>
      </c>
    </row>
    <row r="745" spans="1:18">
      <c r="A745" s="6">
        <v>2023</v>
      </c>
      <c r="B745" s="19" t="s">
        <v>49</v>
      </c>
      <c r="C745" s="6">
        <v>0.5924</v>
      </c>
      <c r="D745" s="6">
        <v>2598</v>
      </c>
      <c r="E745" s="6">
        <v>1539.0552</v>
      </c>
      <c r="F745" s="6">
        <f t="shared" si="161"/>
        <v>1058.9448</v>
      </c>
      <c r="G745" s="6">
        <v>38441.2260979894</v>
      </c>
      <c r="H745" s="6">
        <v>16580.9061692246</v>
      </c>
      <c r="I745" s="15">
        <f t="shared" si="162"/>
        <v>59163168.9204863</v>
      </c>
      <c r="J745" s="15">
        <f t="shared" si="163"/>
        <v>17558264.3671883</v>
      </c>
      <c r="K745" s="15">
        <f t="shared" si="164"/>
        <v>76721433.2876746</v>
      </c>
      <c r="L745" s="15">
        <f t="shared" si="165"/>
        <v>0.771142644046392</v>
      </c>
      <c r="M745" s="15">
        <f t="shared" si="166"/>
        <v>0.228857355953608</v>
      </c>
      <c r="N745" s="15">
        <f t="shared" si="167"/>
        <v>0.5924</v>
      </c>
      <c r="O745" s="15">
        <f t="shared" si="168"/>
        <v>0.4076</v>
      </c>
      <c r="P745" s="15">
        <f t="shared" si="169"/>
        <v>1.30172627286697</v>
      </c>
      <c r="Q745" s="15">
        <f t="shared" si="170"/>
        <v>0.56147535808049</v>
      </c>
      <c r="R745" s="7">
        <f t="shared" si="171"/>
        <v>0.0712500149952873</v>
      </c>
    </row>
  </sheetData>
  <autoFilter xmlns:etc="http://www.wps.cn/officeDocument/2017/etCustomData" ref="B1:E714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Melon</dc:creator>
  <cp:lastModifiedBy>User</cp:lastModifiedBy>
  <dcterms:created xsi:type="dcterms:W3CDTF">2023-03-28T01:55:00Z</dcterms:created>
  <dcterms:modified xsi:type="dcterms:W3CDTF">2024-10-31T05:21:36Z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4423186ED42E45A3AA40C3B3B569319C_13</vt:lpwstr>
  </property>
  <property fmtid="{D5CDD505-2E9C-101B-9397-08002B2CF9AE}" pid="3" name="KSOProductBuildVer">
    <vt:lpwstr>2052-12.1.0.18608</vt:lpwstr>
  </property>
</Properties>
</file>